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h. D\Task-1\Data-Ahvaz\"/>
    </mc:Choice>
  </mc:AlternateContent>
  <xr:revisionPtr revIDLastSave="0" documentId="13_ncr:1_{930A37E7-725D-4373-A341-5805E741E101}" xr6:coauthVersionLast="47" xr6:coauthVersionMax="47" xr10:uidLastSave="{00000000-0000-0000-0000-000000000000}"/>
  <bookViews>
    <workbookView xWindow="-120" yWindow="-120" windowWidth="29040" windowHeight="16440" activeTab="5" xr2:uid="{00000000-000D-0000-FFFF-FFFF00000000}"/>
  </bookViews>
  <sheets>
    <sheet name="CONDUITS" sheetId="1" r:id="rId1"/>
    <sheet name="XSECTIONS" sheetId="2" r:id="rId2"/>
    <sheet name="Capacity" sheetId="3" r:id="rId3"/>
    <sheet name="Sheet1" sheetId="4" r:id="rId4"/>
    <sheet name="Sheet2" sheetId="5" r:id="rId5"/>
    <sheet name="PVI Before R1" sheetId="7" r:id="rId6"/>
    <sheet name="Sheet3" sheetId="6" r:id="rId7"/>
    <sheet name="Sheet5" sheetId="8" r:id="rId8"/>
  </sheets>
  <definedNames>
    <definedName name="_xlnm._FilterDatabase" localSheetId="2" hidden="1">Capacity!$K$1:$K$532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C3" i="7" l="1"/>
  <c r="AC12" i="7"/>
  <c r="AC11" i="7"/>
  <c r="AC10" i="7"/>
  <c r="AC9" i="7"/>
  <c r="AC8" i="7"/>
  <c r="AC7" i="7"/>
  <c r="AC6" i="7"/>
  <c r="AC5" i="7"/>
  <c r="AC4" i="7"/>
  <c r="AC2" i="7"/>
  <c r="AC3" i="5"/>
  <c r="AD2" i="7"/>
  <c r="AD3" i="5"/>
  <c r="AD4" i="5"/>
  <c r="AD5" i="5"/>
  <c r="AD6" i="5"/>
  <c r="AD7" i="5"/>
  <c r="AD8" i="5"/>
  <c r="AD9" i="5"/>
  <c r="AD10" i="5"/>
  <c r="AD11" i="5"/>
  <c r="AD12" i="5"/>
  <c r="AD13" i="5"/>
  <c r="AD14" i="5"/>
  <c r="AD15" i="5"/>
  <c r="AD16" i="5"/>
  <c r="AD17" i="5"/>
  <c r="AD18" i="5"/>
  <c r="AD19" i="5"/>
  <c r="AD20" i="5"/>
  <c r="AD21" i="5"/>
  <c r="AD22" i="5"/>
  <c r="AD23" i="5"/>
  <c r="AD24" i="5"/>
  <c r="AD25" i="5"/>
  <c r="AD26" i="5"/>
  <c r="AD27" i="5"/>
  <c r="AD28" i="5"/>
  <c r="AD29" i="5"/>
  <c r="AD30" i="5"/>
  <c r="AD31" i="5"/>
  <c r="AD32" i="5"/>
  <c r="AD33" i="5"/>
  <c r="AD34" i="5"/>
  <c r="AD35" i="5"/>
  <c r="AD36" i="5"/>
  <c r="AD37" i="5"/>
  <c r="AD38" i="5"/>
  <c r="AD39" i="5"/>
  <c r="AD40" i="5"/>
  <c r="AD41" i="5"/>
  <c r="AD42" i="5"/>
  <c r="AD43" i="5"/>
  <c r="AD44" i="5"/>
  <c r="AD45" i="5"/>
  <c r="AD46" i="5"/>
  <c r="AD47" i="5"/>
  <c r="AD48" i="5"/>
  <c r="AD49" i="5"/>
  <c r="AD50" i="5"/>
  <c r="AD51" i="5"/>
  <c r="AD52" i="5"/>
  <c r="AD53" i="5"/>
  <c r="AD54" i="5"/>
  <c r="AD55" i="5"/>
  <c r="AD56" i="5"/>
  <c r="AD57" i="5"/>
  <c r="AD58" i="5"/>
  <c r="AD59" i="5"/>
  <c r="AD60" i="5"/>
  <c r="AD61" i="5"/>
  <c r="AD62" i="5"/>
  <c r="AD63" i="5"/>
  <c r="AD64" i="5"/>
  <c r="AD65" i="5"/>
  <c r="AD66" i="5"/>
  <c r="AD67" i="5"/>
  <c r="AD68" i="5"/>
  <c r="AD69" i="5"/>
  <c r="AD70" i="5"/>
  <c r="AD71" i="5"/>
  <c r="AD72" i="5"/>
  <c r="AD73" i="5"/>
  <c r="AD74" i="5"/>
  <c r="AD75" i="5"/>
  <c r="AD76" i="5"/>
  <c r="AD77" i="5"/>
  <c r="AD78" i="5"/>
  <c r="AD79" i="5"/>
  <c r="AD80" i="5"/>
  <c r="AD81" i="5"/>
  <c r="AD82" i="5"/>
  <c r="AD83" i="5"/>
  <c r="AD84" i="5"/>
  <c r="AD85" i="5"/>
  <c r="AD86" i="5"/>
  <c r="AD87" i="5"/>
  <c r="AD88" i="5"/>
  <c r="AD89" i="5"/>
  <c r="AD90" i="5"/>
  <c r="AD91" i="5"/>
  <c r="AD92" i="5"/>
  <c r="AD93" i="5"/>
  <c r="AD94" i="5"/>
  <c r="AD95" i="5"/>
  <c r="AD96" i="5"/>
  <c r="AD97" i="5"/>
  <c r="AD98" i="5"/>
  <c r="AD99" i="5"/>
  <c r="AD100" i="5"/>
  <c r="AD101" i="5"/>
  <c r="AD102" i="5"/>
  <c r="AD103" i="5"/>
  <c r="AD104" i="5"/>
  <c r="AD105" i="5"/>
  <c r="AD106" i="5"/>
  <c r="AD107" i="5"/>
  <c r="AD108" i="5"/>
  <c r="AD109" i="5"/>
  <c r="AD110" i="5"/>
  <c r="AD111" i="5"/>
  <c r="AD112" i="5"/>
  <c r="AD113" i="5"/>
  <c r="AD114" i="5"/>
  <c r="AD115" i="5"/>
  <c r="AD116" i="5"/>
  <c r="AD117" i="5"/>
  <c r="AD118" i="5"/>
  <c r="AD119" i="5"/>
  <c r="AD120" i="5"/>
  <c r="AD121" i="5"/>
  <c r="AD122" i="5"/>
  <c r="AD123" i="5"/>
  <c r="AD124" i="5"/>
  <c r="AD125" i="5"/>
  <c r="AD126" i="5"/>
  <c r="AD127" i="5"/>
  <c r="AD128" i="5"/>
  <c r="AD129" i="5"/>
  <c r="AD130" i="5"/>
  <c r="AD131" i="5"/>
  <c r="AD132" i="5"/>
  <c r="AD133" i="5"/>
  <c r="AD134" i="5"/>
  <c r="AD135" i="5"/>
  <c r="AD136" i="5"/>
  <c r="AD137" i="5"/>
  <c r="AD138" i="5"/>
  <c r="AD139" i="5"/>
  <c r="AD140" i="5"/>
  <c r="AD141" i="5"/>
  <c r="AD142" i="5"/>
  <c r="AD143" i="5"/>
  <c r="AD144" i="5"/>
  <c r="AD145" i="5"/>
  <c r="AD146" i="5"/>
  <c r="AD147" i="5"/>
  <c r="AD148" i="5"/>
  <c r="AD149" i="5"/>
  <c r="AD150" i="5"/>
  <c r="AD151" i="5"/>
  <c r="AD152" i="5"/>
  <c r="AD153" i="5"/>
  <c r="AD154" i="5"/>
  <c r="AD155" i="5"/>
  <c r="AD156" i="5"/>
  <c r="AD157" i="5"/>
  <c r="AD158" i="5"/>
  <c r="AD159" i="5"/>
  <c r="AD160" i="5"/>
  <c r="AD161" i="5"/>
  <c r="AD162" i="5"/>
  <c r="AD163" i="5"/>
  <c r="AD164" i="5"/>
  <c r="AD165" i="5"/>
  <c r="AD166" i="5"/>
  <c r="AD167" i="5"/>
  <c r="AD168" i="5"/>
  <c r="AD169" i="5"/>
  <c r="AD170" i="5"/>
  <c r="AD171" i="5"/>
  <c r="AD172" i="5"/>
  <c r="AD173" i="5"/>
  <c r="AD174" i="5"/>
  <c r="AD175" i="5"/>
  <c r="AD176" i="5"/>
  <c r="AD177" i="5"/>
  <c r="AD178" i="5"/>
  <c r="AD179" i="5"/>
  <c r="AD180" i="5"/>
  <c r="AD181" i="5"/>
  <c r="AD182" i="5"/>
  <c r="AD183" i="5"/>
  <c r="AD184" i="5"/>
  <c r="AD185" i="5"/>
  <c r="AD186" i="5"/>
  <c r="AD187" i="5"/>
  <c r="AD188" i="5"/>
  <c r="AD189" i="5"/>
  <c r="AD190" i="5"/>
  <c r="AD191" i="5"/>
  <c r="AD192" i="5"/>
  <c r="AD193" i="5"/>
  <c r="AD194" i="5"/>
  <c r="AD195" i="5"/>
  <c r="AD196" i="5"/>
  <c r="AD197" i="5"/>
  <c r="AD198" i="5"/>
  <c r="AD199" i="5"/>
  <c r="AD200" i="5"/>
  <c r="AD201" i="5"/>
  <c r="AD202" i="5"/>
  <c r="AD203" i="5"/>
  <c r="AD204" i="5"/>
  <c r="AD205" i="5"/>
  <c r="AD206" i="5"/>
  <c r="AD207" i="5"/>
  <c r="AD208" i="5"/>
  <c r="AD209" i="5"/>
  <c r="AD210" i="5"/>
  <c r="AD211" i="5"/>
  <c r="AD212" i="5"/>
  <c r="AD213" i="5"/>
  <c r="AD214" i="5"/>
  <c r="AD215" i="5"/>
  <c r="AD216" i="5"/>
  <c r="AD217" i="5"/>
  <c r="AD218" i="5"/>
  <c r="AD219" i="5"/>
  <c r="AD220" i="5"/>
  <c r="AD221" i="5"/>
  <c r="AD222" i="5"/>
  <c r="AD223" i="5"/>
  <c r="AD224" i="5"/>
  <c r="AD225" i="5"/>
  <c r="AD226" i="5"/>
  <c r="AD227" i="5"/>
  <c r="AD228" i="5"/>
  <c r="AD229" i="5"/>
  <c r="AD230" i="5"/>
  <c r="AD231" i="5"/>
  <c r="AD232" i="5"/>
  <c r="AD233" i="5"/>
  <c r="AD234" i="5"/>
  <c r="AD235" i="5"/>
  <c r="AD236" i="5"/>
  <c r="AD237" i="5"/>
  <c r="AD238" i="5"/>
  <c r="AD239" i="5"/>
  <c r="AD240" i="5"/>
  <c r="AD241" i="5"/>
  <c r="AD242" i="5"/>
  <c r="AD243" i="5"/>
  <c r="AD244" i="5"/>
  <c r="AD245" i="5"/>
  <c r="AD246" i="5"/>
  <c r="AD247" i="5"/>
  <c r="AD248" i="5"/>
  <c r="AD249" i="5"/>
  <c r="AD250" i="5"/>
  <c r="AD251" i="5"/>
  <c r="AD252" i="5"/>
  <c r="AD253" i="5"/>
  <c r="AD254" i="5"/>
  <c r="AD255" i="5"/>
  <c r="AD256" i="5"/>
  <c r="AD257" i="5"/>
  <c r="AD258" i="5"/>
  <c r="AD259" i="5"/>
  <c r="AD260" i="5"/>
  <c r="AD261" i="5"/>
  <c r="AD262" i="5"/>
  <c r="AD263" i="5"/>
  <c r="AD264" i="5"/>
  <c r="AD265" i="5"/>
  <c r="AD266" i="5"/>
  <c r="AD267" i="5"/>
  <c r="AD268" i="5"/>
  <c r="AD269" i="5"/>
  <c r="AD270" i="5"/>
  <c r="AD271" i="5"/>
  <c r="AD272" i="5"/>
  <c r="AD273" i="5"/>
  <c r="AD274" i="5"/>
  <c r="AD275" i="5"/>
  <c r="AD276" i="5"/>
  <c r="AD277" i="5"/>
  <c r="AD278" i="5"/>
  <c r="AD279" i="5"/>
  <c r="AD280" i="5"/>
  <c r="AD281" i="5"/>
  <c r="AD282" i="5"/>
  <c r="AD283" i="5"/>
  <c r="AD284" i="5"/>
  <c r="AD285" i="5"/>
  <c r="AD286" i="5"/>
  <c r="AD287" i="5"/>
  <c r="AD288" i="5"/>
  <c r="AD289" i="5"/>
  <c r="AD290" i="5"/>
  <c r="AD291" i="5"/>
  <c r="AD292" i="5"/>
  <c r="AD293" i="5"/>
  <c r="AD294" i="5"/>
  <c r="AD295" i="5"/>
  <c r="AD296" i="5"/>
  <c r="AD297" i="5"/>
  <c r="AD298" i="5"/>
  <c r="AD299" i="5"/>
  <c r="AD300" i="5"/>
  <c r="AD301" i="5"/>
  <c r="AD302" i="5"/>
  <c r="AD303" i="5"/>
  <c r="AD304" i="5"/>
  <c r="AD305" i="5"/>
  <c r="AD306" i="5"/>
  <c r="AD307" i="5"/>
  <c r="AD308" i="5"/>
  <c r="AD309" i="5"/>
  <c r="AD310" i="5"/>
  <c r="AD311" i="5"/>
  <c r="AD312" i="5"/>
  <c r="AD313" i="5"/>
  <c r="AD314" i="5"/>
  <c r="AD315" i="5"/>
  <c r="AD316" i="5"/>
  <c r="AD317" i="5"/>
  <c r="AD318" i="5"/>
  <c r="AD319" i="5"/>
  <c r="AD320" i="5"/>
  <c r="AD321" i="5"/>
  <c r="AD322" i="5"/>
  <c r="AD323" i="5"/>
  <c r="AD324" i="5"/>
  <c r="AD325" i="5"/>
  <c r="AD326" i="5"/>
  <c r="AD327" i="5"/>
  <c r="AD328" i="5"/>
  <c r="AD329" i="5"/>
  <c r="AD330" i="5"/>
  <c r="AD331" i="5"/>
  <c r="AD332" i="5"/>
  <c r="AD333" i="5"/>
  <c r="AD334" i="5"/>
  <c r="AD335" i="5"/>
  <c r="AD336" i="5"/>
  <c r="AD337" i="5"/>
  <c r="AD338" i="5"/>
  <c r="AD339" i="5"/>
  <c r="AD340" i="5"/>
  <c r="AD341" i="5"/>
  <c r="AD342" i="5"/>
  <c r="AD343" i="5"/>
  <c r="AD344" i="5"/>
  <c r="AD345" i="5"/>
  <c r="AD346" i="5"/>
  <c r="AD347" i="5"/>
  <c r="AD348" i="5"/>
  <c r="AD349" i="5"/>
  <c r="AD350" i="5"/>
  <c r="AD351" i="5"/>
  <c r="AD352" i="5"/>
  <c r="AD353" i="5"/>
  <c r="AD354" i="5"/>
  <c r="AD355" i="5"/>
  <c r="AD356" i="5"/>
  <c r="AD357" i="5"/>
  <c r="AD358" i="5"/>
  <c r="AD359" i="5"/>
  <c r="AD360" i="5"/>
  <c r="AD361" i="5"/>
  <c r="AD362" i="5"/>
  <c r="AD363" i="5"/>
  <c r="AD364" i="5"/>
  <c r="AD365" i="5"/>
  <c r="AD366" i="5"/>
  <c r="AD367" i="5"/>
  <c r="AD368" i="5"/>
  <c r="AD369" i="5"/>
  <c r="AD370" i="5"/>
  <c r="AD371" i="5"/>
  <c r="AD372" i="5"/>
  <c r="AD373" i="5"/>
  <c r="AD374" i="5"/>
  <c r="AD375" i="5"/>
  <c r="AD376" i="5"/>
  <c r="AD377" i="5"/>
  <c r="AD378" i="5"/>
  <c r="AD379" i="5"/>
  <c r="AD380" i="5"/>
  <c r="AD381" i="5"/>
  <c r="AD382" i="5"/>
  <c r="AD383" i="5"/>
  <c r="AD384" i="5"/>
  <c r="AD385" i="5"/>
  <c r="AD386" i="5"/>
  <c r="AD387" i="5"/>
  <c r="AD388" i="5"/>
  <c r="AD389" i="5"/>
  <c r="AD390" i="5"/>
  <c r="AD391" i="5"/>
  <c r="AD392" i="5"/>
  <c r="AD393" i="5"/>
  <c r="AD394" i="5"/>
  <c r="AD395" i="5"/>
  <c r="AD396" i="5"/>
  <c r="AD397" i="5"/>
  <c r="AD398" i="5"/>
  <c r="AD399" i="5"/>
  <c r="AD400" i="5"/>
  <c r="AD401" i="5"/>
  <c r="AD402" i="5"/>
  <c r="AD403" i="5"/>
  <c r="AD404" i="5"/>
  <c r="AD405" i="5"/>
  <c r="AD406" i="5"/>
  <c r="AD407" i="5"/>
  <c r="AD408" i="5"/>
  <c r="AD409" i="5"/>
  <c r="AD410" i="5"/>
  <c r="AD411" i="5"/>
  <c r="AD412" i="5"/>
  <c r="AD413" i="5"/>
  <c r="AD414" i="5"/>
  <c r="AD415" i="5"/>
  <c r="AD416" i="5"/>
  <c r="AD417" i="5"/>
  <c r="AD418" i="5"/>
  <c r="AD419" i="5"/>
  <c r="AD420" i="5"/>
  <c r="AD421" i="5"/>
  <c r="AD422" i="5"/>
  <c r="AD423" i="5"/>
  <c r="AD424" i="5"/>
  <c r="AD425" i="5"/>
  <c r="AD426" i="5"/>
  <c r="AD427" i="5"/>
  <c r="AD428" i="5"/>
  <c r="AD429" i="5"/>
  <c r="AD430" i="5"/>
  <c r="AD431" i="5"/>
  <c r="AD432" i="5"/>
  <c r="AD433" i="5"/>
  <c r="AD434" i="5"/>
  <c r="AD435" i="5"/>
  <c r="AD436" i="5"/>
  <c r="AD437" i="5"/>
  <c r="AD438" i="5"/>
  <c r="AD439" i="5"/>
  <c r="AD440" i="5"/>
  <c r="AD441" i="5"/>
  <c r="AD442" i="5"/>
  <c r="AD443" i="5"/>
  <c r="AD444" i="5"/>
  <c r="AD445" i="5"/>
  <c r="AD446" i="5"/>
  <c r="AD447" i="5"/>
  <c r="AD448" i="5"/>
  <c r="AD449" i="5"/>
  <c r="AD450" i="5"/>
  <c r="AD451" i="5"/>
  <c r="AD452" i="5"/>
  <c r="AD453" i="5"/>
  <c r="AD454" i="5"/>
  <c r="AD455" i="5"/>
  <c r="AD456" i="5"/>
  <c r="AD457" i="5"/>
  <c r="AD458" i="5"/>
  <c r="AD459" i="5"/>
  <c r="AD460" i="5"/>
  <c r="AD461" i="5"/>
  <c r="AD462" i="5"/>
  <c r="AD463" i="5"/>
  <c r="AD464" i="5"/>
  <c r="AD465" i="5"/>
  <c r="AD466" i="5"/>
  <c r="AD467" i="5"/>
  <c r="AD468" i="5"/>
  <c r="AD469" i="5"/>
  <c r="AD470" i="5"/>
  <c r="AD471" i="5"/>
  <c r="AD472" i="5"/>
  <c r="AD473" i="5"/>
  <c r="AD474" i="5"/>
  <c r="AD475" i="5"/>
  <c r="AD476" i="5"/>
  <c r="AD477" i="5"/>
  <c r="AD478" i="5"/>
  <c r="AD479" i="5"/>
  <c r="AD480" i="5"/>
  <c r="AD481" i="5"/>
  <c r="AD482" i="5"/>
  <c r="AD483" i="5"/>
  <c r="AD484" i="5"/>
  <c r="AD485" i="5"/>
  <c r="AD486" i="5"/>
  <c r="AD487" i="5"/>
  <c r="AD488" i="5"/>
  <c r="AD489" i="5"/>
  <c r="AD490" i="5"/>
  <c r="AD491" i="5"/>
  <c r="AD492" i="5"/>
  <c r="AD493" i="5"/>
  <c r="AD494" i="5"/>
  <c r="AD495" i="5"/>
  <c r="AD496" i="5"/>
  <c r="AD497" i="5"/>
  <c r="AD498" i="5"/>
  <c r="AD499" i="5"/>
  <c r="AD500" i="5"/>
  <c r="AD501" i="5"/>
  <c r="AD502" i="5"/>
  <c r="AD503" i="5"/>
  <c r="AD504" i="5"/>
  <c r="AD505" i="5"/>
  <c r="AD506" i="5"/>
  <c r="AD507" i="5"/>
  <c r="AD508" i="5"/>
  <c r="AD509" i="5"/>
  <c r="AD510" i="5"/>
  <c r="AD511" i="5"/>
  <c r="AD512" i="5"/>
  <c r="AD513" i="5"/>
  <c r="AD514" i="5"/>
  <c r="AD515" i="5"/>
  <c r="AD516" i="5"/>
  <c r="AD517" i="5"/>
  <c r="AD518" i="5"/>
  <c r="AD519" i="5"/>
  <c r="AD520" i="5"/>
  <c r="AD521" i="5"/>
  <c r="AD522" i="5"/>
  <c r="AD523" i="5"/>
  <c r="AD524" i="5"/>
  <c r="AD525" i="5"/>
  <c r="AD526" i="5"/>
  <c r="AD527" i="5"/>
  <c r="AD528" i="5"/>
  <c r="AD529" i="5"/>
  <c r="AD530" i="5"/>
  <c r="AD531" i="5"/>
  <c r="AD2" i="5"/>
  <c r="AH2" i="6"/>
  <c r="AH5" i="6"/>
  <c r="AH4" i="6"/>
  <c r="AH3" i="6"/>
  <c r="AD157" i="7"/>
  <c r="AD164" i="7"/>
  <c r="AD277" i="7"/>
  <c r="AD130" i="7"/>
  <c r="AD280" i="7"/>
  <c r="AD170" i="7"/>
  <c r="AD14" i="7"/>
  <c r="AD273" i="7"/>
  <c r="AD278" i="7"/>
  <c r="AD135" i="7"/>
  <c r="AD208" i="7"/>
  <c r="AD171" i="7"/>
  <c r="AD197" i="7"/>
  <c r="AD291" i="7"/>
  <c r="AD212" i="7"/>
  <c r="AD168" i="7"/>
  <c r="AD282" i="7"/>
  <c r="AD149" i="7"/>
  <c r="AD175" i="7"/>
  <c r="AD15" i="7"/>
  <c r="AD292" i="7"/>
  <c r="AD245" i="7"/>
  <c r="AD112" i="7"/>
  <c r="AD293" i="7"/>
  <c r="AD294" i="7"/>
  <c r="AD215" i="7"/>
  <c r="AD211" i="7"/>
  <c r="AD281" i="7"/>
  <c r="AD261" i="7"/>
  <c r="AD57" i="7"/>
  <c r="AD176" i="7"/>
  <c r="AD96" i="7"/>
  <c r="AD295" i="7"/>
  <c r="AD224" i="7"/>
  <c r="AD252" i="7"/>
  <c r="AD260" i="7"/>
  <c r="AD296" i="7"/>
  <c r="AD63" i="7"/>
  <c r="AD18" i="7"/>
  <c r="AD238" i="7"/>
  <c r="AD297" i="7"/>
  <c r="AD43" i="7"/>
  <c r="AD298" i="7"/>
  <c r="AD299" i="7"/>
  <c r="AD159" i="7"/>
  <c r="AD156" i="7"/>
  <c r="AD194" i="7"/>
  <c r="AD85" i="7"/>
  <c r="AD300" i="7"/>
  <c r="AD102" i="7"/>
  <c r="AD301" i="7"/>
  <c r="AD220" i="7"/>
  <c r="AD302" i="7"/>
  <c r="AD51" i="7"/>
  <c r="AD202" i="7"/>
  <c r="AD177" i="7"/>
  <c r="AD303" i="7"/>
  <c r="AD64" i="7"/>
  <c r="AD304" i="7"/>
  <c r="AD124" i="7"/>
  <c r="AD284" i="7"/>
  <c r="AD129" i="7"/>
  <c r="AD99" i="7"/>
  <c r="AD87" i="7"/>
  <c r="AD161" i="7"/>
  <c r="AD222" i="7"/>
  <c r="AD119" i="7"/>
  <c r="AD305" i="7"/>
  <c r="AD94" i="7"/>
  <c r="AD306" i="7"/>
  <c r="AD101" i="7"/>
  <c r="AD307" i="7"/>
  <c r="AD256" i="7"/>
  <c r="AD308" i="7"/>
  <c r="AD150" i="7"/>
  <c r="AD309" i="7"/>
  <c r="AD100" i="7"/>
  <c r="AD231" i="7"/>
  <c r="AD178" i="7"/>
  <c r="AD310" i="7"/>
  <c r="AD65" i="7"/>
  <c r="AD311" i="7"/>
  <c r="AD20" i="7"/>
  <c r="AD19" i="7"/>
  <c r="AD312" i="7"/>
  <c r="AD163" i="7"/>
  <c r="AD313" i="7"/>
  <c r="AD29" i="7"/>
  <c r="AD210" i="7"/>
  <c r="AD8" i="7"/>
  <c r="AD314" i="7"/>
  <c r="AD315" i="7"/>
  <c r="AD128" i="7"/>
  <c r="AD316" i="7"/>
  <c r="AD115" i="7"/>
  <c r="AD317" i="7"/>
  <c r="AD95" i="7"/>
  <c r="AD318" i="7"/>
  <c r="AD138" i="7"/>
  <c r="AD319" i="7"/>
  <c r="AD209" i="7"/>
  <c r="AD320" i="7"/>
  <c r="AD276" i="7"/>
  <c r="AD321" i="7"/>
  <c r="AD137" i="7"/>
  <c r="AD322" i="7"/>
  <c r="AD323" i="7"/>
  <c r="AD37" i="7"/>
  <c r="AD179" i="7"/>
  <c r="AD324" i="7"/>
  <c r="AD66" i="7"/>
  <c r="AD325" i="7"/>
  <c r="AD326" i="7"/>
  <c r="AD6" i="7"/>
  <c r="AD162" i="7"/>
  <c r="AD148" i="7"/>
  <c r="AD251" i="7"/>
  <c r="AD327" i="7"/>
  <c r="AD328" i="7"/>
  <c r="AD48" i="7"/>
  <c r="AD283" i="7"/>
  <c r="AD218" i="7"/>
  <c r="AD9" i="7"/>
  <c r="AD329" i="7"/>
  <c r="AD239" i="7"/>
  <c r="AD158" i="7"/>
  <c r="AD330" i="7"/>
  <c r="AD106" i="7"/>
  <c r="AD331" i="7"/>
  <c r="AD332" i="7"/>
  <c r="AD244" i="7"/>
  <c r="AD103" i="7"/>
  <c r="AD333" i="7"/>
  <c r="AD334" i="7"/>
  <c r="AD335" i="7"/>
  <c r="AD166" i="7"/>
  <c r="AD27" i="7"/>
  <c r="AD336" i="7"/>
  <c r="AD337" i="7"/>
  <c r="AD38" i="7"/>
  <c r="AD180" i="7"/>
  <c r="AD338" i="7"/>
  <c r="AD67" i="7"/>
  <c r="AD339" i="7"/>
  <c r="AD269" i="7"/>
  <c r="AD340" i="7"/>
  <c r="AD243" i="7"/>
  <c r="AD10" i="7"/>
  <c r="AD341" i="7"/>
  <c r="AD21" i="7"/>
  <c r="AD342" i="7"/>
  <c r="AD285" i="7"/>
  <c r="AD254" i="7"/>
  <c r="AD343" i="7"/>
  <c r="AD344" i="7"/>
  <c r="AD345" i="7"/>
  <c r="AD346" i="7"/>
  <c r="AD347" i="7"/>
  <c r="AD92" i="7"/>
  <c r="AD61" i="7"/>
  <c r="AD154" i="7"/>
  <c r="AD348" i="7"/>
  <c r="AD144" i="7"/>
  <c r="AD349" i="7"/>
  <c r="AD350" i="7"/>
  <c r="AD213" i="7"/>
  <c r="AD351" i="7"/>
  <c r="AD174" i="7"/>
  <c r="AD250" i="7"/>
  <c r="AD227" i="7"/>
  <c r="AD352" i="7"/>
  <c r="AD353" i="7"/>
  <c r="AD354" i="7"/>
  <c r="AD39" i="7"/>
  <c r="AD181" i="7"/>
  <c r="AD355" i="7"/>
  <c r="AD68" i="7"/>
  <c r="AD356" i="7"/>
  <c r="AD262" i="7"/>
  <c r="AD198" i="7"/>
  <c r="AD279" i="7"/>
  <c r="AD357" i="7"/>
  <c r="AD358" i="7"/>
  <c r="AD24" i="7"/>
  <c r="AD153" i="7"/>
  <c r="AD75" i="7"/>
  <c r="AD217" i="7"/>
  <c r="AD30" i="7"/>
  <c r="AD258" i="7"/>
  <c r="AD359" i="7"/>
  <c r="AD360" i="7"/>
  <c r="AD54" i="7"/>
  <c r="AD361" i="7"/>
  <c r="AD11" i="7"/>
  <c r="AD362" i="7"/>
  <c r="AD120" i="7"/>
  <c r="AD363" i="7"/>
  <c r="AD93" i="7"/>
  <c r="AD142" i="7"/>
  <c r="AD364" i="7"/>
  <c r="AD365" i="7"/>
  <c r="AD366" i="7"/>
  <c r="AD367" i="7"/>
  <c r="AD368" i="7"/>
  <c r="AD41" i="7"/>
  <c r="AD182" i="7"/>
  <c r="AD369" i="7"/>
  <c r="AD69" i="7"/>
  <c r="AD370" i="7"/>
  <c r="AD248" i="7"/>
  <c r="AD371" i="7"/>
  <c r="AD270" i="7"/>
  <c r="AD372" i="7"/>
  <c r="AD140" i="7"/>
  <c r="AD373" i="7"/>
  <c r="AD44" i="7"/>
  <c r="AD193" i="7"/>
  <c r="AD34" i="7"/>
  <c r="AD46" i="7"/>
  <c r="AD374" i="7"/>
  <c r="AD110" i="7"/>
  <c r="AD375" i="7"/>
  <c r="AD376" i="7"/>
  <c r="AD377" i="7"/>
  <c r="AD25" i="7"/>
  <c r="AD36" i="7"/>
  <c r="AD5" i="7"/>
  <c r="AD237" i="7"/>
  <c r="AD378" i="7"/>
  <c r="AD379" i="7"/>
  <c r="AD195" i="7"/>
  <c r="AD233" i="7"/>
  <c r="AD160" i="7"/>
  <c r="AD380" i="7"/>
  <c r="AD121" i="7"/>
  <c r="AD381" i="7"/>
  <c r="AD382" i="7"/>
  <c r="AD383" i="7"/>
  <c r="AD42" i="7"/>
  <c r="AD183" i="7"/>
  <c r="AD384" i="7"/>
  <c r="AD70" i="7"/>
  <c r="AD16" i="7"/>
  <c r="AD385" i="7"/>
  <c r="AD255" i="7"/>
  <c r="AD72" i="7"/>
  <c r="AD386" i="7"/>
  <c r="AD79" i="7"/>
  <c r="AD387" i="7"/>
  <c r="AD80" i="7"/>
  <c r="AD167" i="7"/>
  <c r="AD388" i="7"/>
  <c r="AD389" i="7"/>
  <c r="AD390" i="7"/>
  <c r="AD391" i="7"/>
  <c r="AD40" i="7"/>
  <c r="AD264" i="7"/>
  <c r="AD392" i="7"/>
  <c r="AD393" i="7"/>
  <c r="AD394" i="7"/>
  <c r="AD395" i="7"/>
  <c r="AD274" i="7"/>
  <c r="AD396" i="7"/>
  <c r="AD17" i="7"/>
  <c r="AD199" i="7"/>
  <c r="AD397" i="7"/>
  <c r="AD74" i="7"/>
  <c r="AD268" i="7"/>
  <c r="AD122" i="7"/>
  <c r="AD398" i="7"/>
  <c r="AD399" i="7"/>
  <c r="AD400" i="7"/>
  <c r="AD23" i="7"/>
  <c r="AD184" i="7"/>
  <c r="AD401" i="7"/>
  <c r="AD83" i="7"/>
  <c r="AD402" i="7"/>
  <c r="AD403" i="7"/>
  <c r="AD404" i="7"/>
  <c r="AD125" i="7"/>
  <c r="AD405" i="7"/>
  <c r="AD406" i="7"/>
  <c r="AD407" i="7"/>
  <c r="AD408" i="7"/>
  <c r="AD143" i="7"/>
  <c r="AD409" i="7"/>
  <c r="AD410" i="7"/>
  <c r="AD411" i="7"/>
  <c r="AD172" i="7"/>
  <c r="AD412" i="7"/>
  <c r="AD225" i="7"/>
  <c r="AD247" i="7"/>
  <c r="AD413" i="7"/>
  <c r="AD414" i="7"/>
  <c r="AD286" i="7"/>
  <c r="AD415" i="7"/>
  <c r="AD272" i="7"/>
  <c r="AD196" i="7"/>
  <c r="AD416" i="7"/>
  <c r="AD417" i="7"/>
  <c r="AD152" i="7"/>
  <c r="AD242" i="7"/>
  <c r="AD131" i="7"/>
  <c r="AD418" i="7"/>
  <c r="AD419" i="7"/>
  <c r="AD263" i="7"/>
  <c r="AD35" i="7"/>
  <c r="AD185" i="7"/>
  <c r="AD420" i="7"/>
  <c r="AD71" i="7"/>
  <c r="AD421" i="7"/>
  <c r="AD108" i="7"/>
  <c r="AD422" i="7"/>
  <c r="AD423" i="7"/>
  <c r="AD424" i="7"/>
  <c r="AD425" i="7"/>
  <c r="AD426" i="7"/>
  <c r="AD427" i="7"/>
  <c r="AD165" i="7"/>
  <c r="AD428" i="7"/>
  <c r="AD253" i="7"/>
  <c r="AD145" i="7"/>
  <c r="AD234" i="7"/>
  <c r="AD192" i="7"/>
  <c r="AD429" i="7"/>
  <c r="AD52" i="7"/>
  <c r="AD4" i="7"/>
  <c r="AD62" i="7"/>
  <c r="AD430" i="7"/>
  <c r="AD431" i="7"/>
  <c r="AD432" i="7"/>
  <c r="AD26" i="7"/>
  <c r="AD287" i="7"/>
  <c r="AD186" i="7"/>
  <c r="AD433" i="7"/>
  <c r="AD59" i="7"/>
  <c r="AD257" i="7"/>
  <c r="AD434" i="7"/>
  <c r="AD435" i="7"/>
  <c r="AD436" i="7"/>
  <c r="AD437" i="7"/>
  <c r="AD438" i="7"/>
  <c r="AD439" i="7"/>
  <c r="AD440" i="7"/>
  <c r="AD216" i="7"/>
  <c r="AD441" i="7"/>
  <c r="AD33" i="7"/>
  <c r="AD81" i="7"/>
  <c r="AD442" i="7"/>
  <c r="AD443" i="7"/>
  <c r="AD141" i="7"/>
  <c r="AD444" i="7"/>
  <c r="AD445" i="7"/>
  <c r="AD132" i="7"/>
  <c r="AD446" i="7"/>
  <c r="AD447" i="7"/>
  <c r="AD448" i="7"/>
  <c r="AD12" i="7"/>
  <c r="AD187" i="7"/>
  <c r="AD449" i="7"/>
  <c r="AD60" i="7"/>
  <c r="AD235" i="7"/>
  <c r="AD450" i="7"/>
  <c r="AD113" i="7"/>
  <c r="AD241" i="7"/>
  <c r="AD56" i="7"/>
  <c r="AD451" i="7"/>
  <c r="AD77" i="7"/>
  <c r="AD127" i="7"/>
  <c r="AD452" i="7"/>
  <c r="AD453" i="7"/>
  <c r="AD454" i="7"/>
  <c r="AD3" i="7"/>
  <c r="AD288" i="7"/>
  <c r="AD188" i="7"/>
  <c r="AD455" i="7"/>
  <c r="AD28" i="7"/>
  <c r="AD456" i="7"/>
  <c r="AD457" i="7"/>
  <c r="AD458" i="7"/>
  <c r="AD459" i="7"/>
  <c r="AD460" i="7"/>
  <c r="AD461" i="7"/>
  <c r="AD462" i="7"/>
  <c r="AD463" i="7"/>
  <c r="AD97" i="7"/>
  <c r="AD78" i="7"/>
  <c r="AD464" i="7"/>
  <c r="AD465" i="7"/>
  <c r="AD466" i="7"/>
  <c r="AD22" i="7"/>
  <c r="AD289" i="7"/>
  <c r="AD189" i="7"/>
  <c r="AD467" i="7"/>
  <c r="AD468" i="7"/>
  <c r="AD139" i="7"/>
  <c r="AD469" i="7"/>
  <c r="AD49" i="7"/>
  <c r="AD470" i="7"/>
  <c r="AD151" i="7"/>
  <c r="AD471" i="7"/>
  <c r="AD472" i="7"/>
  <c r="AD473" i="7"/>
  <c r="AD105" i="7"/>
  <c r="AD201" i="7"/>
  <c r="AD86" i="7"/>
  <c r="AD31" i="7"/>
  <c r="AD474" i="7"/>
  <c r="AD475" i="7"/>
  <c r="AD47" i="7"/>
  <c r="AD89" i="7"/>
  <c r="AD476" i="7"/>
  <c r="AD477" i="7"/>
  <c r="AD58" i="7"/>
  <c r="AD190" i="7"/>
  <c r="AD478" i="7"/>
  <c r="AD118" i="7"/>
  <c r="AD479" i="7"/>
  <c r="AD480" i="7"/>
  <c r="AD481" i="7"/>
  <c r="AD482" i="7"/>
  <c r="AD73" i="7"/>
  <c r="AD483" i="7"/>
  <c r="AD126" i="7"/>
  <c r="AD484" i="7"/>
  <c r="AD485" i="7"/>
  <c r="AD76" i="7"/>
  <c r="AD191" i="7"/>
  <c r="AD117" i="7"/>
  <c r="AD486" i="7"/>
  <c r="AD487" i="7"/>
  <c r="AD55" i="7"/>
  <c r="AD109" i="7"/>
  <c r="AD488" i="7"/>
  <c r="AD271" i="7"/>
  <c r="AD489" i="7"/>
  <c r="AD490" i="7"/>
  <c r="AD90" i="7"/>
  <c r="AD491" i="7"/>
  <c r="AD492" i="7"/>
  <c r="AD13" i="7"/>
  <c r="AD114" i="7"/>
  <c r="AD493" i="7"/>
  <c r="AD267" i="7"/>
  <c r="AD494" i="7"/>
  <c r="AD133" i="7"/>
  <c r="AD495" i="7"/>
  <c r="AD496" i="7"/>
  <c r="AD497" i="7"/>
  <c r="AD204" i="7"/>
  <c r="AD249" i="7"/>
  <c r="AD498" i="7"/>
  <c r="AD230" i="7"/>
  <c r="AD206" i="7"/>
  <c r="AD226" i="7"/>
  <c r="AD91" i="7"/>
  <c r="AD136" i="7"/>
  <c r="AD232" i="7"/>
  <c r="AD499" i="7"/>
  <c r="AD500" i="7"/>
  <c r="AD147" i="7"/>
  <c r="AD107" i="7"/>
  <c r="AD84" i="7"/>
  <c r="AD501" i="7"/>
  <c r="AD221" i="7"/>
  <c r="AD259" i="7"/>
  <c r="AD50" i="7"/>
  <c r="AD88" i="7"/>
  <c r="AD502" i="7"/>
  <c r="AD503" i="7"/>
  <c r="AD504" i="7"/>
  <c r="AD505" i="7"/>
  <c r="AD155" i="7"/>
  <c r="AD506" i="7"/>
  <c r="AD116" i="7"/>
  <c r="AD507" i="7"/>
  <c r="AD240" i="7"/>
  <c r="AD508" i="7"/>
  <c r="AD509" i="7"/>
  <c r="AD236" i="7"/>
  <c r="AD169" i="7"/>
  <c r="AD275" i="7"/>
  <c r="AD53" i="7"/>
  <c r="AD111" i="7"/>
  <c r="AD228" i="7"/>
  <c r="AD134" i="7"/>
  <c r="AD510" i="7"/>
  <c r="AD146" i="7"/>
  <c r="AD511" i="7"/>
  <c r="AD512" i="7"/>
  <c r="AD203" i="7"/>
  <c r="AD266" i="7"/>
  <c r="AD246" i="7"/>
  <c r="AD513" i="7"/>
  <c r="AD514" i="7"/>
  <c r="AD214" i="7"/>
  <c r="AD515" i="7"/>
  <c r="AD229" i="7"/>
  <c r="AD82" i="7"/>
  <c r="AD223" i="7"/>
  <c r="AD516" i="7"/>
  <c r="AD200" i="7"/>
  <c r="AD205" i="7"/>
  <c r="AD219" i="7"/>
  <c r="AD517" i="7"/>
  <c r="AD98" i="7"/>
  <c r="AD518" i="7"/>
  <c r="AD7" i="7"/>
  <c r="AD519" i="7"/>
  <c r="AD123" i="7"/>
  <c r="AD45" i="7"/>
  <c r="AD520" i="7"/>
  <c r="AD104" i="7"/>
  <c r="AD521" i="7"/>
  <c r="AD207" i="7"/>
  <c r="AD290" i="7"/>
  <c r="AD522" i="7"/>
  <c r="AD523" i="7"/>
  <c r="AD524" i="7"/>
  <c r="AD173" i="7"/>
  <c r="AD525" i="7"/>
  <c r="AD526" i="7"/>
  <c r="AD32" i="7"/>
  <c r="AD527" i="7"/>
  <c r="AD528" i="7"/>
  <c r="AD529" i="7"/>
  <c r="AD530" i="7"/>
  <c r="AD265" i="7"/>
  <c r="H24" i="6" l="1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2" i="5" l="1"/>
  <c r="K2" i="5"/>
  <c r="AH6" i="6"/>
  <c r="AH7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M45" i="6"/>
  <c r="Q45" i="6"/>
  <c r="S45" i="6" s="1"/>
  <c r="P45" i="6"/>
  <c r="R45" i="6" s="1"/>
  <c r="L45" i="6"/>
  <c r="K45" i="6"/>
  <c r="I45" i="6"/>
  <c r="H45" i="6"/>
  <c r="F45" i="6"/>
  <c r="N45" i="6" s="1"/>
  <c r="E45" i="6"/>
  <c r="C45" i="6"/>
  <c r="B45" i="6"/>
  <c r="Q8" i="6"/>
  <c r="S8" i="6" s="1"/>
  <c r="P8" i="6"/>
  <c r="R8" i="6" s="1"/>
  <c r="L8" i="6"/>
  <c r="K8" i="6"/>
  <c r="I8" i="6"/>
  <c r="H8" i="6"/>
  <c r="F8" i="6"/>
  <c r="N8" i="6" s="1"/>
  <c r="E8" i="6"/>
  <c r="M8" i="6" s="1"/>
  <c r="C8" i="6"/>
  <c r="B8" i="6"/>
  <c r="AG45" i="6" l="1"/>
  <c r="AC45" i="6"/>
  <c r="AB45" i="6"/>
  <c r="AE45" i="6"/>
  <c r="AD45" i="6"/>
  <c r="AH8" i="6"/>
  <c r="AC8" i="6"/>
  <c r="AB8" i="6"/>
  <c r="AE8" i="6"/>
  <c r="AD8" i="6"/>
  <c r="Q531" i="5" l="1"/>
  <c r="S531" i="5" s="1"/>
  <c r="P531" i="5"/>
  <c r="R531" i="5" s="1"/>
  <c r="L531" i="5"/>
  <c r="K531" i="5"/>
  <c r="I531" i="5"/>
  <c r="H531" i="5"/>
  <c r="F531" i="5"/>
  <c r="N531" i="5" s="1"/>
  <c r="E531" i="5"/>
  <c r="M531" i="5" s="1"/>
  <c r="C531" i="5"/>
  <c r="B531" i="5"/>
  <c r="Q530" i="5"/>
  <c r="S530" i="5" s="1"/>
  <c r="P530" i="5"/>
  <c r="R530" i="5" s="1"/>
  <c r="L530" i="5"/>
  <c r="K530" i="5"/>
  <c r="I530" i="5"/>
  <c r="H530" i="5"/>
  <c r="F530" i="5"/>
  <c r="E530" i="5"/>
  <c r="C530" i="5"/>
  <c r="B530" i="5"/>
  <c r="Q529" i="5"/>
  <c r="S529" i="5" s="1"/>
  <c r="P529" i="5"/>
  <c r="R529" i="5" s="1"/>
  <c r="L529" i="5"/>
  <c r="K529" i="5"/>
  <c r="I529" i="5"/>
  <c r="H529" i="5"/>
  <c r="F529" i="5"/>
  <c r="E529" i="5"/>
  <c r="M529" i="5" s="1"/>
  <c r="C529" i="5"/>
  <c r="B529" i="5"/>
  <c r="Q528" i="5"/>
  <c r="S528" i="5" s="1"/>
  <c r="P528" i="5"/>
  <c r="R528" i="5" s="1"/>
  <c r="L528" i="5"/>
  <c r="K528" i="5"/>
  <c r="I528" i="5"/>
  <c r="N528" i="5" s="1"/>
  <c r="H528" i="5"/>
  <c r="F528" i="5"/>
  <c r="E528" i="5"/>
  <c r="C528" i="5"/>
  <c r="B528" i="5"/>
  <c r="Q527" i="5"/>
  <c r="S527" i="5" s="1"/>
  <c r="P527" i="5"/>
  <c r="R527" i="5" s="1"/>
  <c r="L527" i="5"/>
  <c r="K527" i="5"/>
  <c r="I527" i="5"/>
  <c r="H527" i="5"/>
  <c r="F527" i="5"/>
  <c r="N527" i="5" s="1"/>
  <c r="AA527" i="5" s="1"/>
  <c r="E527" i="5"/>
  <c r="M527" i="5" s="1"/>
  <c r="C527" i="5"/>
  <c r="B527" i="5"/>
  <c r="Q526" i="5"/>
  <c r="S526" i="5" s="1"/>
  <c r="P526" i="5"/>
  <c r="R526" i="5" s="1"/>
  <c r="L526" i="5"/>
  <c r="K526" i="5"/>
  <c r="I526" i="5"/>
  <c r="H526" i="5"/>
  <c r="F526" i="5"/>
  <c r="E526" i="5"/>
  <c r="C526" i="5"/>
  <c r="B526" i="5"/>
  <c r="R525" i="5"/>
  <c r="Q525" i="5"/>
  <c r="S525" i="5" s="1"/>
  <c r="P525" i="5"/>
  <c r="L525" i="5"/>
  <c r="K525" i="5"/>
  <c r="I525" i="5"/>
  <c r="H525" i="5"/>
  <c r="F525" i="5"/>
  <c r="E525" i="5"/>
  <c r="C525" i="5"/>
  <c r="B525" i="5"/>
  <c r="Q524" i="5"/>
  <c r="S524" i="5" s="1"/>
  <c r="P524" i="5"/>
  <c r="R524" i="5" s="1"/>
  <c r="L524" i="5"/>
  <c r="K524" i="5"/>
  <c r="I524" i="5"/>
  <c r="H524" i="5"/>
  <c r="F524" i="5"/>
  <c r="E524" i="5"/>
  <c r="C524" i="5"/>
  <c r="B524" i="5"/>
  <c r="Q523" i="5"/>
  <c r="S523" i="5" s="1"/>
  <c r="P523" i="5"/>
  <c r="R523" i="5" s="1"/>
  <c r="L523" i="5"/>
  <c r="K523" i="5"/>
  <c r="I523" i="5"/>
  <c r="H523" i="5"/>
  <c r="F523" i="5"/>
  <c r="E523" i="5"/>
  <c r="C523" i="5"/>
  <c r="B523" i="5"/>
  <c r="Q522" i="5"/>
  <c r="S522" i="5" s="1"/>
  <c r="P522" i="5"/>
  <c r="R522" i="5" s="1"/>
  <c r="L522" i="5"/>
  <c r="K522" i="5"/>
  <c r="I522" i="5"/>
  <c r="H522" i="5"/>
  <c r="F522" i="5"/>
  <c r="E522" i="5"/>
  <c r="C522" i="5"/>
  <c r="B522" i="5"/>
  <c r="Q521" i="5"/>
  <c r="S521" i="5" s="1"/>
  <c r="P521" i="5"/>
  <c r="R521" i="5" s="1"/>
  <c r="L521" i="5"/>
  <c r="K521" i="5"/>
  <c r="I521" i="5"/>
  <c r="H521" i="5"/>
  <c r="F521" i="5"/>
  <c r="E521" i="5"/>
  <c r="M521" i="5" s="1"/>
  <c r="Y521" i="5" s="1"/>
  <c r="C521" i="5"/>
  <c r="B521" i="5"/>
  <c r="Q520" i="5"/>
  <c r="S520" i="5" s="1"/>
  <c r="P520" i="5"/>
  <c r="R520" i="5" s="1"/>
  <c r="L520" i="5"/>
  <c r="K520" i="5"/>
  <c r="I520" i="5"/>
  <c r="H520" i="5"/>
  <c r="F520" i="5"/>
  <c r="E520" i="5"/>
  <c r="C520" i="5"/>
  <c r="B520" i="5"/>
  <c r="Q519" i="5"/>
  <c r="S519" i="5" s="1"/>
  <c r="P519" i="5"/>
  <c r="R519" i="5" s="1"/>
  <c r="L519" i="5"/>
  <c r="K519" i="5"/>
  <c r="I519" i="5"/>
  <c r="H519" i="5"/>
  <c r="F519" i="5"/>
  <c r="E519" i="5"/>
  <c r="C519" i="5"/>
  <c r="B519" i="5"/>
  <c r="R518" i="5"/>
  <c r="Q518" i="5"/>
  <c r="S518" i="5" s="1"/>
  <c r="P518" i="5"/>
  <c r="L518" i="5"/>
  <c r="K518" i="5"/>
  <c r="I518" i="5"/>
  <c r="H518" i="5"/>
  <c r="F518" i="5"/>
  <c r="E518" i="5"/>
  <c r="C518" i="5"/>
  <c r="B518" i="5"/>
  <c r="Q517" i="5"/>
  <c r="S517" i="5" s="1"/>
  <c r="P517" i="5"/>
  <c r="R517" i="5" s="1"/>
  <c r="L517" i="5"/>
  <c r="K517" i="5"/>
  <c r="I517" i="5"/>
  <c r="H517" i="5"/>
  <c r="F517" i="5"/>
  <c r="E517" i="5"/>
  <c r="C517" i="5"/>
  <c r="B517" i="5"/>
  <c r="Q516" i="5"/>
  <c r="S516" i="5" s="1"/>
  <c r="P516" i="5"/>
  <c r="R516" i="5" s="1"/>
  <c r="L516" i="5"/>
  <c r="N516" i="5" s="1"/>
  <c r="K516" i="5"/>
  <c r="I516" i="5"/>
  <c r="H516" i="5"/>
  <c r="F516" i="5"/>
  <c r="E516" i="5"/>
  <c r="C516" i="5"/>
  <c r="B516" i="5"/>
  <c r="Q515" i="5"/>
  <c r="S515" i="5" s="1"/>
  <c r="P515" i="5"/>
  <c r="R515" i="5" s="1"/>
  <c r="L515" i="5"/>
  <c r="K515" i="5"/>
  <c r="I515" i="5"/>
  <c r="H515" i="5"/>
  <c r="F515" i="5"/>
  <c r="E515" i="5"/>
  <c r="M515" i="5" s="1"/>
  <c r="C515" i="5"/>
  <c r="B515" i="5"/>
  <c r="Q514" i="5"/>
  <c r="S514" i="5" s="1"/>
  <c r="P514" i="5"/>
  <c r="R514" i="5" s="1"/>
  <c r="L514" i="5"/>
  <c r="K514" i="5"/>
  <c r="I514" i="5"/>
  <c r="H514" i="5"/>
  <c r="F514" i="5"/>
  <c r="E514" i="5"/>
  <c r="M514" i="5" s="1"/>
  <c r="C514" i="5"/>
  <c r="B514" i="5"/>
  <c r="Q513" i="5"/>
  <c r="S513" i="5" s="1"/>
  <c r="P513" i="5"/>
  <c r="R513" i="5" s="1"/>
  <c r="L513" i="5"/>
  <c r="K513" i="5"/>
  <c r="I513" i="5"/>
  <c r="H513" i="5"/>
  <c r="F513" i="5"/>
  <c r="E513" i="5"/>
  <c r="C513" i="5"/>
  <c r="B513" i="5"/>
  <c r="Q512" i="5"/>
  <c r="S512" i="5" s="1"/>
  <c r="P512" i="5"/>
  <c r="R512" i="5" s="1"/>
  <c r="L512" i="5"/>
  <c r="K512" i="5"/>
  <c r="I512" i="5"/>
  <c r="H512" i="5"/>
  <c r="F512" i="5"/>
  <c r="E512" i="5"/>
  <c r="C512" i="5"/>
  <c r="B512" i="5"/>
  <c r="Q511" i="5"/>
  <c r="S511" i="5" s="1"/>
  <c r="P511" i="5"/>
  <c r="R511" i="5" s="1"/>
  <c r="L511" i="5"/>
  <c r="K511" i="5"/>
  <c r="I511" i="5"/>
  <c r="H511" i="5"/>
  <c r="F511" i="5"/>
  <c r="E511" i="5"/>
  <c r="C511" i="5"/>
  <c r="B511" i="5"/>
  <c r="Q510" i="5"/>
  <c r="S510" i="5" s="1"/>
  <c r="P510" i="5"/>
  <c r="R510" i="5" s="1"/>
  <c r="L510" i="5"/>
  <c r="K510" i="5"/>
  <c r="I510" i="5"/>
  <c r="H510" i="5"/>
  <c r="F510" i="5"/>
  <c r="E510" i="5"/>
  <c r="C510" i="5"/>
  <c r="B510" i="5"/>
  <c r="R509" i="5"/>
  <c r="Q509" i="5"/>
  <c r="S509" i="5" s="1"/>
  <c r="P509" i="5"/>
  <c r="L509" i="5"/>
  <c r="K509" i="5"/>
  <c r="I509" i="5"/>
  <c r="H509" i="5"/>
  <c r="F509" i="5"/>
  <c r="E509" i="5"/>
  <c r="C509" i="5"/>
  <c r="B509" i="5"/>
  <c r="Q508" i="5"/>
  <c r="S508" i="5" s="1"/>
  <c r="P508" i="5"/>
  <c r="R508" i="5" s="1"/>
  <c r="L508" i="5"/>
  <c r="K508" i="5"/>
  <c r="I508" i="5"/>
  <c r="H508" i="5"/>
  <c r="F508" i="5"/>
  <c r="E508" i="5"/>
  <c r="C508" i="5"/>
  <c r="B508" i="5"/>
  <c r="Q507" i="5"/>
  <c r="S507" i="5" s="1"/>
  <c r="P507" i="5"/>
  <c r="R507" i="5" s="1"/>
  <c r="L507" i="5"/>
  <c r="K507" i="5"/>
  <c r="I507" i="5"/>
  <c r="H507" i="5"/>
  <c r="F507" i="5"/>
  <c r="E507" i="5"/>
  <c r="C507" i="5"/>
  <c r="B507" i="5"/>
  <c r="Q506" i="5"/>
  <c r="S506" i="5" s="1"/>
  <c r="P506" i="5"/>
  <c r="R506" i="5" s="1"/>
  <c r="L506" i="5"/>
  <c r="K506" i="5"/>
  <c r="I506" i="5"/>
  <c r="H506" i="5"/>
  <c r="F506" i="5"/>
  <c r="E506" i="5"/>
  <c r="C506" i="5"/>
  <c r="B506" i="5"/>
  <c r="Q505" i="5"/>
  <c r="S505" i="5" s="1"/>
  <c r="P505" i="5"/>
  <c r="R505" i="5" s="1"/>
  <c r="L505" i="5"/>
  <c r="K505" i="5"/>
  <c r="I505" i="5"/>
  <c r="H505" i="5"/>
  <c r="M505" i="5" s="1"/>
  <c r="F505" i="5"/>
  <c r="E505" i="5"/>
  <c r="C505" i="5"/>
  <c r="B505" i="5"/>
  <c r="Q504" i="5"/>
  <c r="S504" i="5" s="1"/>
  <c r="P504" i="5"/>
  <c r="R504" i="5" s="1"/>
  <c r="L504" i="5"/>
  <c r="K504" i="5"/>
  <c r="I504" i="5"/>
  <c r="H504" i="5"/>
  <c r="F504" i="5"/>
  <c r="E504" i="5"/>
  <c r="C504" i="5"/>
  <c r="B504" i="5"/>
  <c r="R503" i="5"/>
  <c r="Q503" i="5"/>
  <c r="S503" i="5" s="1"/>
  <c r="P503" i="5"/>
  <c r="L503" i="5"/>
  <c r="K503" i="5"/>
  <c r="I503" i="5"/>
  <c r="H503" i="5"/>
  <c r="F503" i="5"/>
  <c r="E503" i="5"/>
  <c r="C503" i="5"/>
  <c r="B503" i="5"/>
  <c r="S502" i="5"/>
  <c r="Q502" i="5"/>
  <c r="P502" i="5"/>
  <c r="R502" i="5" s="1"/>
  <c r="L502" i="5"/>
  <c r="K502" i="5"/>
  <c r="I502" i="5"/>
  <c r="H502" i="5"/>
  <c r="F502" i="5"/>
  <c r="E502" i="5"/>
  <c r="C502" i="5"/>
  <c r="B502" i="5"/>
  <c r="Q501" i="5"/>
  <c r="S501" i="5" s="1"/>
  <c r="P501" i="5"/>
  <c r="R501" i="5" s="1"/>
  <c r="L501" i="5"/>
  <c r="K501" i="5"/>
  <c r="I501" i="5"/>
  <c r="H501" i="5"/>
  <c r="F501" i="5"/>
  <c r="E501" i="5"/>
  <c r="C501" i="5"/>
  <c r="B501" i="5"/>
  <c r="Q500" i="5"/>
  <c r="S500" i="5" s="1"/>
  <c r="P500" i="5"/>
  <c r="R500" i="5" s="1"/>
  <c r="L500" i="5"/>
  <c r="K500" i="5"/>
  <c r="I500" i="5"/>
  <c r="H500" i="5"/>
  <c r="F500" i="5"/>
  <c r="E500" i="5"/>
  <c r="C500" i="5"/>
  <c r="B500" i="5"/>
  <c r="Q499" i="5"/>
  <c r="S499" i="5" s="1"/>
  <c r="P499" i="5"/>
  <c r="R499" i="5" s="1"/>
  <c r="L499" i="5"/>
  <c r="K499" i="5"/>
  <c r="I499" i="5"/>
  <c r="H499" i="5"/>
  <c r="F499" i="5"/>
  <c r="E499" i="5"/>
  <c r="C499" i="5"/>
  <c r="B499" i="5"/>
  <c r="R498" i="5"/>
  <c r="Q498" i="5"/>
  <c r="S498" i="5" s="1"/>
  <c r="P498" i="5"/>
  <c r="L498" i="5"/>
  <c r="K498" i="5"/>
  <c r="I498" i="5"/>
  <c r="H498" i="5"/>
  <c r="F498" i="5"/>
  <c r="E498" i="5"/>
  <c r="C498" i="5"/>
  <c r="B498" i="5"/>
  <c r="Q497" i="5"/>
  <c r="S497" i="5" s="1"/>
  <c r="P497" i="5"/>
  <c r="R497" i="5" s="1"/>
  <c r="L497" i="5"/>
  <c r="K497" i="5"/>
  <c r="I497" i="5"/>
  <c r="H497" i="5"/>
  <c r="F497" i="5"/>
  <c r="E497" i="5"/>
  <c r="C497" i="5"/>
  <c r="B497" i="5"/>
  <c r="Q496" i="5"/>
  <c r="S496" i="5" s="1"/>
  <c r="P496" i="5"/>
  <c r="R496" i="5" s="1"/>
  <c r="L496" i="5"/>
  <c r="K496" i="5"/>
  <c r="I496" i="5"/>
  <c r="H496" i="5"/>
  <c r="F496" i="5"/>
  <c r="E496" i="5"/>
  <c r="C496" i="5"/>
  <c r="B496" i="5"/>
  <c r="R495" i="5"/>
  <c r="Q495" i="5"/>
  <c r="S495" i="5" s="1"/>
  <c r="P495" i="5"/>
  <c r="L495" i="5"/>
  <c r="K495" i="5"/>
  <c r="I495" i="5"/>
  <c r="H495" i="5"/>
  <c r="F495" i="5"/>
  <c r="N495" i="5" s="1"/>
  <c r="E495" i="5"/>
  <c r="C495" i="5"/>
  <c r="B495" i="5"/>
  <c r="Q494" i="5"/>
  <c r="S494" i="5" s="1"/>
  <c r="P494" i="5"/>
  <c r="R494" i="5" s="1"/>
  <c r="L494" i="5"/>
  <c r="K494" i="5"/>
  <c r="I494" i="5"/>
  <c r="N494" i="5" s="1"/>
  <c r="H494" i="5"/>
  <c r="F494" i="5"/>
  <c r="E494" i="5"/>
  <c r="C494" i="5"/>
  <c r="B494" i="5"/>
  <c r="R493" i="5"/>
  <c r="Q493" i="5"/>
  <c r="S493" i="5" s="1"/>
  <c r="P493" i="5"/>
  <c r="L493" i="5"/>
  <c r="K493" i="5"/>
  <c r="I493" i="5"/>
  <c r="H493" i="5"/>
  <c r="F493" i="5"/>
  <c r="E493" i="5"/>
  <c r="C493" i="5"/>
  <c r="B493" i="5"/>
  <c r="S492" i="5"/>
  <c r="Q492" i="5"/>
  <c r="P492" i="5"/>
  <c r="R492" i="5" s="1"/>
  <c r="L492" i="5"/>
  <c r="K492" i="5"/>
  <c r="I492" i="5"/>
  <c r="H492" i="5"/>
  <c r="F492" i="5"/>
  <c r="E492" i="5"/>
  <c r="C492" i="5"/>
  <c r="B492" i="5"/>
  <c r="Q491" i="5"/>
  <c r="S491" i="5" s="1"/>
  <c r="P491" i="5"/>
  <c r="R491" i="5" s="1"/>
  <c r="L491" i="5"/>
  <c r="K491" i="5"/>
  <c r="I491" i="5"/>
  <c r="H491" i="5"/>
  <c r="F491" i="5"/>
  <c r="E491" i="5"/>
  <c r="C491" i="5"/>
  <c r="B491" i="5"/>
  <c r="Q490" i="5"/>
  <c r="S490" i="5" s="1"/>
  <c r="P490" i="5"/>
  <c r="R490" i="5" s="1"/>
  <c r="X490" i="5" s="1"/>
  <c r="M490" i="5"/>
  <c r="L490" i="5"/>
  <c r="K490" i="5"/>
  <c r="I490" i="5"/>
  <c r="H490" i="5"/>
  <c r="F490" i="5"/>
  <c r="E490" i="5"/>
  <c r="C490" i="5"/>
  <c r="B490" i="5"/>
  <c r="Q489" i="5"/>
  <c r="S489" i="5" s="1"/>
  <c r="P489" i="5"/>
  <c r="R489" i="5" s="1"/>
  <c r="L489" i="5"/>
  <c r="K489" i="5"/>
  <c r="I489" i="5"/>
  <c r="H489" i="5"/>
  <c r="M489" i="5" s="1"/>
  <c r="F489" i="5"/>
  <c r="E489" i="5"/>
  <c r="C489" i="5"/>
  <c r="B489" i="5"/>
  <c r="Q488" i="5"/>
  <c r="S488" i="5" s="1"/>
  <c r="P488" i="5"/>
  <c r="R488" i="5" s="1"/>
  <c r="L488" i="5"/>
  <c r="K488" i="5"/>
  <c r="I488" i="5"/>
  <c r="H488" i="5"/>
  <c r="F488" i="5"/>
  <c r="E488" i="5"/>
  <c r="C488" i="5"/>
  <c r="B488" i="5"/>
  <c r="S487" i="5"/>
  <c r="Q487" i="5"/>
  <c r="P487" i="5"/>
  <c r="R487" i="5" s="1"/>
  <c r="L487" i="5"/>
  <c r="K487" i="5"/>
  <c r="I487" i="5"/>
  <c r="H487" i="5"/>
  <c r="F487" i="5"/>
  <c r="E487" i="5"/>
  <c r="C487" i="5"/>
  <c r="B487" i="5"/>
  <c r="Q486" i="5"/>
  <c r="S486" i="5" s="1"/>
  <c r="P486" i="5"/>
  <c r="R486" i="5" s="1"/>
  <c r="L486" i="5"/>
  <c r="K486" i="5"/>
  <c r="I486" i="5"/>
  <c r="H486" i="5"/>
  <c r="F486" i="5"/>
  <c r="E486" i="5"/>
  <c r="C486" i="5"/>
  <c r="B486" i="5"/>
  <c r="Q485" i="5"/>
  <c r="S485" i="5" s="1"/>
  <c r="P485" i="5"/>
  <c r="R485" i="5" s="1"/>
  <c r="L485" i="5"/>
  <c r="K485" i="5"/>
  <c r="I485" i="5"/>
  <c r="N485" i="5" s="1"/>
  <c r="H485" i="5"/>
  <c r="F485" i="5"/>
  <c r="E485" i="5"/>
  <c r="C485" i="5"/>
  <c r="B485" i="5"/>
  <c r="S484" i="5"/>
  <c r="Q484" i="5"/>
  <c r="P484" i="5"/>
  <c r="R484" i="5" s="1"/>
  <c r="L484" i="5"/>
  <c r="K484" i="5"/>
  <c r="I484" i="5"/>
  <c r="H484" i="5"/>
  <c r="F484" i="5"/>
  <c r="E484" i="5"/>
  <c r="C484" i="5"/>
  <c r="B484" i="5"/>
  <c r="Q483" i="5"/>
  <c r="S483" i="5" s="1"/>
  <c r="P483" i="5"/>
  <c r="R483" i="5" s="1"/>
  <c r="L483" i="5"/>
  <c r="K483" i="5"/>
  <c r="I483" i="5"/>
  <c r="H483" i="5"/>
  <c r="F483" i="5"/>
  <c r="E483" i="5"/>
  <c r="C483" i="5"/>
  <c r="B483" i="5"/>
  <c r="S482" i="5"/>
  <c r="Q482" i="5"/>
  <c r="P482" i="5"/>
  <c r="R482" i="5" s="1"/>
  <c r="L482" i="5"/>
  <c r="K482" i="5"/>
  <c r="I482" i="5"/>
  <c r="H482" i="5"/>
  <c r="F482" i="5"/>
  <c r="E482" i="5"/>
  <c r="M482" i="5" s="1"/>
  <c r="C482" i="5"/>
  <c r="B482" i="5"/>
  <c r="Q481" i="5"/>
  <c r="S481" i="5" s="1"/>
  <c r="P481" i="5"/>
  <c r="R481" i="5" s="1"/>
  <c r="L481" i="5"/>
  <c r="K481" i="5"/>
  <c r="I481" i="5"/>
  <c r="H481" i="5"/>
  <c r="M481" i="5" s="1"/>
  <c r="F481" i="5"/>
  <c r="N481" i="5" s="1"/>
  <c r="E481" i="5"/>
  <c r="C481" i="5"/>
  <c r="B481" i="5"/>
  <c r="Q480" i="5"/>
  <c r="S480" i="5" s="1"/>
  <c r="P480" i="5"/>
  <c r="R480" i="5" s="1"/>
  <c r="L480" i="5"/>
  <c r="K480" i="5"/>
  <c r="I480" i="5"/>
  <c r="H480" i="5"/>
  <c r="F480" i="5"/>
  <c r="E480" i="5"/>
  <c r="C480" i="5"/>
  <c r="B480" i="5"/>
  <c r="Q479" i="5"/>
  <c r="S479" i="5" s="1"/>
  <c r="P479" i="5"/>
  <c r="R479" i="5" s="1"/>
  <c r="L479" i="5"/>
  <c r="K479" i="5"/>
  <c r="I479" i="5"/>
  <c r="H479" i="5"/>
  <c r="F479" i="5"/>
  <c r="N479" i="5" s="1"/>
  <c r="AA479" i="5" s="1"/>
  <c r="E479" i="5"/>
  <c r="M479" i="5" s="1"/>
  <c r="C479" i="5"/>
  <c r="B479" i="5"/>
  <c r="Q478" i="5"/>
  <c r="S478" i="5" s="1"/>
  <c r="P478" i="5"/>
  <c r="R478" i="5" s="1"/>
  <c r="L478" i="5"/>
  <c r="K478" i="5"/>
  <c r="I478" i="5"/>
  <c r="H478" i="5"/>
  <c r="F478" i="5"/>
  <c r="N478" i="5" s="1"/>
  <c r="E478" i="5"/>
  <c r="C478" i="5"/>
  <c r="B478" i="5"/>
  <c r="Q477" i="5"/>
  <c r="S477" i="5" s="1"/>
  <c r="P477" i="5"/>
  <c r="R477" i="5" s="1"/>
  <c r="L477" i="5"/>
  <c r="K477" i="5"/>
  <c r="I477" i="5"/>
  <c r="H477" i="5"/>
  <c r="F477" i="5"/>
  <c r="E477" i="5"/>
  <c r="C477" i="5"/>
  <c r="B477" i="5"/>
  <c r="Q476" i="5"/>
  <c r="S476" i="5" s="1"/>
  <c r="P476" i="5"/>
  <c r="R476" i="5" s="1"/>
  <c r="L476" i="5"/>
  <c r="K476" i="5"/>
  <c r="I476" i="5"/>
  <c r="H476" i="5"/>
  <c r="F476" i="5"/>
  <c r="E476" i="5"/>
  <c r="C476" i="5"/>
  <c r="B476" i="5"/>
  <c r="S475" i="5"/>
  <c r="Q475" i="5"/>
  <c r="P475" i="5"/>
  <c r="R475" i="5" s="1"/>
  <c r="L475" i="5"/>
  <c r="K475" i="5"/>
  <c r="I475" i="5"/>
  <c r="H475" i="5"/>
  <c r="F475" i="5"/>
  <c r="E475" i="5"/>
  <c r="C475" i="5"/>
  <c r="B475" i="5"/>
  <c r="Q474" i="5"/>
  <c r="S474" i="5" s="1"/>
  <c r="P474" i="5"/>
  <c r="R474" i="5" s="1"/>
  <c r="L474" i="5"/>
  <c r="K474" i="5"/>
  <c r="I474" i="5"/>
  <c r="H474" i="5"/>
  <c r="F474" i="5"/>
  <c r="E474" i="5"/>
  <c r="C474" i="5"/>
  <c r="B474" i="5"/>
  <c r="Q473" i="5"/>
  <c r="S473" i="5" s="1"/>
  <c r="P473" i="5"/>
  <c r="R473" i="5" s="1"/>
  <c r="L473" i="5"/>
  <c r="K473" i="5"/>
  <c r="I473" i="5"/>
  <c r="H473" i="5"/>
  <c r="F473" i="5"/>
  <c r="N473" i="5" s="1"/>
  <c r="E473" i="5"/>
  <c r="C473" i="5"/>
  <c r="B473" i="5"/>
  <c r="R472" i="5"/>
  <c r="Q472" i="5"/>
  <c r="S472" i="5" s="1"/>
  <c r="P472" i="5"/>
  <c r="L472" i="5"/>
  <c r="K472" i="5"/>
  <c r="I472" i="5"/>
  <c r="H472" i="5"/>
  <c r="F472" i="5"/>
  <c r="E472" i="5"/>
  <c r="C472" i="5"/>
  <c r="B472" i="5"/>
  <c r="Q471" i="5"/>
  <c r="S471" i="5" s="1"/>
  <c r="P471" i="5"/>
  <c r="R471" i="5" s="1"/>
  <c r="L471" i="5"/>
  <c r="K471" i="5"/>
  <c r="I471" i="5"/>
  <c r="H471" i="5"/>
  <c r="F471" i="5"/>
  <c r="E471" i="5"/>
  <c r="C471" i="5"/>
  <c r="B471" i="5"/>
  <c r="Q470" i="5"/>
  <c r="S470" i="5" s="1"/>
  <c r="P470" i="5"/>
  <c r="R470" i="5" s="1"/>
  <c r="L470" i="5"/>
  <c r="K470" i="5"/>
  <c r="I470" i="5"/>
  <c r="H470" i="5"/>
  <c r="F470" i="5"/>
  <c r="N470" i="5" s="1"/>
  <c r="E470" i="5"/>
  <c r="C470" i="5"/>
  <c r="B470" i="5"/>
  <c r="Q469" i="5"/>
  <c r="S469" i="5" s="1"/>
  <c r="P469" i="5"/>
  <c r="R469" i="5" s="1"/>
  <c r="L469" i="5"/>
  <c r="K469" i="5"/>
  <c r="I469" i="5"/>
  <c r="N469" i="5" s="1"/>
  <c r="H469" i="5"/>
  <c r="F469" i="5"/>
  <c r="E469" i="5"/>
  <c r="C469" i="5"/>
  <c r="B469" i="5"/>
  <c r="R468" i="5"/>
  <c r="Q468" i="5"/>
  <c r="S468" i="5" s="1"/>
  <c r="P468" i="5"/>
  <c r="L468" i="5"/>
  <c r="K468" i="5"/>
  <c r="I468" i="5"/>
  <c r="H468" i="5"/>
  <c r="F468" i="5"/>
  <c r="E468" i="5"/>
  <c r="C468" i="5"/>
  <c r="B468" i="5"/>
  <c r="R467" i="5"/>
  <c r="Q467" i="5"/>
  <c r="S467" i="5" s="1"/>
  <c r="P467" i="5"/>
  <c r="L467" i="5"/>
  <c r="K467" i="5"/>
  <c r="I467" i="5"/>
  <c r="H467" i="5"/>
  <c r="F467" i="5"/>
  <c r="E467" i="5"/>
  <c r="C467" i="5"/>
  <c r="B467" i="5"/>
  <c r="S466" i="5"/>
  <c r="Q466" i="5"/>
  <c r="P466" i="5"/>
  <c r="R466" i="5" s="1"/>
  <c r="L466" i="5"/>
  <c r="K466" i="5"/>
  <c r="I466" i="5"/>
  <c r="H466" i="5"/>
  <c r="F466" i="5"/>
  <c r="E466" i="5"/>
  <c r="C466" i="5"/>
  <c r="B466" i="5"/>
  <c r="Q465" i="5"/>
  <c r="S465" i="5" s="1"/>
  <c r="P465" i="5"/>
  <c r="R465" i="5" s="1"/>
  <c r="L465" i="5"/>
  <c r="K465" i="5"/>
  <c r="I465" i="5"/>
  <c r="H465" i="5"/>
  <c r="F465" i="5"/>
  <c r="E465" i="5"/>
  <c r="C465" i="5"/>
  <c r="B465" i="5"/>
  <c r="Q464" i="5"/>
  <c r="S464" i="5" s="1"/>
  <c r="P464" i="5"/>
  <c r="R464" i="5" s="1"/>
  <c r="L464" i="5"/>
  <c r="K464" i="5"/>
  <c r="I464" i="5"/>
  <c r="H464" i="5"/>
  <c r="M464" i="5" s="1"/>
  <c r="F464" i="5"/>
  <c r="E464" i="5"/>
  <c r="C464" i="5"/>
  <c r="B464" i="5"/>
  <c r="Q463" i="5"/>
  <c r="S463" i="5" s="1"/>
  <c r="P463" i="5"/>
  <c r="R463" i="5" s="1"/>
  <c r="L463" i="5"/>
  <c r="K463" i="5"/>
  <c r="I463" i="5"/>
  <c r="N463" i="5" s="1"/>
  <c r="H463" i="5"/>
  <c r="F463" i="5"/>
  <c r="E463" i="5"/>
  <c r="C463" i="5"/>
  <c r="B463" i="5"/>
  <c r="R462" i="5"/>
  <c r="Q462" i="5"/>
  <c r="S462" i="5" s="1"/>
  <c r="P462" i="5"/>
  <c r="L462" i="5"/>
  <c r="K462" i="5"/>
  <c r="I462" i="5"/>
  <c r="H462" i="5"/>
  <c r="F462" i="5"/>
  <c r="E462" i="5"/>
  <c r="C462" i="5"/>
  <c r="B462" i="5"/>
  <c r="Q461" i="5"/>
  <c r="S461" i="5" s="1"/>
  <c r="P461" i="5"/>
  <c r="R461" i="5" s="1"/>
  <c r="L461" i="5"/>
  <c r="K461" i="5"/>
  <c r="I461" i="5"/>
  <c r="H461" i="5"/>
  <c r="F461" i="5"/>
  <c r="E461" i="5"/>
  <c r="C461" i="5"/>
  <c r="B461" i="5"/>
  <c r="Q460" i="5"/>
  <c r="S460" i="5" s="1"/>
  <c r="P460" i="5"/>
  <c r="R460" i="5" s="1"/>
  <c r="L460" i="5"/>
  <c r="K460" i="5"/>
  <c r="I460" i="5"/>
  <c r="H460" i="5"/>
  <c r="F460" i="5"/>
  <c r="E460" i="5"/>
  <c r="C460" i="5"/>
  <c r="B460" i="5"/>
  <c r="Q459" i="5"/>
  <c r="S459" i="5" s="1"/>
  <c r="P459" i="5"/>
  <c r="R459" i="5" s="1"/>
  <c r="L459" i="5"/>
  <c r="K459" i="5"/>
  <c r="I459" i="5"/>
  <c r="H459" i="5"/>
  <c r="F459" i="5"/>
  <c r="E459" i="5"/>
  <c r="C459" i="5"/>
  <c r="B459" i="5"/>
  <c r="Q458" i="5"/>
  <c r="S458" i="5" s="1"/>
  <c r="P458" i="5"/>
  <c r="R458" i="5" s="1"/>
  <c r="L458" i="5"/>
  <c r="K458" i="5"/>
  <c r="I458" i="5"/>
  <c r="H458" i="5"/>
  <c r="F458" i="5"/>
  <c r="E458" i="5"/>
  <c r="C458" i="5"/>
  <c r="B458" i="5"/>
  <c r="Q457" i="5"/>
  <c r="S457" i="5" s="1"/>
  <c r="P457" i="5"/>
  <c r="R457" i="5" s="1"/>
  <c r="L457" i="5"/>
  <c r="K457" i="5"/>
  <c r="I457" i="5"/>
  <c r="H457" i="5"/>
  <c r="F457" i="5"/>
  <c r="E457" i="5"/>
  <c r="C457" i="5"/>
  <c r="B457" i="5"/>
  <c r="R456" i="5"/>
  <c r="Q456" i="5"/>
  <c r="S456" i="5" s="1"/>
  <c r="P456" i="5"/>
  <c r="L456" i="5"/>
  <c r="K456" i="5"/>
  <c r="I456" i="5"/>
  <c r="H456" i="5"/>
  <c r="F456" i="5"/>
  <c r="E456" i="5"/>
  <c r="C456" i="5"/>
  <c r="B456" i="5"/>
  <c r="Q455" i="5"/>
  <c r="S455" i="5" s="1"/>
  <c r="P455" i="5"/>
  <c r="R455" i="5" s="1"/>
  <c r="L455" i="5"/>
  <c r="K455" i="5"/>
  <c r="I455" i="5"/>
  <c r="H455" i="5"/>
  <c r="F455" i="5"/>
  <c r="N455" i="5" s="1"/>
  <c r="AA455" i="5" s="1"/>
  <c r="E455" i="5"/>
  <c r="C455" i="5"/>
  <c r="B455" i="5"/>
  <c r="Q454" i="5"/>
  <c r="S454" i="5" s="1"/>
  <c r="P454" i="5"/>
  <c r="R454" i="5" s="1"/>
  <c r="L454" i="5"/>
  <c r="K454" i="5"/>
  <c r="I454" i="5"/>
  <c r="H454" i="5"/>
  <c r="F454" i="5"/>
  <c r="E454" i="5"/>
  <c r="C454" i="5"/>
  <c r="B454" i="5"/>
  <c r="Q453" i="5"/>
  <c r="S453" i="5" s="1"/>
  <c r="P453" i="5"/>
  <c r="R453" i="5" s="1"/>
  <c r="L453" i="5"/>
  <c r="K453" i="5"/>
  <c r="I453" i="5"/>
  <c r="H453" i="5"/>
  <c r="F453" i="5"/>
  <c r="E453" i="5"/>
  <c r="C453" i="5"/>
  <c r="B453" i="5"/>
  <c r="S452" i="5"/>
  <c r="Q452" i="5"/>
  <c r="P452" i="5"/>
  <c r="R452" i="5" s="1"/>
  <c r="L452" i="5"/>
  <c r="K452" i="5"/>
  <c r="I452" i="5"/>
  <c r="H452" i="5"/>
  <c r="F452" i="5"/>
  <c r="E452" i="5"/>
  <c r="C452" i="5"/>
  <c r="B452" i="5"/>
  <c r="Q451" i="5"/>
  <c r="S451" i="5" s="1"/>
  <c r="P451" i="5"/>
  <c r="R451" i="5" s="1"/>
  <c r="L451" i="5"/>
  <c r="K451" i="5"/>
  <c r="I451" i="5"/>
  <c r="H451" i="5"/>
  <c r="F451" i="5"/>
  <c r="E451" i="5"/>
  <c r="C451" i="5"/>
  <c r="B451" i="5"/>
  <c r="Q450" i="5"/>
  <c r="S450" i="5" s="1"/>
  <c r="P450" i="5"/>
  <c r="R450" i="5" s="1"/>
  <c r="L450" i="5"/>
  <c r="K450" i="5"/>
  <c r="I450" i="5"/>
  <c r="H450" i="5"/>
  <c r="F450" i="5"/>
  <c r="E450" i="5"/>
  <c r="C450" i="5"/>
  <c r="B450" i="5"/>
  <c r="Q449" i="5"/>
  <c r="S449" i="5" s="1"/>
  <c r="P449" i="5"/>
  <c r="R449" i="5" s="1"/>
  <c r="L449" i="5"/>
  <c r="K449" i="5"/>
  <c r="I449" i="5"/>
  <c r="H449" i="5"/>
  <c r="F449" i="5"/>
  <c r="N449" i="5" s="1"/>
  <c r="E449" i="5"/>
  <c r="M449" i="5" s="1"/>
  <c r="C449" i="5"/>
  <c r="B449" i="5"/>
  <c r="Q448" i="5"/>
  <c r="S448" i="5" s="1"/>
  <c r="P448" i="5"/>
  <c r="R448" i="5" s="1"/>
  <c r="L448" i="5"/>
  <c r="K448" i="5"/>
  <c r="I448" i="5"/>
  <c r="H448" i="5"/>
  <c r="F448" i="5"/>
  <c r="E448" i="5"/>
  <c r="C448" i="5"/>
  <c r="B448" i="5"/>
  <c r="Q447" i="5"/>
  <c r="S447" i="5" s="1"/>
  <c r="P447" i="5"/>
  <c r="R447" i="5" s="1"/>
  <c r="L447" i="5"/>
  <c r="N447" i="5" s="1"/>
  <c r="AA447" i="5" s="1"/>
  <c r="K447" i="5"/>
  <c r="I447" i="5"/>
  <c r="H447" i="5"/>
  <c r="F447" i="5"/>
  <c r="E447" i="5"/>
  <c r="C447" i="5"/>
  <c r="B447" i="5"/>
  <c r="Q446" i="5"/>
  <c r="S446" i="5" s="1"/>
  <c r="P446" i="5"/>
  <c r="R446" i="5" s="1"/>
  <c r="L446" i="5"/>
  <c r="K446" i="5"/>
  <c r="I446" i="5"/>
  <c r="H446" i="5"/>
  <c r="F446" i="5"/>
  <c r="E446" i="5"/>
  <c r="C446" i="5"/>
  <c r="B446" i="5"/>
  <c r="S445" i="5"/>
  <c r="Q445" i="5"/>
  <c r="P445" i="5"/>
  <c r="R445" i="5" s="1"/>
  <c r="L445" i="5"/>
  <c r="K445" i="5"/>
  <c r="I445" i="5"/>
  <c r="H445" i="5"/>
  <c r="F445" i="5"/>
  <c r="E445" i="5"/>
  <c r="C445" i="5"/>
  <c r="B445" i="5"/>
  <c r="Q444" i="5"/>
  <c r="S444" i="5" s="1"/>
  <c r="P444" i="5"/>
  <c r="R444" i="5" s="1"/>
  <c r="L444" i="5"/>
  <c r="K444" i="5"/>
  <c r="I444" i="5"/>
  <c r="H444" i="5"/>
  <c r="F444" i="5"/>
  <c r="E444" i="5"/>
  <c r="C444" i="5"/>
  <c r="B444" i="5"/>
  <c r="Q443" i="5"/>
  <c r="S443" i="5" s="1"/>
  <c r="P443" i="5"/>
  <c r="R443" i="5" s="1"/>
  <c r="L443" i="5"/>
  <c r="K443" i="5"/>
  <c r="I443" i="5"/>
  <c r="H443" i="5"/>
  <c r="F443" i="5"/>
  <c r="E443" i="5"/>
  <c r="C443" i="5"/>
  <c r="B443" i="5"/>
  <c r="Q442" i="5"/>
  <c r="S442" i="5" s="1"/>
  <c r="P442" i="5"/>
  <c r="R442" i="5" s="1"/>
  <c r="L442" i="5"/>
  <c r="K442" i="5"/>
  <c r="I442" i="5"/>
  <c r="H442" i="5"/>
  <c r="F442" i="5"/>
  <c r="E442" i="5"/>
  <c r="C442" i="5"/>
  <c r="B442" i="5"/>
  <c r="Q441" i="5"/>
  <c r="S441" i="5" s="1"/>
  <c r="P441" i="5"/>
  <c r="R441" i="5" s="1"/>
  <c r="L441" i="5"/>
  <c r="K441" i="5"/>
  <c r="I441" i="5"/>
  <c r="H441" i="5"/>
  <c r="M441" i="5" s="1"/>
  <c r="Y441" i="5" s="1"/>
  <c r="F441" i="5"/>
  <c r="E441" i="5"/>
  <c r="C441" i="5"/>
  <c r="B441" i="5"/>
  <c r="Q440" i="5"/>
  <c r="S440" i="5" s="1"/>
  <c r="P440" i="5"/>
  <c r="R440" i="5" s="1"/>
  <c r="L440" i="5"/>
  <c r="K440" i="5"/>
  <c r="I440" i="5"/>
  <c r="H440" i="5"/>
  <c r="F440" i="5"/>
  <c r="E440" i="5"/>
  <c r="C440" i="5"/>
  <c r="B440" i="5"/>
  <c r="Q439" i="5"/>
  <c r="S439" i="5" s="1"/>
  <c r="P439" i="5"/>
  <c r="R439" i="5" s="1"/>
  <c r="L439" i="5"/>
  <c r="K439" i="5"/>
  <c r="I439" i="5"/>
  <c r="H439" i="5"/>
  <c r="F439" i="5"/>
  <c r="E439" i="5"/>
  <c r="C439" i="5"/>
  <c r="B439" i="5"/>
  <c r="Q438" i="5"/>
  <c r="S438" i="5" s="1"/>
  <c r="P438" i="5"/>
  <c r="R438" i="5" s="1"/>
  <c r="L438" i="5"/>
  <c r="K438" i="5"/>
  <c r="I438" i="5"/>
  <c r="H438" i="5"/>
  <c r="F438" i="5"/>
  <c r="E438" i="5"/>
  <c r="M438" i="5" s="1"/>
  <c r="AC438" i="5" s="1"/>
  <c r="C438" i="5"/>
  <c r="B438" i="5"/>
  <c r="Q437" i="5"/>
  <c r="S437" i="5" s="1"/>
  <c r="P437" i="5"/>
  <c r="R437" i="5" s="1"/>
  <c r="L437" i="5"/>
  <c r="K437" i="5"/>
  <c r="I437" i="5"/>
  <c r="H437" i="5"/>
  <c r="F437" i="5"/>
  <c r="E437" i="5"/>
  <c r="C437" i="5"/>
  <c r="B437" i="5"/>
  <c r="Q436" i="5"/>
  <c r="S436" i="5" s="1"/>
  <c r="P436" i="5"/>
  <c r="R436" i="5" s="1"/>
  <c r="L436" i="5"/>
  <c r="K436" i="5"/>
  <c r="I436" i="5"/>
  <c r="H436" i="5"/>
  <c r="F436" i="5"/>
  <c r="E436" i="5"/>
  <c r="C436" i="5"/>
  <c r="B436" i="5"/>
  <c r="Q435" i="5"/>
  <c r="S435" i="5" s="1"/>
  <c r="P435" i="5"/>
  <c r="R435" i="5" s="1"/>
  <c r="L435" i="5"/>
  <c r="K435" i="5"/>
  <c r="I435" i="5"/>
  <c r="H435" i="5"/>
  <c r="F435" i="5"/>
  <c r="E435" i="5"/>
  <c r="C435" i="5"/>
  <c r="B435" i="5"/>
  <c r="R434" i="5"/>
  <c r="Q434" i="5"/>
  <c r="S434" i="5" s="1"/>
  <c r="P434" i="5"/>
  <c r="L434" i="5"/>
  <c r="K434" i="5"/>
  <c r="I434" i="5"/>
  <c r="H434" i="5"/>
  <c r="F434" i="5"/>
  <c r="E434" i="5"/>
  <c r="C434" i="5"/>
  <c r="B434" i="5"/>
  <c r="Q433" i="5"/>
  <c r="S433" i="5" s="1"/>
  <c r="P433" i="5"/>
  <c r="R433" i="5" s="1"/>
  <c r="L433" i="5"/>
  <c r="K433" i="5"/>
  <c r="I433" i="5"/>
  <c r="H433" i="5"/>
  <c r="F433" i="5"/>
  <c r="E433" i="5"/>
  <c r="C433" i="5"/>
  <c r="B433" i="5"/>
  <c r="Q432" i="5"/>
  <c r="S432" i="5" s="1"/>
  <c r="P432" i="5"/>
  <c r="R432" i="5" s="1"/>
  <c r="L432" i="5"/>
  <c r="K432" i="5"/>
  <c r="I432" i="5"/>
  <c r="H432" i="5"/>
  <c r="F432" i="5"/>
  <c r="E432" i="5"/>
  <c r="C432" i="5"/>
  <c r="B432" i="5"/>
  <c r="R431" i="5"/>
  <c r="Q431" i="5"/>
  <c r="S431" i="5" s="1"/>
  <c r="P431" i="5"/>
  <c r="L431" i="5"/>
  <c r="K431" i="5"/>
  <c r="I431" i="5"/>
  <c r="H431" i="5"/>
  <c r="F431" i="5"/>
  <c r="N431" i="5" s="1"/>
  <c r="E431" i="5"/>
  <c r="C431" i="5"/>
  <c r="B431" i="5"/>
  <c r="Q430" i="5"/>
  <c r="S430" i="5" s="1"/>
  <c r="P430" i="5"/>
  <c r="R430" i="5" s="1"/>
  <c r="L430" i="5"/>
  <c r="K430" i="5"/>
  <c r="I430" i="5"/>
  <c r="H430" i="5"/>
  <c r="F430" i="5"/>
  <c r="E430" i="5"/>
  <c r="C430" i="5"/>
  <c r="B430" i="5"/>
  <c r="Q429" i="5"/>
  <c r="S429" i="5" s="1"/>
  <c r="P429" i="5"/>
  <c r="R429" i="5" s="1"/>
  <c r="L429" i="5"/>
  <c r="K429" i="5"/>
  <c r="I429" i="5"/>
  <c r="H429" i="5"/>
  <c r="F429" i="5"/>
  <c r="E429" i="5"/>
  <c r="C429" i="5"/>
  <c r="B429" i="5"/>
  <c r="Q428" i="5"/>
  <c r="S428" i="5" s="1"/>
  <c r="P428" i="5"/>
  <c r="R428" i="5" s="1"/>
  <c r="L428" i="5"/>
  <c r="K428" i="5"/>
  <c r="I428" i="5"/>
  <c r="H428" i="5"/>
  <c r="F428" i="5"/>
  <c r="E428" i="5"/>
  <c r="C428" i="5"/>
  <c r="B428" i="5"/>
  <c r="Q427" i="5"/>
  <c r="S427" i="5" s="1"/>
  <c r="P427" i="5"/>
  <c r="R427" i="5" s="1"/>
  <c r="L427" i="5"/>
  <c r="K427" i="5"/>
  <c r="I427" i="5"/>
  <c r="H427" i="5"/>
  <c r="F427" i="5"/>
  <c r="E427" i="5"/>
  <c r="C427" i="5"/>
  <c r="B427" i="5"/>
  <c r="Q426" i="5"/>
  <c r="S426" i="5" s="1"/>
  <c r="P426" i="5"/>
  <c r="R426" i="5" s="1"/>
  <c r="L426" i="5"/>
  <c r="K426" i="5"/>
  <c r="I426" i="5"/>
  <c r="H426" i="5"/>
  <c r="F426" i="5"/>
  <c r="E426" i="5"/>
  <c r="M426" i="5" s="1"/>
  <c r="C426" i="5"/>
  <c r="B426" i="5"/>
  <c r="Q425" i="5"/>
  <c r="S425" i="5" s="1"/>
  <c r="P425" i="5"/>
  <c r="R425" i="5" s="1"/>
  <c r="L425" i="5"/>
  <c r="K425" i="5"/>
  <c r="I425" i="5"/>
  <c r="H425" i="5"/>
  <c r="F425" i="5"/>
  <c r="E425" i="5"/>
  <c r="C425" i="5"/>
  <c r="B425" i="5"/>
  <c r="Q424" i="5"/>
  <c r="S424" i="5" s="1"/>
  <c r="P424" i="5"/>
  <c r="R424" i="5" s="1"/>
  <c r="L424" i="5"/>
  <c r="K424" i="5"/>
  <c r="I424" i="5"/>
  <c r="H424" i="5"/>
  <c r="F424" i="5"/>
  <c r="E424" i="5"/>
  <c r="C424" i="5"/>
  <c r="B424" i="5"/>
  <c r="Q423" i="5"/>
  <c r="S423" i="5" s="1"/>
  <c r="P423" i="5"/>
  <c r="R423" i="5" s="1"/>
  <c r="L423" i="5"/>
  <c r="K423" i="5"/>
  <c r="I423" i="5"/>
  <c r="H423" i="5"/>
  <c r="F423" i="5"/>
  <c r="E423" i="5"/>
  <c r="C423" i="5"/>
  <c r="B423" i="5"/>
  <c r="R422" i="5"/>
  <c r="Q422" i="5"/>
  <c r="S422" i="5" s="1"/>
  <c r="P422" i="5"/>
  <c r="L422" i="5"/>
  <c r="K422" i="5"/>
  <c r="I422" i="5"/>
  <c r="H422" i="5"/>
  <c r="M422" i="5" s="1"/>
  <c r="Y422" i="5" s="1"/>
  <c r="F422" i="5"/>
  <c r="E422" i="5"/>
  <c r="C422" i="5"/>
  <c r="B422" i="5"/>
  <c r="Q421" i="5"/>
  <c r="S421" i="5" s="1"/>
  <c r="P421" i="5"/>
  <c r="R421" i="5" s="1"/>
  <c r="L421" i="5"/>
  <c r="K421" i="5"/>
  <c r="I421" i="5"/>
  <c r="H421" i="5"/>
  <c r="F421" i="5"/>
  <c r="E421" i="5"/>
  <c r="C421" i="5"/>
  <c r="B421" i="5"/>
  <c r="Q420" i="5"/>
  <c r="S420" i="5" s="1"/>
  <c r="P420" i="5"/>
  <c r="R420" i="5" s="1"/>
  <c r="L420" i="5"/>
  <c r="K420" i="5"/>
  <c r="I420" i="5"/>
  <c r="H420" i="5"/>
  <c r="F420" i="5"/>
  <c r="E420" i="5"/>
  <c r="C420" i="5"/>
  <c r="B420" i="5"/>
  <c r="Q419" i="5"/>
  <c r="S419" i="5" s="1"/>
  <c r="P419" i="5"/>
  <c r="R419" i="5" s="1"/>
  <c r="L419" i="5"/>
  <c r="K419" i="5"/>
  <c r="I419" i="5"/>
  <c r="H419" i="5"/>
  <c r="F419" i="5"/>
  <c r="E419" i="5"/>
  <c r="C419" i="5"/>
  <c r="B419" i="5"/>
  <c r="Q418" i="5"/>
  <c r="S418" i="5" s="1"/>
  <c r="P418" i="5"/>
  <c r="R418" i="5" s="1"/>
  <c r="L418" i="5"/>
  <c r="K418" i="5"/>
  <c r="I418" i="5"/>
  <c r="H418" i="5"/>
  <c r="F418" i="5"/>
  <c r="E418" i="5"/>
  <c r="C418" i="5"/>
  <c r="B418" i="5"/>
  <c r="Q417" i="5"/>
  <c r="S417" i="5" s="1"/>
  <c r="P417" i="5"/>
  <c r="R417" i="5" s="1"/>
  <c r="L417" i="5"/>
  <c r="K417" i="5"/>
  <c r="I417" i="5"/>
  <c r="H417" i="5"/>
  <c r="F417" i="5"/>
  <c r="E417" i="5"/>
  <c r="C417" i="5"/>
  <c r="B417" i="5"/>
  <c r="R416" i="5"/>
  <c r="Q416" i="5"/>
  <c r="S416" i="5" s="1"/>
  <c r="P416" i="5"/>
  <c r="L416" i="5"/>
  <c r="K416" i="5"/>
  <c r="I416" i="5"/>
  <c r="H416" i="5"/>
  <c r="F416" i="5"/>
  <c r="E416" i="5"/>
  <c r="C416" i="5"/>
  <c r="B416" i="5"/>
  <c r="Q415" i="5"/>
  <c r="S415" i="5" s="1"/>
  <c r="P415" i="5"/>
  <c r="R415" i="5" s="1"/>
  <c r="L415" i="5"/>
  <c r="K415" i="5"/>
  <c r="I415" i="5"/>
  <c r="H415" i="5"/>
  <c r="F415" i="5"/>
  <c r="E415" i="5"/>
  <c r="C415" i="5"/>
  <c r="B415" i="5"/>
  <c r="Q414" i="5"/>
  <c r="S414" i="5" s="1"/>
  <c r="P414" i="5"/>
  <c r="R414" i="5" s="1"/>
  <c r="L414" i="5"/>
  <c r="K414" i="5"/>
  <c r="I414" i="5"/>
  <c r="H414" i="5"/>
  <c r="F414" i="5"/>
  <c r="E414" i="5"/>
  <c r="C414" i="5"/>
  <c r="B414" i="5"/>
  <c r="S413" i="5"/>
  <c r="Q413" i="5"/>
  <c r="P413" i="5"/>
  <c r="R413" i="5" s="1"/>
  <c r="L413" i="5"/>
  <c r="K413" i="5"/>
  <c r="I413" i="5"/>
  <c r="H413" i="5"/>
  <c r="F413" i="5"/>
  <c r="E413" i="5"/>
  <c r="C413" i="5"/>
  <c r="B413" i="5"/>
  <c r="Q412" i="5"/>
  <c r="S412" i="5" s="1"/>
  <c r="P412" i="5"/>
  <c r="R412" i="5" s="1"/>
  <c r="L412" i="5"/>
  <c r="K412" i="5"/>
  <c r="I412" i="5"/>
  <c r="H412" i="5"/>
  <c r="F412" i="5"/>
  <c r="E412" i="5"/>
  <c r="C412" i="5"/>
  <c r="B412" i="5"/>
  <c r="Q411" i="5"/>
  <c r="S411" i="5" s="1"/>
  <c r="P411" i="5"/>
  <c r="R411" i="5" s="1"/>
  <c r="L411" i="5"/>
  <c r="K411" i="5"/>
  <c r="I411" i="5"/>
  <c r="H411" i="5"/>
  <c r="F411" i="5"/>
  <c r="E411" i="5"/>
  <c r="C411" i="5"/>
  <c r="B411" i="5"/>
  <c r="Q410" i="5"/>
  <c r="S410" i="5" s="1"/>
  <c r="P410" i="5"/>
  <c r="R410" i="5" s="1"/>
  <c r="L410" i="5"/>
  <c r="K410" i="5"/>
  <c r="I410" i="5"/>
  <c r="H410" i="5"/>
  <c r="F410" i="5"/>
  <c r="E410" i="5"/>
  <c r="C410" i="5"/>
  <c r="B410" i="5"/>
  <c r="Q409" i="5"/>
  <c r="S409" i="5" s="1"/>
  <c r="P409" i="5"/>
  <c r="R409" i="5" s="1"/>
  <c r="L409" i="5"/>
  <c r="K409" i="5"/>
  <c r="M409" i="5" s="1"/>
  <c r="I409" i="5"/>
  <c r="H409" i="5"/>
  <c r="F409" i="5"/>
  <c r="E409" i="5"/>
  <c r="C409" i="5"/>
  <c r="B409" i="5"/>
  <c r="R408" i="5"/>
  <c r="Q408" i="5"/>
  <c r="S408" i="5" s="1"/>
  <c r="P408" i="5"/>
  <c r="L408" i="5"/>
  <c r="K408" i="5"/>
  <c r="I408" i="5"/>
  <c r="H408" i="5"/>
  <c r="F408" i="5"/>
  <c r="E408" i="5"/>
  <c r="C408" i="5"/>
  <c r="B408" i="5"/>
  <c r="Q407" i="5"/>
  <c r="S407" i="5" s="1"/>
  <c r="P407" i="5"/>
  <c r="R407" i="5" s="1"/>
  <c r="L407" i="5"/>
  <c r="K407" i="5"/>
  <c r="I407" i="5"/>
  <c r="H407" i="5"/>
  <c r="F407" i="5"/>
  <c r="N407" i="5" s="1"/>
  <c r="AA407" i="5" s="1"/>
  <c r="E407" i="5"/>
  <c r="M407" i="5" s="1"/>
  <c r="C407" i="5"/>
  <c r="B407" i="5"/>
  <c r="Q406" i="5"/>
  <c r="S406" i="5" s="1"/>
  <c r="P406" i="5"/>
  <c r="R406" i="5" s="1"/>
  <c r="L406" i="5"/>
  <c r="K406" i="5"/>
  <c r="I406" i="5"/>
  <c r="H406" i="5"/>
  <c r="F406" i="5"/>
  <c r="E406" i="5"/>
  <c r="C406" i="5"/>
  <c r="B406" i="5"/>
  <c r="Q405" i="5"/>
  <c r="S405" i="5" s="1"/>
  <c r="P405" i="5"/>
  <c r="R405" i="5" s="1"/>
  <c r="L405" i="5"/>
  <c r="K405" i="5"/>
  <c r="I405" i="5"/>
  <c r="H405" i="5"/>
  <c r="F405" i="5"/>
  <c r="E405" i="5"/>
  <c r="C405" i="5"/>
  <c r="B405" i="5"/>
  <c r="S404" i="5"/>
  <c r="Q404" i="5"/>
  <c r="P404" i="5"/>
  <c r="R404" i="5" s="1"/>
  <c r="L404" i="5"/>
  <c r="K404" i="5"/>
  <c r="I404" i="5"/>
  <c r="H404" i="5"/>
  <c r="F404" i="5"/>
  <c r="E404" i="5"/>
  <c r="C404" i="5"/>
  <c r="B404" i="5"/>
  <c r="Q403" i="5"/>
  <c r="S403" i="5" s="1"/>
  <c r="P403" i="5"/>
  <c r="R403" i="5" s="1"/>
  <c r="L403" i="5"/>
  <c r="K403" i="5"/>
  <c r="I403" i="5"/>
  <c r="H403" i="5"/>
  <c r="F403" i="5"/>
  <c r="E403" i="5"/>
  <c r="C403" i="5"/>
  <c r="B403" i="5"/>
  <c r="R402" i="5"/>
  <c r="Q402" i="5"/>
  <c r="S402" i="5" s="1"/>
  <c r="P402" i="5"/>
  <c r="L402" i="5"/>
  <c r="K402" i="5"/>
  <c r="I402" i="5"/>
  <c r="H402" i="5"/>
  <c r="F402" i="5"/>
  <c r="E402" i="5"/>
  <c r="C402" i="5"/>
  <c r="B402" i="5"/>
  <c r="Q401" i="5"/>
  <c r="S401" i="5" s="1"/>
  <c r="P401" i="5"/>
  <c r="R401" i="5" s="1"/>
  <c r="L401" i="5"/>
  <c r="K401" i="5"/>
  <c r="I401" i="5"/>
  <c r="H401" i="5"/>
  <c r="F401" i="5"/>
  <c r="E401" i="5"/>
  <c r="C401" i="5"/>
  <c r="B401" i="5"/>
  <c r="Q400" i="5"/>
  <c r="S400" i="5" s="1"/>
  <c r="P400" i="5"/>
  <c r="R400" i="5" s="1"/>
  <c r="L400" i="5"/>
  <c r="K400" i="5"/>
  <c r="I400" i="5"/>
  <c r="H400" i="5"/>
  <c r="F400" i="5"/>
  <c r="E400" i="5"/>
  <c r="C400" i="5"/>
  <c r="B400" i="5"/>
  <c r="Q399" i="5"/>
  <c r="S399" i="5" s="1"/>
  <c r="P399" i="5"/>
  <c r="R399" i="5" s="1"/>
  <c r="L399" i="5"/>
  <c r="N399" i="5" s="1"/>
  <c r="K399" i="5"/>
  <c r="M399" i="5" s="1"/>
  <c r="I399" i="5"/>
  <c r="H399" i="5"/>
  <c r="F399" i="5"/>
  <c r="E399" i="5"/>
  <c r="C399" i="5"/>
  <c r="B399" i="5"/>
  <c r="R398" i="5"/>
  <c r="Q398" i="5"/>
  <c r="S398" i="5" s="1"/>
  <c r="P398" i="5"/>
  <c r="L398" i="5"/>
  <c r="K398" i="5"/>
  <c r="I398" i="5"/>
  <c r="H398" i="5"/>
  <c r="F398" i="5"/>
  <c r="E398" i="5"/>
  <c r="C398" i="5"/>
  <c r="B398" i="5"/>
  <c r="Q397" i="5"/>
  <c r="S397" i="5" s="1"/>
  <c r="P397" i="5"/>
  <c r="R397" i="5" s="1"/>
  <c r="L397" i="5"/>
  <c r="K397" i="5"/>
  <c r="I397" i="5"/>
  <c r="H397" i="5"/>
  <c r="F397" i="5"/>
  <c r="E397" i="5"/>
  <c r="C397" i="5"/>
  <c r="B397" i="5"/>
  <c r="Q396" i="5"/>
  <c r="S396" i="5" s="1"/>
  <c r="P396" i="5"/>
  <c r="R396" i="5" s="1"/>
  <c r="L396" i="5"/>
  <c r="K396" i="5"/>
  <c r="I396" i="5"/>
  <c r="H396" i="5"/>
  <c r="F396" i="5"/>
  <c r="E396" i="5"/>
  <c r="C396" i="5"/>
  <c r="B396" i="5"/>
  <c r="Q395" i="5"/>
  <c r="S395" i="5" s="1"/>
  <c r="P395" i="5"/>
  <c r="R395" i="5" s="1"/>
  <c r="L395" i="5"/>
  <c r="K395" i="5"/>
  <c r="I395" i="5"/>
  <c r="H395" i="5"/>
  <c r="F395" i="5"/>
  <c r="E395" i="5"/>
  <c r="C395" i="5"/>
  <c r="B395" i="5"/>
  <c r="S394" i="5"/>
  <c r="Q394" i="5"/>
  <c r="P394" i="5"/>
  <c r="R394" i="5" s="1"/>
  <c r="L394" i="5"/>
  <c r="K394" i="5"/>
  <c r="I394" i="5"/>
  <c r="H394" i="5"/>
  <c r="F394" i="5"/>
  <c r="E394" i="5"/>
  <c r="C394" i="5"/>
  <c r="B394" i="5"/>
  <c r="Q393" i="5"/>
  <c r="S393" i="5" s="1"/>
  <c r="P393" i="5"/>
  <c r="R393" i="5" s="1"/>
  <c r="L393" i="5"/>
  <c r="K393" i="5"/>
  <c r="I393" i="5"/>
  <c r="H393" i="5"/>
  <c r="M393" i="5" s="1"/>
  <c r="F393" i="5"/>
  <c r="E393" i="5"/>
  <c r="C393" i="5"/>
  <c r="B393" i="5"/>
  <c r="R392" i="5"/>
  <c r="Q392" i="5"/>
  <c r="S392" i="5" s="1"/>
  <c r="P392" i="5"/>
  <c r="L392" i="5"/>
  <c r="K392" i="5"/>
  <c r="I392" i="5"/>
  <c r="H392" i="5"/>
  <c r="F392" i="5"/>
  <c r="E392" i="5"/>
  <c r="C392" i="5"/>
  <c r="B392" i="5"/>
  <c r="S391" i="5"/>
  <c r="Q391" i="5"/>
  <c r="P391" i="5"/>
  <c r="R391" i="5" s="1"/>
  <c r="L391" i="5"/>
  <c r="K391" i="5"/>
  <c r="I391" i="5"/>
  <c r="H391" i="5"/>
  <c r="F391" i="5"/>
  <c r="E391" i="5"/>
  <c r="C391" i="5"/>
  <c r="B391" i="5"/>
  <c r="Q390" i="5"/>
  <c r="S390" i="5" s="1"/>
  <c r="P390" i="5"/>
  <c r="R390" i="5" s="1"/>
  <c r="L390" i="5"/>
  <c r="K390" i="5"/>
  <c r="I390" i="5"/>
  <c r="H390" i="5"/>
  <c r="F390" i="5"/>
  <c r="E390" i="5"/>
  <c r="C390" i="5"/>
  <c r="B390" i="5"/>
  <c r="Q389" i="5"/>
  <c r="S389" i="5" s="1"/>
  <c r="P389" i="5"/>
  <c r="R389" i="5" s="1"/>
  <c r="L389" i="5"/>
  <c r="K389" i="5"/>
  <c r="I389" i="5"/>
  <c r="H389" i="5"/>
  <c r="F389" i="5"/>
  <c r="E389" i="5"/>
  <c r="C389" i="5"/>
  <c r="B389" i="5"/>
  <c r="R388" i="5"/>
  <c r="Q388" i="5"/>
  <c r="S388" i="5" s="1"/>
  <c r="P388" i="5"/>
  <c r="L388" i="5"/>
  <c r="K388" i="5"/>
  <c r="I388" i="5"/>
  <c r="H388" i="5"/>
  <c r="F388" i="5"/>
  <c r="E388" i="5"/>
  <c r="C388" i="5"/>
  <c r="B388" i="5"/>
  <c r="Q387" i="5"/>
  <c r="S387" i="5" s="1"/>
  <c r="P387" i="5"/>
  <c r="R387" i="5" s="1"/>
  <c r="L387" i="5"/>
  <c r="K387" i="5"/>
  <c r="I387" i="5"/>
  <c r="N387" i="5" s="1"/>
  <c r="H387" i="5"/>
  <c r="F387" i="5"/>
  <c r="E387" i="5"/>
  <c r="C387" i="5"/>
  <c r="B387" i="5"/>
  <c r="Q386" i="5"/>
  <c r="S386" i="5" s="1"/>
  <c r="P386" i="5"/>
  <c r="R386" i="5" s="1"/>
  <c r="L386" i="5"/>
  <c r="K386" i="5"/>
  <c r="I386" i="5"/>
  <c r="H386" i="5"/>
  <c r="F386" i="5"/>
  <c r="E386" i="5"/>
  <c r="C386" i="5"/>
  <c r="B386" i="5"/>
  <c r="R385" i="5"/>
  <c r="Q385" i="5"/>
  <c r="S385" i="5" s="1"/>
  <c r="P385" i="5"/>
  <c r="L385" i="5"/>
  <c r="K385" i="5"/>
  <c r="I385" i="5"/>
  <c r="H385" i="5"/>
  <c r="F385" i="5"/>
  <c r="E385" i="5"/>
  <c r="C385" i="5"/>
  <c r="B385" i="5"/>
  <c r="Q384" i="5"/>
  <c r="S384" i="5" s="1"/>
  <c r="P384" i="5"/>
  <c r="R384" i="5" s="1"/>
  <c r="L384" i="5"/>
  <c r="K384" i="5"/>
  <c r="I384" i="5"/>
  <c r="H384" i="5"/>
  <c r="F384" i="5"/>
  <c r="E384" i="5"/>
  <c r="M384" i="5" s="1"/>
  <c r="C384" i="5"/>
  <c r="B384" i="5"/>
  <c r="Q383" i="5"/>
  <c r="S383" i="5" s="1"/>
  <c r="P383" i="5"/>
  <c r="R383" i="5" s="1"/>
  <c r="L383" i="5"/>
  <c r="K383" i="5"/>
  <c r="I383" i="5"/>
  <c r="H383" i="5"/>
  <c r="F383" i="5"/>
  <c r="E383" i="5"/>
  <c r="C383" i="5"/>
  <c r="B383" i="5"/>
  <c r="Q382" i="5"/>
  <c r="S382" i="5" s="1"/>
  <c r="P382" i="5"/>
  <c r="R382" i="5" s="1"/>
  <c r="L382" i="5"/>
  <c r="K382" i="5"/>
  <c r="I382" i="5"/>
  <c r="H382" i="5"/>
  <c r="F382" i="5"/>
  <c r="E382" i="5"/>
  <c r="C382" i="5"/>
  <c r="B382" i="5"/>
  <c r="Q381" i="5"/>
  <c r="S381" i="5" s="1"/>
  <c r="P381" i="5"/>
  <c r="R381" i="5" s="1"/>
  <c r="L381" i="5"/>
  <c r="K381" i="5"/>
  <c r="I381" i="5"/>
  <c r="H381" i="5"/>
  <c r="F381" i="5"/>
  <c r="E381" i="5"/>
  <c r="C381" i="5"/>
  <c r="B381" i="5"/>
  <c r="Q380" i="5"/>
  <c r="S380" i="5" s="1"/>
  <c r="P380" i="5"/>
  <c r="R380" i="5" s="1"/>
  <c r="L380" i="5"/>
  <c r="K380" i="5"/>
  <c r="I380" i="5"/>
  <c r="H380" i="5"/>
  <c r="F380" i="5"/>
  <c r="E380" i="5"/>
  <c r="C380" i="5"/>
  <c r="B380" i="5"/>
  <c r="Q379" i="5"/>
  <c r="S379" i="5" s="1"/>
  <c r="P379" i="5"/>
  <c r="R379" i="5" s="1"/>
  <c r="L379" i="5"/>
  <c r="K379" i="5"/>
  <c r="I379" i="5"/>
  <c r="H379" i="5"/>
  <c r="F379" i="5"/>
  <c r="E379" i="5"/>
  <c r="C379" i="5"/>
  <c r="B379" i="5"/>
  <c r="S378" i="5"/>
  <c r="Q378" i="5"/>
  <c r="P378" i="5"/>
  <c r="R378" i="5" s="1"/>
  <c r="L378" i="5"/>
  <c r="K378" i="5"/>
  <c r="I378" i="5"/>
  <c r="H378" i="5"/>
  <c r="F378" i="5"/>
  <c r="E378" i="5"/>
  <c r="C378" i="5"/>
  <c r="B378" i="5"/>
  <c r="Q377" i="5"/>
  <c r="S377" i="5" s="1"/>
  <c r="P377" i="5"/>
  <c r="R377" i="5" s="1"/>
  <c r="L377" i="5"/>
  <c r="K377" i="5"/>
  <c r="I377" i="5"/>
  <c r="H377" i="5"/>
  <c r="F377" i="5"/>
  <c r="E377" i="5"/>
  <c r="C377" i="5"/>
  <c r="B377" i="5"/>
  <c r="Q376" i="5"/>
  <c r="S376" i="5" s="1"/>
  <c r="P376" i="5"/>
  <c r="R376" i="5" s="1"/>
  <c r="L376" i="5"/>
  <c r="K376" i="5"/>
  <c r="I376" i="5"/>
  <c r="H376" i="5"/>
  <c r="F376" i="5"/>
  <c r="N376" i="5" s="1"/>
  <c r="AA376" i="5" s="1"/>
  <c r="E376" i="5"/>
  <c r="C376" i="5"/>
  <c r="B376" i="5"/>
  <c r="S375" i="5"/>
  <c r="Q375" i="5"/>
  <c r="P375" i="5"/>
  <c r="R375" i="5" s="1"/>
  <c r="L375" i="5"/>
  <c r="K375" i="5"/>
  <c r="I375" i="5"/>
  <c r="H375" i="5"/>
  <c r="F375" i="5"/>
  <c r="E375" i="5"/>
  <c r="C375" i="5"/>
  <c r="B375" i="5"/>
  <c r="Q374" i="5"/>
  <c r="S374" i="5" s="1"/>
  <c r="P374" i="5"/>
  <c r="R374" i="5" s="1"/>
  <c r="L374" i="5"/>
  <c r="K374" i="5"/>
  <c r="I374" i="5"/>
  <c r="H374" i="5"/>
  <c r="M374" i="5" s="1"/>
  <c r="F374" i="5"/>
  <c r="E374" i="5"/>
  <c r="C374" i="5"/>
  <c r="B374" i="5"/>
  <c r="Q373" i="5"/>
  <c r="S373" i="5" s="1"/>
  <c r="P373" i="5"/>
  <c r="R373" i="5" s="1"/>
  <c r="L373" i="5"/>
  <c r="K373" i="5"/>
  <c r="I373" i="5"/>
  <c r="H373" i="5"/>
  <c r="F373" i="5"/>
  <c r="E373" i="5"/>
  <c r="C373" i="5"/>
  <c r="B373" i="5"/>
  <c r="Q372" i="5"/>
  <c r="S372" i="5" s="1"/>
  <c r="P372" i="5"/>
  <c r="R372" i="5" s="1"/>
  <c r="L372" i="5"/>
  <c r="K372" i="5"/>
  <c r="I372" i="5"/>
  <c r="H372" i="5"/>
  <c r="F372" i="5"/>
  <c r="N372" i="5" s="1"/>
  <c r="E372" i="5"/>
  <c r="C372" i="5"/>
  <c r="B372" i="5"/>
  <c r="Q371" i="5"/>
  <c r="S371" i="5" s="1"/>
  <c r="P371" i="5"/>
  <c r="R371" i="5" s="1"/>
  <c r="L371" i="5"/>
  <c r="K371" i="5"/>
  <c r="I371" i="5"/>
  <c r="H371" i="5"/>
  <c r="F371" i="5"/>
  <c r="E371" i="5"/>
  <c r="C371" i="5"/>
  <c r="B371" i="5"/>
  <c r="R370" i="5"/>
  <c r="Q370" i="5"/>
  <c r="S370" i="5" s="1"/>
  <c r="P370" i="5"/>
  <c r="L370" i="5"/>
  <c r="K370" i="5"/>
  <c r="I370" i="5"/>
  <c r="H370" i="5"/>
  <c r="F370" i="5"/>
  <c r="E370" i="5"/>
  <c r="C370" i="5"/>
  <c r="B370" i="5"/>
  <c r="Q369" i="5"/>
  <c r="S369" i="5" s="1"/>
  <c r="P369" i="5"/>
  <c r="R369" i="5" s="1"/>
  <c r="L369" i="5"/>
  <c r="K369" i="5"/>
  <c r="I369" i="5"/>
  <c r="H369" i="5"/>
  <c r="F369" i="5"/>
  <c r="E369" i="5"/>
  <c r="C369" i="5"/>
  <c r="B369" i="5"/>
  <c r="Q368" i="5"/>
  <c r="S368" i="5" s="1"/>
  <c r="P368" i="5"/>
  <c r="R368" i="5" s="1"/>
  <c r="N368" i="5"/>
  <c r="L368" i="5"/>
  <c r="K368" i="5"/>
  <c r="I368" i="5"/>
  <c r="H368" i="5"/>
  <c r="F368" i="5"/>
  <c r="E368" i="5"/>
  <c r="C368" i="5"/>
  <c r="B368" i="5"/>
  <c r="Q367" i="5"/>
  <c r="S367" i="5" s="1"/>
  <c r="P367" i="5"/>
  <c r="R367" i="5" s="1"/>
  <c r="L367" i="5"/>
  <c r="K367" i="5"/>
  <c r="I367" i="5"/>
  <c r="H367" i="5"/>
  <c r="M367" i="5" s="1"/>
  <c r="F367" i="5"/>
  <c r="N367" i="5" s="1"/>
  <c r="E367" i="5"/>
  <c r="C367" i="5"/>
  <c r="B367" i="5"/>
  <c r="Q366" i="5"/>
  <c r="S366" i="5" s="1"/>
  <c r="P366" i="5"/>
  <c r="R366" i="5" s="1"/>
  <c r="L366" i="5"/>
  <c r="K366" i="5"/>
  <c r="I366" i="5"/>
  <c r="H366" i="5"/>
  <c r="F366" i="5"/>
  <c r="N366" i="5" s="1"/>
  <c r="E366" i="5"/>
  <c r="C366" i="5"/>
  <c r="B366" i="5"/>
  <c r="Q365" i="5"/>
  <c r="S365" i="5" s="1"/>
  <c r="P365" i="5"/>
  <c r="R365" i="5" s="1"/>
  <c r="L365" i="5"/>
  <c r="K365" i="5"/>
  <c r="I365" i="5"/>
  <c r="H365" i="5"/>
  <c r="F365" i="5"/>
  <c r="E365" i="5"/>
  <c r="C365" i="5"/>
  <c r="B365" i="5"/>
  <c r="Q364" i="5"/>
  <c r="S364" i="5" s="1"/>
  <c r="P364" i="5"/>
  <c r="R364" i="5" s="1"/>
  <c r="L364" i="5"/>
  <c r="K364" i="5"/>
  <c r="I364" i="5"/>
  <c r="H364" i="5"/>
  <c r="F364" i="5"/>
  <c r="E364" i="5"/>
  <c r="M364" i="5" s="1"/>
  <c r="C364" i="5"/>
  <c r="B364" i="5"/>
  <c r="Q363" i="5"/>
  <c r="S363" i="5" s="1"/>
  <c r="P363" i="5"/>
  <c r="R363" i="5" s="1"/>
  <c r="L363" i="5"/>
  <c r="K363" i="5"/>
  <c r="I363" i="5"/>
  <c r="H363" i="5"/>
  <c r="F363" i="5"/>
  <c r="E363" i="5"/>
  <c r="M363" i="5" s="1"/>
  <c r="C363" i="5"/>
  <c r="B363" i="5"/>
  <c r="Q362" i="5"/>
  <c r="S362" i="5" s="1"/>
  <c r="P362" i="5"/>
  <c r="R362" i="5" s="1"/>
  <c r="L362" i="5"/>
  <c r="K362" i="5"/>
  <c r="I362" i="5"/>
  <c r="H362" i="5"/>
  <c r="F362" i="5"/>
  <c r="E362" i="5"/>
  <c r="C362" i="5"/>
  <c r="B362" i="5"/>
  <c r="Q361" i="5"/>
  <c r="S361" i="5" s="1"/>
  <c r="P361" i="5"/>
  <c r="R361" i="5" s="1"/>
  <c r="L361" i="5"/>
  <c r="K361" i="5"/>
  <c r="I361" i="5"/>
  <c r="H361" i="5"/>
  <c r="F361" i="5"/>
  <c r="E361" i="5"/>
  <c r="C361" i="5"/>
  <c r="B361" i="5"/>
  <c r="S360" i="5"/>
  <c r="Q360" i="5"/>
  <c r="P360" i="5"/>
  <c r="R360" i="5" s="1"/>
  <c r="L360" i="5"/>
  <c r="K360" i="5"/>
  <c r="I360" i="5"/>
  <c r="H360" i="5"/>
  <c r="F360" i="5"/>
  <c r="E360" i="5"/>
  <c r="C360" i="5"/>
  <c r="B360" i="5"/>
  <c r="Q359" i="5"/>
  <c r="S359" i="5" s="1"/>
  <c r="P359" i="5"/>
  <c r="R359" i="5" s="1"/>
  <c r="L359" i="5"/>
  <c r="K359" i="5"/>
  <c r="I359" i="5"/>
  <c r="H359" i="5"/>
  <c r="F359" i="5"/>
  <c r="E359" i="5"/>
  <c r="C359" i="5"/>
  <c r="B359" i="5"/>
  <c r="Q358" i="5"/>
  <c r="S358" i="5" s="1"/>
  <c r="P358" i="5"/>
  <c r="R358" i="5" s="1"/>
  <c r="L358" i="5"/>
  <c r="K358" i="5"/>
  <c r="I358" i="5"/>
  <c r="H358" i="5"/>
  <c r="F358" i="5"/>
  <c r="E358" i="5"/>
  <c r="C358" i="5"/>
  <c r="B358" i="5"/>
  <c r="Q357" i="5"/>
  <c r="S357" i="5" s="1"/>
  <c r="P357" i="5"/>
  <c r="R357" i="5" s="1"/>
  <c r="L357" i="5"/>
  <c r="K357" i="5"/>
  <c r="I357" i="5"/>
  <c r="H357" i="5"/>
  <c r="F357" i="5"/>
  <c r="E357" i="5"/>
  <c r="C357" i="5"/>
  <c r="B357" i="5"/>
  <c r="Q356" i="5"/>
  <c r="S356" i="5" s="1"/>
  <c r="P356" i="5"/>
  <c r="R356" i="5" s="1"/>
  <c r="L356" i="5"/>
  <c r="K356" i="5"/>
  <c r="I356" i="5"/>
  <c r="H356" i="5"/>
  <c r="F356" i="5"/>
  <c r="N356" i="5" s="1"/>
  <c r="AA356" i="5" s="1"/>
  <c r="E356" i="5"/>
  <c r="C356" i="5"/>
  <c r="B356" i="5"/>
  <c r="Q355" i="5"/>
  <c r="S355" i="5" s="1"/>
  <c r="P355" i="5"/>
  <c r="R355" i="5" s="1"/>
  <c r="L355" i="5"/>
  <c r="K355" i="5"/>
  <c r="I355" i="5"/>
  <c r="H355" i="5"/>
  <c r="F355" i="5"/>
  <c r="E355" i="5"/>
  <c r="C355" i="5"/>
  <c r="B355" i="5"/>
  <c r="Q354" i="5"/>
  <c r="S354" i="5" s="1"/>
  <c r="P354" i="5"/>
  <c r="R354" i="5" s="1"/>
  <c r="L354" i="5"/>
  <c r="K354" i="5"/>
  <c r="I354" i="5"/>
  <c r="H354" i="5"/>
  <c r="F354" i="5"/>
  <c r="E354" i="5"/>
  <c r="C354" i="5"/>
  <c r="B354" i="5"/>
  <c r="Q353" i="5"/>
  <c r="S353" i="5" s="1"/>
  <c r="P353" i="5"/>
  <c r="R353" i="5" s="1"/>
  <c r="L353" i="5"/>
  <c r="K353" i="5"/>
  <c r="I353" i="5"/>
  <c r="H353" i="5"/>
  <c r="F353" i="5"/>
  <c r="E353" i="5"/>
  <c r="C353" i="5"/>
  <c r="B353" i="5"/>
  <c r="Q352" i="5"/>
  <c r="S352" i="5" s="1"/>
  <c r="P352" i="5"/>
  <c r="R352" i="5" s="1"/>
  <c r="L352" i="5"/>
  <c r="K352" i="5"/>
  <c r="I352" i="5"/>
  <c r="H352" i="5"/>
  <c r="F352" i="5"/>
  <c r="E352" i="5"/>
  <c r="C352" i="5"/>
  <c r="B352" i="5"/>
  <c r="Q351" i="5"/>
  <c r="S351" i="5" s="1"/>
  <c r="P351" i="5"/>
  <c r="R351" i="5" s="1"/>
  <c r="L351" i="5"/>
  <c r="N351" i="5" s="1"/>
  <c r="K351" i="5"/>
  <c r="I351" i="5"/>
  <c r="H351" i="5"/>
  <c r="F351" i="5"/>
  <c r="E351" i="5"/>
  <c r="C351" i="5"/>
  <c r="B351" i="5"/>
  <c r="Q350" i="5"/>
  <c r="S350" i="5" s="1"/>
  <c r="P350" i="5"/>
  <c r="R350" i="5" s="1"/>
  <c r="L350" i="5"/>
  <c r="K350" i="5"/>
  <c r="I350" i="5"/>
  <c r="H350" i="5"/>
  <c r="F350" i="5"/>
  <c r="E350" i="5"/>
  <c r="C350" i="5"/>
  <c r="B350" i="5"/>
  <c r="R349" i="5"/>
  <c r="Q349" i="5"/>
  <c r="S349" i="5" s="1"/>
  <c r="P349" i="5"/>
  <c r="L349" i="5"/>
  <c r="K349" i="5"/>
  <c r="I349" i="5"/>
  <c r="H349" i="5"/>
  <c r="F349" i="5"/>
  <c r="E349" i="5"/>
  <c r="M349" i="5" s="1"/>
  <c r="C349" i="5"/>
  <c r="B349" i="5"/>
  <c r="Q348" i="5"/>
  <c r="S348" i="5" s="1"/>
  <c r="P348" i="5"/>
  <c r="R348" i="5" s="1"/>
  <c r="L348" i="5"/>
  <c r="K348" i="5"/>
  <c r="I348" i="5"/>
  <c r="H348" i="5"/>
  <c r="F348" i="5"/>
  <c r="E348" i="5"/>
  <c r="C348" i="5"/>
  <c r="B348" i="5"/>
  <c r="Q347" i="5"/>
  <c r="S347" i="5" s="1"/>
  <c r="P347" i="5"/>
  <c r="R347" i="5" s="1"/>
  <c r="L347" i="5"/>
  <c r="K347" i="5"/>
  <c r="I347" i="5"/>
  <c r="H347" i="5"/>
  <c r="F347" i="5"/>
  <c r="E347" i="5"/>
  <c r="C347" i="5"/>
  <c r="B347" i="5"/>
  <c r="Q346" i="5"/>
  <c r="S346" i="5" s="1"/>
  <c r="P346" i="5"/>
  <c r="R346" i="5" s="1"/>
  <c r="L346" i="5"/>
  <c r="K346" i="5"/>
  <c r="I346" i="5"/>
  <c r="N346" i="5" s="1"/>
  <c r="H346" i="5"/>
  <c r="F346" i="5"/>
  <c r="E346" i="5"/>
  <c r="C346" i="5"/>
  <c r="B346" i="5"/>
  <c r="Q345" i="5"/>
  <c r="S345" i="5" s="1"/>
  <c r="P345" i="5"/>
  <c r="R345" i="5" s="1"/>
  <c r="L345" i="5"/>
  <c r="K345" i="5"/>
  <c r="I345" i="5"/>
  <c r="H345" i="5"/>
  <c r="F345" i="5"/>
  <c r="E345" i="5"/>
  <c r="C345" i="5"/>
  <c r="B345" i="5"/>
  <c r="Q344" i="5"/>
  <c r="S344" i="5" s="1"/>
  <c r="P344" i="5"/>
  <c r="R344" i="5" s="1"/>
  <c r="L344" i="5"/>
  <c r="K344" i="5"/>
  <c r="I344" i="5"/>
  <c r="H344" i="5"/>
  <c r="F344" i="5"/>
  <c r="E344" i="5"/>
  <c r="C344" i="5"/>
  <c r="B344" i="5"/>
  <c r="Q343" i="5"/>
  <c r="S343" i="5" s="1"/>
  <c r="P343" i="5"/>
  <c r="R343" i="5" s="1"/>
  <c r="L343" i="5"/>
  <c r="K343" i="5"/>
  <c r="I343" i="5"/>
  <c r="H343" i="5"/>
  <c r="F343" i="5"/>
  <c r="E343" i="5"/>
  <c r="C343" i="5"/>
  <c r="B343" i="5"/>
  <c r="Q342" i="5"/>
  <c r="S342" i="5" s="1"/>
  <c r="P342" i="5"/>
  <c r="R342" i="5" s="1"/>
  <c r="L342" i="5"/>
  <c r="K342" i="5"/>
  <c r="I342" i="5"/>
  <c r="H342" i="5"/>
  <c r="F342" i="5"/>
  <c r="N342" i="5" s="1"/>
  <c r="E342" i="5"/>
  <c r="C342" i="5"/>
  <c r="B342" i="5"/>
  <c r="Q341" i="5"/>
  <c r="S341" i="5" s="1"/>
  <c r="P341" i="5"/>
  <c r="R341" i="5" s="1"/>
  <c r="L341" i="5"/>
  <c r="K341" i="5"/>
  <c r="I341" i="5"/>
  <c r="H341" i="5"/>
  <c r="F341" i="5"/>
  <c r="N341" i="5" s="1"/>
  <c r="E341" i="5"/>
  <c r="C341" i="5"/>
  <c r="B341" i="5"/>
  <c r="Q340" i="5"/>
  <c r="S340" i="5" s="1"/>
  <c r="P340" i="5"/>
  <c r="R340" i="5" s="1"/>
  <c r="L340" i="5"/>
  <c r="K340" i="5"/>
  <c r="I340" i="5"/>
  <c r="H340" i="5"/>
  <c r="F340" i="5"/>
  <c r="E340" i="5"/>
  <c r="C340" i="5"/>
  <c r="B340" i="5"/>
  <c r="Q339" i="5"/>
  <c r="S339" i="5" s="1"/>
  <c r="P339" i="5"/>
  <c r="R339" i="5" s="1"/>
  <c r="L339" i="5"/>
  <c r="K339" i="5"/>
  <c r="I339" i="5"/>
  <c r="H339" i="5"/>
  <c r="F339" i="5"/>
  <c r="E339" i="5"/>
  <c r="C339" i="5"/>
  <c r="B339" i="5"/>
  <c r="Q338" i="5"/>
  <c r="S338" i="5" s="1"/>
  <c r="P338" i="5"/>
  <c r="R338" i="5" s="1"/>
  <c r="L338" i="5"/>
  <c r="K338" i="5"/>
  <c r="I338" i="5"/>
  <c r="H338" i="5"/>
  <c r="F338" i="5"/>
  <c r="N338" i="5" s="1"/>
  <c r="Z338" i="5" s="1"/>
  <c r="E338" i="5"/>
  <c r="C338" i="5"/>
  <c r="B338" i="5"/>
  <c r="Q337" i="5"/>
  <c r="S337" i="5" s="1"/>
  <c r="P337" i="5"/>
  <c r="R337" i="5" s="1"/>
  <c r="L337" i="5"/>
  <c r="K337" i="5"/>
  <c r="I337" i="5"/>
  <c r="H337" i="5"/>
  <c r="F337" i="5"/>
  <c r="E337" i="5"/>
  <c r="C337" i="5"/>
  <c r="B337" i="5"/>
  <c r="Q336" i="5"/>
  <c r="S336" i="5" s="1"/>
  <c r="P336" i="5"/>
  <c r="R336" i="5" s="1"/>
  <c r="L336" i="5"/>
  <c r="K336" i="5"/>
  <c r="I336" i="5"/>
  <c r="H336" i="5"/>
  <c r="F336" i="5"/>
  <c r="E336" i="5"/>
  <c r="M336" i="5" s="1"/>
  <c r="C336" i="5"/>
  <c r="B336" i="5"/>
  <c r="Q335" i="5"/>
  <c r="S335" i="5" s="1"/>
  <c r="P335" i="5"/>
  <c r="R335" i="5" s="1"/>
  <c r="L335" i="5"/>
  <c r="K335" i="5"/>
  <c r="I335" i="5"/>
  <c r="H335" i="5"/>
  <c r="F335" i="5"/>
  <c r="E335" i="5"/>
  <c r="C335" i="5"/>
  <c r="B335" i="5"/>
  <c r="Q334" i="5"/>
  <c r="S334" i="5" s="1"/>
  <c r="P334" i="5"/>
  <c r="R334" i="5" s="1"/>
  <c r="L334" i="5"/>
  <c r="K334" i="5"/>
  <c r="I334" i="5"/>
  <c r="H334" i="5"/>
  <c r="F334" i="5"/>
  <c r="E334" i="5"/>
  <c r="C334" i="5"/>
  <c r="B334" i="5"/>
  <c r="Q333" i="5"/>
  <c r="S333" i="5" s="1"/>
  <c r="P333" i="5"/>
  <c r="R333" i="5" s="1"/>
  <c r="L333" i="5"/>
  <c r="K333" i="5"/>
  <c r="I333" i="5"/>
  <c r="H333" i="5"/>
  <c r="F333" i="5"/>
  <c r="N333" i="5" s="1"/>
  <c r="E333" i="5"/>
  <c r="C333" i="5"/>
  <c r="B333" i="5"/>
  <c r="S332" i="5"/>
  <c r="Q332" i="5"/>
  <c r="P332" i="5"/>
  <c r="R332" i="5" s="1"/>
  <c r="L332" i="5"/>
  <c r="K332" i="5"/>
  <c r="I332" i="5"/>
  <c r="H332" i="5"/>
  <c r="F332" i="5"/>
  <c r="E332" i="5"/>
  <c r="C332" i="5"/>
  <c r="B332" i="5"/>
  <c r="Q331" i="5"/>
  <c r="S331" i="5" s="1"/>
  <c r="P331" i="5"/>
  <c r="R331" i="5" s="1"/>
  <c r="L331" i="5"/>
  <c r="K331" i="5"/>
  <c r="I331" i="5"/>
  <c r="H331" i="5"/>
  <c r="F331" i="5"/>
  <c r="E331" i="5"/>
  <c r="C331" i="5"/>
  <c r="B331" i="5"/>
  <c r="Q330" i="5"/>
  <c r="S330" i="5" s="1"/>
  <c r="P330" i="5"/>
  <c r="R330" i="5" s="1"/>
  <c r="L330" i="5"/>
  <c r="K330" i="5"/>
  <c r="I330" i="5"/>
  <c r="H330" i="5"/>
  <c r="F330" i="5"/>
  <c r="E330" i="5"/>
  <c r="C330" i="5"/>
  <c r="B330" i="5"/>
  <c r="Q329" i="5"/>
  <c r="S329" i="5" s="1"/>
  <c r="P329" i="5"/>
  <c r="R329" i="5" s="1"/>
  <c r="L329" i="5"/>
  <c r="N329" i="5" s="1"/>
  <c r="K329" i="5"/>
  <c r="M329" i="5" s="1"/>
  <c r="I329" i="5"/>
  <c r="H329" i="5"/>
  <c r="F329" i="5"/>
  <c r="E329" i="5"/>
  <c r="C329" i="5"/>
  <c r="B329" i="5"/>
  <c r="Q328" i="5"/>
  <c r="S328" i="5" s="1"/>
  <c r="P328" i="5"/>
  <c r="R328" i="5" s="1"/>
  <c r="L328" i="5"/>
  <c r="K328" i="5"/>
  <c r="I328" i="5"/>
  <c r="H328" i="5"/>
  <c r="F328" i="5"/>
  <c r="E328" i="5"/>
  <c r="C328" i="5"/>
  <c r="B328" i="5"/>
  <c r="Q327" i="5"/>
  <c r="S327" i="5" s="1"/>
  <c r="P327" i="5"/>
  <c r="R327" i="5" s="1"/>
  <c r="L327" i="5"/>
  <c r="K327" i="5"/>
  <c r="I327" i="5"/>
  <c r="H327" i="5"/>
  <c r="F327" i="5"/>
  <c r="E327" i="5"/>
  <c r="M327" i="5" s="1"/>
  <c r="C327" i="5"/>
  <c r="B327" i="5"/>
  <c r="Q326" i="5"/>
  <c r="S326" i="5" s="1"/>
  <c r="P326" i="5"/>
  <c r="R326" i="5" s="1"/>
  <c r="L326" i="5"/>
  <c r="K326" i="5"/>
  <c r="I326" i="5"/>
  <c r="H326" i="5"/>
  <c r="F326" i="5"/>
  <c r="E326" i="5"/>
  <c r="C326" i="5"/>
  <c r="B326" i="5"/>
  <c r="Q325" i="5"/>
  <c r="S325" i="5" s="1"/>
  <c r="P325" i="5"/>
  <c r="R325" i="5" s="1"/>
  <c r="L325" i="5"/>
  <c r="K325" i="5"/>
  <c r="I325" i="5"/>
  <c r="H325" i="5"/>
  <c r="F325" i="5"/>
  <c r="N325" i="5" s="1"/>
  <c r="E325" i="5"/>
  <c r="C325" i="5"/>
  <c r="B325" i="5"/>
  <c r="Q324" i="5"/>
  <c r="S324" i="5" s="1"/>
  <c r="P324" i="5"/>
  <c r="R324" i="5" s="1"/>
  <c r="L324" i="5"/>
  <c r="K324" i="5"/>
  <c r="I324" i="5"/>
  <c r="H324" i="5"/>
  <c r="F324" i="5"/>
  <c r="E324" i="5"/>
  <c r="C324" i="5"/>
  <c r="B324" i="5"/>
  <c r="Q323" i="5"/>
  <c r="S323" i="5" s="1"/>
  <c r="P323" i="5"/>
  <c r="R323" i="5" s="1"/>
  <c r="L323" i="5"/>
  <c r="K323" i="5"/>
  <c r="I323" i="5"/>
  <c r="H323" i="5"/>
  <c r="F323" i="5"/>
  <c r="E323" i="5"/>
  <c r="C323" i="5"/>
  <c r="B323" i="5"/>
  <c r="R322" i="5"/>
  <c r="Q322" i="5"/>
  <c r="S322" i="5" s="1"/>
  <c r="P322" i="5"/>
  <c r="L322" i="5"/>
  <c r="K322" i="5"/>
  <c r="I322" i="5"/>
  <c r="H322" i="5"/>
  <c r="F322" i="5"/>
  <c r="E322" i="5"/>
  <c r="C322" i="5"/>
  <c r="B322" i="5"/>
  <c r="Q321" i="5"/>
  <c r="S321" i="5" s="1"/>
  <c r="P321" i="5"/>
  <c r="R321" i="5" s="1"/>
  <c r="L321" i="5"/>
  <c r="K321" i="5"/>
  <c r="I321" i="5"/>
  <c r="H321" i="5"/>
  <c r="F321" i="5"/>
  <c r="E321" i="5"/>
  <c r="C321" i="5"/>
  <c r="B321" i="5"/>
  <c r="Q320" i="5"/>
  <c r="S320" i="5" s="1"/>
  <c r="P320" i="5"/>
  <c r="R320" i="5" s="1"/>
  <c r="L320" i="5"/>
  <c r="K320" i="5"/>
  <c r="I320" i="5"/>
  <c r="H320" i="5"/>
  <c r="F320" i="5"/>
  <c r="E320" i="5"/>
  <c r="C320" i="5"/>
  <c r="B320" i="5"/>
  <c r="Q319" i="5"/>
  <c r="S319" i="5" s="1"/>
  <c r="P319" i="5"/>
  <c r="R319" i="5" s="1"/>
  <c r="L319" i="5"/>
  <c r="K319" i="5"/>
  <c r="I319" i="5"/>
  <c r="H319" i="5"/>
  <c r="F319" i="5"/>
  <c r="E319" i="5"/>
  <c r="C319" i="5"/>
  <c r="B319" i="5"/>
  <c r="Q318" i="5"/>
  <c r="S318" i="5" s="1"/>
  <c r="P318" i="5"/>
  <c r="R318" i="5" s="1"/>
  <c r="L318" i="5"/>
  <c r="K318" i="5"/>
  <c r="I318" i="5"/>
  <c r="H318" i="5"/>
  <c r="M318" i="5" s="1"/>
  <c r="F318" i="5"/>
  <c r="E318" i="5"/>
  <c r="C318" i="5"/>
  <c r="B318" i="5"/>
  <c r="Q317" i="5"/>
  <c r="S317" i="5" s="1"/>
  <c r="P317" i="5"/>
  <c r="R317" i="5" s="1"/>
  <c r="L317" i="5"/>
  <c r="K317" i="5"/>
  <c r="I317" i="5"/>
  <c r="H317" i="5"/>
  <c r="F317" i="5"/>
  <c r="E317" i="5"/>
  <c r="C317" i="5"/>
  <c r="B317" i="5"/>
  <c r="Q316" i="5"/>
  <c r="S316" i="5" s="1"/>
  <c r="P316" i="5"/>
  <c r="R316" i="5" s="1"/>
  <c r="L316" i="5"/>
  <c r="K316" i="5"/>
  <c r="I316" i="5"/>
  <c r="H316" i="5"/>
  <c r="F316" i="5"/>
  <c r="E316" i="5"/>
  <c r="C316" i="5"/>
  <c r="B316" i="5"/>
  <c r="R315" i="5"/>
  <c r="Q315" i="5"/>
  <c r="S315" i="5" s="1"/>
  <c r="P315" i="5"/>
  <c r="L315" i="5"/>
  <c r="K315" i="5"/>
  <c r="I315" i="5"/>
  <c r="H315" i="5"/>
  <c r="F315" i="5"/>
  <c r="E315" i="5"/>
  <c r="C315" i="5"/>
  <c r="B315" i="5"/>
  <c r="Q314" i="5"/>
  <c r="S314" i="5" s="1"/>
  <c r="P314" i="5"/>
  <c r="R314" i="5" s="1"/>
  <c r="L314" i="5"/>
  <c r="K314" i="5"/>
  <c r="I314" i="5"/>
  <c r="H314" i="5"/>
  <c r="F314" i="5"/>
  <c r="E314" i="5"/>
  <c r="C314" i="5"/>
  <c r="B314" i="5"/>
  <c r="Q313" i="5"/>
  <c r="S313" i="5" s="1"/>
  <c r="P313" i="5"/>
  <c r="R313" i="5" s="1"/>
  <c r="L313" i="5"/>
  <c r="K313" i="5"/>
  <c r="I313" i="5"/>
  <c r="H313" i="5"/>
  <c r="F313" i="5"/>
  <c r="E313" i="5"/>
  <c r="C313" i="5"/>
  <c r="B313" i="5"/>
  <c r="Q312" i="5"/>
  <c r="S312" i="5" s="1"/>
  <c r="P312" i="5"/>
  <c r="R312" i="5" s="1"/>
  <c r="L312" i="5"/>
  <c r="K312" i="5"/>
  <c r="I312" i="5"/>
  <c r="H312" i="5"/>
  <c r="F312" i="5"/>
  <c r="E312" i="5"/>
  <c r="M312" i="5" s="1"/>
  <c r="C312" i="5"/>
  <c r="B312" i="5"/>
  <c r="Q311" i="5"/>
  <c r="S311" i="5" s="1"/>
  <c r="P311" i="5"/>
  <c r="R311" i="5" s="1"/>
  <c r="L311" i="5"/>
  <c r="K311" i="5"/>
  <c r="I311" i="5"/>
  <c r="H311" i="5"/>
  <c r="F311" i="5"/>
  <c r="E311" i="5"/>
  <c r="C311" i="5"/>
  <c r="B311" i="5"/>
  <c r="Q310" i="5"/>
  <c r="S310" i="5" s="1"/>
  <c r="P310" i="5"/>
  <c r="R310" i="5" s="1"/>
  <c r="L310" i="5"/>
  <c r="K310" i="5"/>
  <c r="I310" i="5"/>
  <c r="H310" i="5"/>
  <c r="F310" i="5"/>
  <c r="E310" i="5"/>
  <c r="C310" i="5"/>
  <c r="B310" i="5"/>
  <c r="Q309" i="5"/>
  <c r="S309" i="5" s="1"/>
  <c r="P309" i="5"/>
  <c r="R309" i="5" s="1"/>
  <c r="L309" i="5"/>
  <c r="K309" i="5"/>
  <c r="I309" i="5"/>
  <c r="H309" i="5"/>
  <c r="F309" i="5"/>
  <c r="E309" i="5"/>
  <c r="M309" i="5" s="1"/>
  <c r="C309" i="5"/>
  <c r="B309" i="5"/>
  <c r="Q308" i="5"/>
  <c r="S308" i="5" s="1"/>
  <c r="P308" i="5"/>
  <c r="R308" i="5" s="1"/>
  <c r="L308" i="5"/>
  <c r="K308" i="5"/>
  <c r="I308" i="5"/>
  <c r="H308" i="5"/>
  <c r="F308" i="5"/>
  <c r="E308" i="5"/>
  <c r="C308" i="5"/>
  <c r="B308" i="5"/>
  <c r="Q307" i="5"/>
  <c r="S307" i="5" s="1"/>
  <c r="P307" i="5"/>
  <c r="R307" i="5" s="1"/>
  <c r="L307" i="5"/>
  <c r="K307" i="5"/>
  <c r="I307" i="5"/>
  <c r="H307" i="5"/>
  <c r="F307" i="5"/>
  <c r="E307" i="5"/>
  <c r="C307" i="5"/>
  <c r="B307" i="5"/>
  <c r="Q306" i="5"/>
  <c r="S306" i="5" s="1"/>
  <c r="P306" i="5"/>
  <c r="R306" i="5" s="1"/>
  <c r="L306" i="5"/>
  <c r="K306" i="5"/>
  <c r="I306" i="5"/>
  <c r="H306" i="5"/>
  <c r="F306" i="5"/>
  <c r="E306" i="5"/>
  <c r="C306" i="5"/>
  <c r="B306" i="5"/>
  <c r="Q305" i="5"/>
  <c r="S305" i="5" s="1"/>
  <c r="P305" i="5"/>
  <c r="R305" i="5" s="1"/>
  <c r="L305" i="5"/>
  <c r="K305" i="5"/>
  <c r="I305" i="5"/>
  <c r="H305" i="5"/>
  <c r="F305" i="5"/>
  <c r="E305" i="5"/>
  <c r="C305" i="5"/>
  <c r="B305" i="5"/>
  <c r="Q304" i="5"/>
  <c r="S304" i="5" s="1"/>
  <c r="P304" i="5"/>
  <c r="R304" i="5" s="1"/>
  <c r="L304" i="5"/>
  <c r="K304" i="5"/>
  <c r="I304" i="5"/>
  <c r="H304" i="5"/>
  <c r="F304" i="5"/>
  <c r="E304" i="5"/>
  <c r="M304" i="5" s="1"/>
  <c r="C304" i="5"/>
  <c r="B304" i="5"/>
  <c r="Q303" i="5"/>
  <c r="S303" i="5" s="1"/>
  <c r="P303" i="5"/>
  <c r="R303" i="5" s="1"/>
  <c r="L303" i="5"/>
  <c r="K303" i="5"/>
  <c r="I303" i="5"/>
  <c r="H303" i="5"/>
  <c r="F303" i="5"/>
  <c r="E303" i="5"/>
  <c r="C303" i="5"/>
  <c r="B303" i="5"/>
  <c r="S302" i="5"/>
  <c r="Q302" i="5"/>
  <c r="P302" i="5"/>
  <c r="R302" i="5" s="1"/>
  <c r="L302" i="5"/>
  <c r="K302" i="5"/>
  <c r="I302" i="5"/>
  <c r="H302" i="5"/>
  <c r="M302" i="5" s="1"/>
  <c r="F302" i="5"/>
  <c r="E302" i="5"/>
  <c r="C302" i="5"/>
  <c r="B302" i="5"/>
  <c r="Q301" i="5"/>
  <c r="S301" i="5" s="1"/>
  <c r="P301" i="5"/>
  <c r="R301" i="5" s="1"/>
  <c r="L301" i="5"/>
  <c r="K301" i="5"/>
  <c r="I301" i="5"/>
  <c r="H301" i="5"/>
  <c r="F301" i="5"/>
  <c r="E301" i="5"/>
  <c r="C301" i="5"/>
  <c r="B301" i="5"/>
  <c r="Q300" i="5"/>
  <c r="S300" i="5" s="1"/>
  <c r="P300" i="5"/>
  <c r="R300" i="5" s="1"/>
  <c r="L300" i="5"/>
  <c r="K300" i="5"/>
  <c r="I300" i="5"/>
  <c r="H300" i="5"/>
  <c r="F300" i="5"/>
  <c r="E300" i="5"/>
  <c r="C300" i="5"/>
  <c r="B300" i="5"/>
  <c r="Q299" i="5"/>
  <c r="S299" i="5" s="1"/>
  <c r="P299" i="5"/>
  <c r="R299" i="5" s="1"/>
  <c r="L299" i="5"/>
  <c r="K299" i="5"/>
  <c r="I299" i="5"/>
  <c r="H299" i="5"/>
  <c r="F299" i="5"/>
  <c r="N299" i="5" s="1"/>
  <c r="E299" i="5"/>
  <c r="M299" i="5" s="1"/>
  <c r="C299" i="5"/>
  <c r="B299" i="5"/>
  <c r="Q298" i="5"/>
  <c r="S298" i="5" s="1"/>
  <c r="P298" i="5"/>
  <c r="R298" i="5" s="1"/>
  <c r="L298" i="5"/>
  <c r="K298" i="5"/>
  <c r="I298" i="5"/>
  <c r="H298" i="5"/>
  <c r="F298" i="5"/>
  <c r="E298" i="5"/>
  <c r="C298" i="5"/>
  <c r="B298" i="5"/>
  <c r="Q297" i="5"/>
  <c r="S297" i="5" s="1"/>
  <c r="P297" i="5"/>
  <c r="R297" i="5" s="1"/>
  <c r="L297" i="5"/>
  <c r="K297" i="5"/>
  <c r="I297" i="5"/>
  <c r="H297" i="5"/>
  <c r="F297" i="5"/>
  <c r="E297" i="5"/>
  <c r="C297" i="5"/>
  <c r="B297" i="5"/>
  <c r="Q296" i="5"/>
  <c r="S296" i="5" s="1"/>
  <c r="P296" i="5"/>
  <c r="R296" i="5" s="1"/>
  <c r="L296" i="5"/>
  <c r="K296" i="5"/>
  <c r="I296" i="5"/>
  <c r="H296" i="5"/>
  <c r="F296" i="5"/>
  <c r="N296" i="5" s="1"/>
  <c r="E296" i="5"/>
  <c r="M296" i="5" s="1"/>
  <c r="Y296" i="5" s="1"/>
  <c r="C296" i="5"/>
  <c r="B296" i="5"/>
  <c r="Q295" i="5"/>
  <c r="S295" i="5" s="1"/>
  <c r="P295" i="5"/>
  <c r="R295" i="5" s="1"/>
  <c r="L295" i="5"/>
  <c r="K295" i="5"/>
  <c r="I295" i="5"/>
  <c r="H295" i="5"/>
  <c r="F295" i="5"/>
  <c r="E295" i="5"/>
  <c r="C295" i="5"/>
  <c r="B295" i="5"/>
  <c r="Q294" i="5"/>
  <c r="S294" i="5" s="1"/>
  <c r="P294" i="5"/>
  <c r="R294" i="5" s="1"/>
  <c r="L294" i="5"/>
  <c r="K294" i="5"/>
  <c r="M294" i="5" s="1"/>
  <c r="I294" i="5"/>
  <c r="H294" i="5"/>
  <c r="F294" i="5"/>
  <c r="E294" i="5"/>
  <c r="C294" i="5"/>
  <c r="B294" i="5"/>
  <c r="Q293" i="5"/>
  <c r="S293" i="5" s="1"/>
  <c r="P293" i="5"/>
  <c r="R293" i="5" s="1"/>
  <c r="L293" i="5"/>
  <c r="K293" i="5"/>
  <c r="I293" i="5"/>
  <c r="H293" i="5"/>
  <c r="F293" i="5"/>
  <c r="E293" i="5"/>
  <c r="M293" i="5" s="1"/>
  <c r="C293" i="5"/>
  <c r="B293" i="5"/>
  <c r="Q292" i="5"/>
  <c r="S292" i="5" s="1"/>
  <c r="P292" i="5"/>
  <c r="R292" i="5" s="1"/>
  <c r="L292" i="5"/>
  <c r="K292" i="5"/>
  <c r="I292" i="5"/>
  <c r="H292" i="5"/>
  <c r="F292" i="5"/>
  <c r="E292" i="5"/>
  <c r="C292" i="5"/>
  <c r="B292" i="5"/>
  <c r="Q291" i="5"/>
  <c r="S291" i="5" s="1"/>
  <c r="P291" i="5"/>
  <c r="R291" i="5" s="1"/>
  <c r="L291" i="5"/>
  <c r="K291" i="5"/>
  <c r="M291" i="5" s="1"/>
  <c r="AC291" i="5" s="1"/>
  <c r="I291" i="5"/>
  <c r="H291" i="5"/>
  <c r="F291" i="5"/>
  <c r="E291" i="5"/>
  <c r="C291" i="5"/>
  <c r="B291" i="5"/>
  <c r="Q290" i="5"/>
  <c r="S290" i="5" s="1"/>
  <c r="P290" i="5"/>
  <c r="R290" i="5" s="1"/>
  <c r="L290" i="5"/>
  <c r="K290" i="5"/>
  <c r="I290" i="5"/>
  <c r="H290" i="5"/>
  <c r="F290" i="5"/>
  <c r="E290" i="5"/>
  <c r="C290" i="5"/>
  <c r="B290" i="5"/>
  <c r="Q289" i="5"/>
  <c r="S289" i="5" s="1"/>
  <c r="P289" i="5"/>
  <c r="R289" i="5" s="1"/>
  <c r="L289" i="5"/>
  <c r="K289" i="5"/>
  <c r="I289" i="5"/>
  <c r="H289" i="5"/>
  <c r="F289" i="5"/>
  <c r="E289" i="5"/>
  <c r="C289" i="5"/>
  <c r="B289" i="5"/>
  <c r="Q288" i="5"/>
  <c r="S288" i="5" s="1"/>
  <c r="P288" i="5"/>
  <c r="R288" i="5" s="1"/>
  <c r="L288" i="5"/>
  <c r="K288" i="5"/>
  <c r="I288" i="5"/>
  <c r="H288" i="5"/>
  <c r="F288" i="5"/>
  <c r="E288" i="5"/>
  <c r="C288" i="5"/>
  <c r="B288" i="5"/>
  <c r="Q287" i="5"/>
  <c r="S287" i="5" s="1"/>
  <c r="P287" i="5"/>
  <c r="R287" i="5" s="1"/>
  <c r="L287" i="5"/>
  <c r="K287" i="5"/>
  <c r="I287" i="5"/>
  <c r="H287" i="5"/>
  <c r="F287" i="5"/>
  <c r="E287" i="5"/>
  <c r="C287" i="5"/>
  <c r="B287" i="5"/>
  <c r="Q286" i="5"/>
  <c r="S286" i="5" s="1"/>
  <c r="P286" i="5"/>
  <c r="R286" i="5" s="1"/>
  <c r="L286" i="5"/>
  <c r="K286" i="5"/>
  <c r="I286" i="5"/>
  <c r="H286" i="5"/>
  <c r="F286" i="5"/>
  <c r="E286" i="5"/>
  <c r="C286" i="5"/>
  <c r="B286" i="5"/>
  <c r="Q285" i="5"/>
  <c r="S285" i="5" s="1"/>
  <c r="P285" i="5"/>
  <c r="R285" i="5" s="1"/>
  <c r="L285" i="5"/>
  <c r="K285" i="5"/>
  <c r="I285" i="5"/>
  <c r="H285" i="5"/>
  <c r="F285" i="5"/>
  <c r="E285" i="5"/>
  <c r="C285" i="5"/>
  <c r="B285" i="5"/>
  <c r="Q284" i="5"/>
  <c r="S284" i="5" s="1"/>
  <c r="P284" i="5"/>
  <c r="R284" i="5" s="1"/>
  <c r="L284" i="5"/>
  <c r="K284" i="5"/>
  <c r="I284" i="5"/>
  <c r="H284" i="5"/>
  <c r="M284" i="5" s="1"/>
  <c r="F284" i="5"/>
  <c r="N284" i="5" s="1"/>
  <c r="E284" i="5"/>
  <c r="C284" i="5"/>
  <c r="B284" i="5"/>
  <c r="Q283" i="5"/>
  <c r="S283" i="5" s="1"/>
  <c r="P283" i="5"/>
  <c r="R283" i="5" s="1"/>
  <c r="L283" i="5"/>
  <c r="K283" i="5"/>
  <c r="I283" i="5"/>
  <c r="H283" i="5"/>
  <c r="F283" i="5"/>
  <c r="E283" i="5"/>
  <c r="C283" i="5"/>
  <c r="B283" i="5"/>
  <c r="Q282" i="5"/>
  <c r="S282" i="5" s="1"/>
  <c r="P282" i="5"/>
  <c r="R282" i="5" s="1"/>
  <c r="L282" i="5"/>
  <c r="K282" i="5"/>
  <c r="I282" i="5"/>
  <c r="H282" i="5"/>
  <c r="F282" i="5"/>
  <c r="E282" i="5"/>
  <c r="C282" i="5"/>
  <c r="B282" i="5"/>
  <c r="S281" i="5"/>
  <c r="Q281" i="5"/>
  <c r="P281" i="5"/>
  <c r="R281" i="5" s="1"/>
  <c r="L281" i="5"/>
  <c r="K281" i="5"/>
  <c r="I281" i="5"/>
  <c r="H281" i="5"/>
  <c r="F281" i="5"/>
  <c r="N281" i="5" s="1"/>
  <c r="E281" i="5"/>
  <c r="C281" i="5"/>
  <c r="B281" i="5"/>
  <c r="Q280" i="5"/>
  <c r="S280" i="5" s="1"/>
  <c r="P280" i="5"/>
  <c r="R280" i="5" s="1"/>
  <c r="L280" i="5"/>
  <c r="K280" i="5"/>
  <c r="I280" i="5"/>
  <c r="H280" i="5"/>
  <c r="F280" i="5"/>
  <c r="E280" i="5"/>
  <c r="C280" i="5"/>
  <c r="B280" i="5"/>
  <c r="Q279" i="5"/>
  <c r="S279" i="5" s="1"/>
  <c r="P279" i="5"/>
  <c r="R279" i="5" s="1"/>
  <c r="L279" i="5"/>
  <c r="K279" i="5"/>
  <c r="I279" i="5"/>
  <c r="H279" i="5"/>
  <c r="F279" i="5"/>
  <c r="E279" i="5"/>
  <c r="M279" i="5" s="1"/>
  <c r="C279" i="5"/>
  <c r="B279" i="5"/>
  <c r="Q278" i="5"/>
  <c r="S278" i="5" s="1"/>
  <c r="P278" i="5"/>
  <c r="R278" i="5" s="1"/>
  <c r="L278" i="5"/>
  <c r="K278" i="5"/>
  <c r="I278" i="5"/>
  <c r="H278" i="5"/>
  <c r="F278" i="5"/>
  <c r="N278" i="5" s="1"/>
  <c r="E278" i="5"/>
  <c r="M278" i="5" s="1"/>
  <c r="C278" i="5"/>
  <c r="B278" i="5"/>
  <c r="Q277" i="5"/>
  <c r="S277" i="5" s="1"/>
  <c r="P277" i="5"/>
  <c r="R277" i="5" s="1"/>
  <c r="L277" i="5"/>
  <c r="K277" i="5"/>
  <c r="I277" i="5"/>
  <c r="H277" i="5"/>
  <c r="F277" i="5"/>
  <c r="E277" i="5"/>
  <c r="C277" i="5"/>
  <c r="B277" i="5"/>
  <c r="Q276" i="5"/>
  <c r="S276" i="5" s="1"/>
  <c r="P276" i="5"/>
  <c r="R276" i="5" s="1"/>
  <c r="L276" i="5"/>
  <c r="K276" i="5"/>
  <c r="I276" i="5"/>
  <c r="H276" i="5"/>
  <c r="F276" i="5"/>
  <c r="E276" i="5"/>
  <c r="C276" i="5"/>
  <c r="B276" i="5"/>
  <c r="R275" i="5"/>
  <c r="Q275" i="5"/>
  <c r="S275" i="5" s="1"/>
  <c r="P275" i="5"/>
  <c r="L275" i="5"/>
  <c r="K275" i="5"/>
  <c r="I275" i="5"/>
  <c r="H275" i="5"/>
  <c r="F275" i="5"/>
  <c r="E275" i="5"/>
  <c r="M275" i="5" s="1"/>
  <c r="C275" i="5"/>
  <c r="B275" i="5"/>
  <c r="Q274" i="5"/>
  <c r="S274" i="5" s="1"/>
  <c r="P274" i="5"/>
  <c r="R274" i="5" s="1"/>
  <c r="L274" i="5"/>
  <c r="K274" i="5"/>
  <c r="I274" i="5"/>
  <c r="H274" i="5"/>
  <c r="F274" i="5"/>
  <c r="E274" i="5"/>
  <c r="C274" i="5"/>
  <c r="B274" i="5"/>
  <c r="Q273" i="5"/>
  <c r="S273" i="5" s="1"/>
  <c r="P273" i="5"/>
  <c r="R273" i="5" s="1"/>
  <c r="L273" i="5"/>
  <c r="K273" i="5"/>
  <c r="I273" i="5"/>
  <c r="H273" i="5"/>
  <c r="F273" i="5"/>
  <c r="E273" i="5"/>
  <c r="M273" i="5" s="1"/>
  <c r="C273" i="5"/>
  <c r="B273" i="5"/>
  <c r="Q272" i="5"/>
  <c r="S272" i="5" s="1"/>
  <c r="P272" i="5"/>
  <c r="R272" i="5" s="1"/>
  <c r="L272" i="5"/>
  <c r="K272" i="5"/>
  <c r="I272" i="5"/>
  <c r="H272" i="5"/>
  <c r="F272" i="5"/>
  <c r="E272" i="5"/>
  <c r="C272" i="5"/>
  <c r="B272" i="5"/>
  <c r="Q271" i="5"/>
  <c r="S271" i="5" s="1"/>
  <c r="P271" i="5"/>
  <c r="R271" i="5" s="1"/>
  <c r="L271" i="5"/>
  <c r="K271" i="5"/>
  <c r="I271" i="5"/>
  <c r="H271" i="5"/>
  <c r="F271" i="5"/>
  <c r="E271" i="5"/>
  <c r="C271" i="5"/>
  <c r="B271" i="5"/>
  <c r="Q270" i="5"/>
  <c r="S270" i="5" s="1"/>
  <c r="P270" i="5"/>
  <c r="R270" i="5" s="1"/>
  <c r="L270" i="5"/>
  <c r="K270" i="5"/>
  <c r="I270" i="5"/>
  <c r="H270" i="5"/>
  <c r="F270" i="5"/>
  <c r="E270" i="5"/>
  <c r="C270" i="5"/>
  <c r="B270" i="5"/>
  <c r="Q269" i="5"/>
  <c r="S269" i="5" s="1"/>
  <c r="P269" i="5"/>
  <c r="R269" i="5" s="1"/>
  <c r="L269" i="5"/>
  <c r="K269" i="5"/>
  <c r="I269" i="5"/>
  <c r="H269" i="5"/>
  <c r="F269" i="5"/>
  <c r="E269" i="5"/>
  <c r="C269" i="5"/>
  <c r="B269" i="5"/>
  <c r="Q268" i="5"/>
  <c r="S268" i="5" s="1"/>
  <c r="P268" i="5"/>
  <c r="R268" i="5" s="1"/>
  <c r="L268" i="5"/>
  <c r="K268" i="5"/>
  <c r="I268" i="5"/>
  <c r="H268" i="5"/>
  <c r="F268" i="5"/>
  <c r="E268" i="5"/>
  <c r="M268" i="5" s="1"/>
  <c r="C268" i="5"/>
  <c r="B268" i="5"/>
  <c r="R267" i="5"/>
  <c r="Q267" i="5"/>
  <c r="S267" i="5" s="1"/>
  <c r="P267" i="5"/>
  <c r="L267" i="5"/>
  <c r="K267" i="5"/>
  <c r="I267" i="5"/>
  <c r="H267" i="5"/>
  <c r="F267" i="5"/>
  <c r="E267" i="5"/>
  <c r="C267" i="5"/>
  <c r="B267" i="5"/>
  <c r="Q266" i="5"/>
  <c r="S266" i="5" s="1"/>
  <c r="P266" i="5"/>
  <c r="R266" i="5" s="1"/>
  <c r="L266" i="5"/>
  <c r="K266" i="5"/>
  <c r="I266" i="5"/>
  <c r="H266" i="5"/>
  <c r="F266" i="5"/>
  <c r="E266" i="5"/>
  <c r="C266" i="5"/>
  <c r="B266" i="5"/>
  <c r="Q265" i="5"/>
  <c r="S265" i="5" s="1"/>
  <c r="P265" i="5"/>
  <c r="R265" i="5" s="1"/>
  <c r="L265" i="5"/>
  <c r="K265" i="5"/>
  <c r="I265" i="5"/>
  <c r="H265" i="5"/>
  <c r="F265" i="5"/>
  <c r="E265" i="5"/>
  <c r="C265" i="5"/>
  <c r="B265" i="5"/>
  <c r="R264" i="5"/>
  <c r="Q264" i="5"/>
  <c r="S264" i="5" s="1"/>
  <c r="P264" i="5"/>
  <c r="L264" i="5"/>
  <c r="K264" i="5"/>
  <c r="I264" i="5"/>
  <c r="H264" i="5"/>
  <c r="F264" i="5"/>
  <c r="N264" i="5" s="1"/>
  <c r="AA264" i="5" s="1"/>
  <c r="E264" i="5"/>
  <c r="C264" i="5"/>
  <c r="B264" i="5"/>
  <c r="Q263" i="5"/>
  <c r="S263" i="5" s="1"/>
  <c r="P263" i="5"/>
  <c r="R263" i="5" s="1"/>
  <c r="M263" i="5"/>
  <c r="L263" i="5"/>
  <c r="K263" i="5"/>
  <c r="I263" i="5"/>
  <c r="H263" i="5"/>
  <c r="F263" i="5"/>
  <c r="E263" i="5"/>
  <c r="C263" i="5"/>
  <c r="B263" i="5"/>
  <c r="Q262" i="5"/>
  <c r="S262" i="5" s="1"/>
  <c r="P262" i="5"/>
  <c r="R262" i="5" s="1"/>
  <c r="L262" i="5"/>
  <c r="K262" i="5"/>
  <c r="I262" i="5"/>
  <c r="H262" i="5"/>
  <c r="F262" i="5"/>
  <c r="E262" i="5"/>
  <c r="M262" i="5" s="1"/>
  <c r="C262" i="5"/>
  <c r="B262" i="5"/>
  <c r="R261" i="5"/>
  <c r="Q261" i="5"/>
  <c r="S261" i="5" s="1"/>
  <c r="P261" i="5"/>
  <c r="L261" i="5"/>
  <c r="K261" i="5"/>
  <c r="I261" i="5"/>
  <c r="H261" i="5"/>
  <c r="F261" i="5"/>
  <c r="N261" i="5" s="1"/>
  <c r="E261" i="5"/>
  <c r="C261" i="5"/>
  <c r="B261" i="5"/>
  <c r="Q260" i="5"/>
  <c r="S260" i="5" s="1"/>
  <c r="P260" i="5"/>
  <c r="R260" i="5" s="1"/>
  <c r="N260" i="5"/>
  <c r="M260" i="5"/>
  <c r="L260" i="5"/>
  <c r="K260" i="5"/>
  <c r="I260" i="5"/>
  <c r="H260" i="5"/>
  <c r="F260" i="5"/>
  <c r="E260" i="5"/>
  <c r="C260" i="5"/>
  <c r="B260" i="5"/>
  <c r="Q259" i="5"/>
  <c r="S259" i="5" s="1"/>
  <c r="P259" i="5"/>
  <c r="R259" i="5" s="1"/>
  <c r="L259" i="5"/>
  <c r="K259" i="5"/>
  <c r="I259" i="5"/>
  <c r="H259" i="5"/>
  <c r="F259" i="5"/>
  <c r="E259" i="5"/>
  <c r="C259" i="5"/>
  <c r="B259" i="5"/>
  <c r="R258" i="5"/>
  <c r="Q258" i="5"/>
  <c r="S258" i="5" s="1"/>
  <c r="P258" i="5"/>
  <c r="L258" i="5"/>
  <c r="K258" i="5"/>
  <c r="I258" i="5"/>
  <c r="H258" i="5"/>
  <c r="F258" i="5"/>
  <c r="E258" i="5"/>
  <c r="C258" i="5"/>
  <c r="B258" i="5"/>
  <c r="Q257" i="5"/>
  <c r="S257" i="5" s="1"/>
  <c r="P257" i="5"/>
  <c r="R257" i="5" s="1"/>
  <c r="L257" i="5"/>
  <c r="K257" i="5"/>
  <c r="I257" i="5"/>
  <c r="H257" i="5"/>
  <c r="F257" i="5"/>
  <c r="E257" i="5"/>
  <c r="C257" i="5"/>
  <c r="B257" i="5"/>
  <c r="Q256" i="5"/>
  <c r="S256" i="5" s="1"/>
  <c r="P256" i="5"/>
  <c r="R256" i="5" s="1"/>
  <c r="L256" i="5"/>
  <c r="K256" i="5"/>
  <c r="I256" i="5"/>
  <c r="H256" i="5"/>
  <c r="F256" i="5"/>
  <c r="E256" i="5"/>
  <c r="C256" i="5"/>
  <c r="B256" i="5"/>
  <c r="S255" i="5"/>
  <c r="Q255" i="5"/>
  <c r="P255" i="5"/>
  <c r="R255" i="5" s="1"/>
  <c r="L255" i="5"/>
  <c r="K255" i="5"/>
  <c r="I255" i="5"/>
  <c r="H255" i="5"/>
  <c r="F255" i="5"/>
  <c r="N255" i="5" s="1"/>
  <c r="E255" i="5"/>
  <c r="C255" i="5"/>
  <c r="B255" i="5"/>
  <c r="Q254" i="5"/>
  <c r="S254" i="5" s="1"/>
  <c r="P254" i="5"/>
  <c r="R254" i="5" s="1"/>
  <c r="L254" i="5"/>
  <c r="K254" i="5"/>
  <c r="I254" i="5"/>
  <c r="H254" i="5"/>
  <c r="F254" i="5"/>
  <c r="E254" i="5"/>
  <c r="C254" i="5"/>
  <c r="B254" i="5"/>
  <c r="R253" i="5"/>
  <c r="Q253" i="5"/>
  <c r="S253" i="5" s="1"/>
  <c r="P253" i="5"/>
  <c r="L253" i="5"/>
  <c r="K253" i="5"/>
  <c r="I253" i="5"/>
  <c r="H253" i="5"/>
  <c r="F253" i="5"/>
  <c r="E253" i="5"/>
  <c r="C253" i="5"/>
  <c r="B253" i="5"/>
  <c r="S252" i="5"/>
  <c r="Q252" i="5"/>
  <c r="P252" i="5"/>
  <c r="R252" i="5" s="1"/>
  <c r="L252" i="5"/>
  <c r="K252" i="5"/>
  <c r="I252" i="5"/>
  <c r="H252" i="5"/>
  <c r="F252" i="5"/>
  <c r="E252" i="5"/>
  <c r="C252" i="5"/>
  <c r="B252" i="5"/>
  <c r="R251" i="5"/>
  <c r="Q251" i="5"/>
  <c r="S251" i="5" s="1"/>
  <c r="P251" i="5"/>
  <c r="L251" i="5"/>
  <c r="K251" i="5"/>
  <c r="I251" i="5"/>
  <c r="H251" i="5"/>
  <c r="F251" i="5"/>
  <c r="E251" i="5"/>
  <c r="C251" i="5"/>
  <c r="B251" i="5"/>
  <c r="S250" i="5"/>
  <c r="Q250" i="5"/>
  <c r="P250" i="5"/>
  <c r="R250" i="5" s="1"/>
  <c r="L250" i="5"/>
  <c r="K250" i="5"/>
  <c r="I250" i="5"/>
  <c r="H250" i="5"/>
  <c r="M250" i="5" s="1"/>
  <c r="F250" i="5"/>
  <c r="E250" i="5"/>
  <c r="C250" i="5"/>
  <c r="B250" i="5"/>
  <c r="Q249" i="5"/>
  <c r="S249" i="5" s="1"/>
  <c r="P249" i="5"/>
  <c r="R249" i="5" s="1"/>
  <c r="L249" i="5"/>
  <c r="K249" i="5"/>
  <c r="I249" i="5"/>
  <c r="H249" i="5"/>
  <c r="F249" i="5"/>
  <c r="E249" i="5"/>
  <c r="C249" i="5"/>
  <c r="B249" i="5"/>
  <c r="Q248" i="5"/>
  <c r="S248" i="5" s="1"/>
  <c r="P248" i="5"/>
  <c r="R248" i="5" s="1"/>
  <c r="L248" i="5"/>
  <c r="K248" i="5"/>
  <c r="I248" i="5"/>
  <c r="H248" i="5"/>
  <c r="F248" i="5"/>
  <c r="E248" i="5"/>
  <c r="C248" i="5"/>
  <c r="B248" i="5"/>
  <c r="R247" i="5"/>
  <c r="Q247" i="5"/>
  <c r="S247" i="5" s="1"/>
  <c r="P247" i="5"/>
  <c r="L247" i="5"/>
  <c r="K247" i="5"/>
  <c r="I247" i="5"/>
  <c r="H247" i="5"/>
  <c r="M247" i="5" s="1"/>
  <c r="F247" i="5"/>
  <c r="E247" i="5"/>
  <c r="C247" i="5"/>
  <c r="B247" i="5"/>
  <c r="Q246" i="5"/>
  <c r="S246" i="5" s="1"/>
  <c r="P246" i="5"/>
  <c r="R246" i="5" s="1"/>
  <c r="L246" i="5"/>
  <c r="K246" i="5"/>
  <c r="I246" i="5"/>
  <c r="H246" i="5"/>
  <c r="F246" i="5"/>
  <c r="E246" i="5"/>
  <c r="M246" i="5" s="1"/>
  <c r="C246" i="5"/>
  <c r="B246" i="5"/>
  <c r="S245" i="5"/>
  <c r="Q245" i="5"/>
  <c r="P245" i="5"/>
  <c r="R245" i="5" s="1"/>
  <c r="L245" i="5"/>
  <c r="K245" i="5"/>
  <c r="I245" i="5"/>
  <c r="H245" i="5"/>
  <c r="F245" i="5"/>
  <c r="E245" i="5"/>
  <c r="C245" i="5"/>
  <c r="B245" i="5"/>
  <c r="Q244" i="5"/>
  <c r="S244" i="5" s="1"/>
  <c r="P244" i="5"/>
  <c r="R244" i="5" s="1"/>
  <c r="L244" i="5"/>
  <c r="K244" i="5"/>
  <c r="I244" i="5"/>
  <c r="H244" i="5"/>
  <c r="F244" i="5"/>
  <c r="E244" i="5"/>
  <c r="C244" i="5"/>
  <c r="B244" i="5"/>
  <c r="Q243" i="5"/>
  <c r="S243" i="5" s="1"/>
  <c r="P243" i="5"/>
  <c r="R243" i="5" s="1"/>
  <c r="L243" i="5"/>
  <c r="K243" i="5"/>
  <c r="I243" i="5"/>
  <c r="H243" i="5"/>
  <c r="F243" i="5"/>
  <c r="E243" i="5"/>
  <c r="C243" i="5"/>
  <c r="B243" i="5"/>
  <c r="Q242" i="5"/>
  <c r="S242" i="5" s="1"/>
  <c r="P242" i="5"/>
  <c r="R242" i="5" s="1"/>
  <c r="L242" i="5"/>
  <c r="K242" i="5"/>
  <c r="I242" i="5"/>
  <c r="H242" i="5"/>
  <c r="F242" i="5"/>
  <c r="E242" i="5"/>
  <c r="C242" i="5"/>
  <c r="B242" i="5"/>
  <c r="Q241" i="5"/>
  <c r="S241" i="5" s="1"/>
  <c r="P241" i="5"/>
  <c r="R241" i="5" s="1"/>
  <c r="L241" i="5"/>
  <c r="K241" i="5"/>
  <c r="I241" i="5"/>
  <c r="H241" i="5"/>
  <c r="F241" i="5"/>
  <c r="N241" i="5" s="1"/>
  <c r="E241" i="5"/>
  <c r="C241" i="5"/>
  <c r="B241" i="5"/>
  <c r="Q240" i="5"/>
  <c r="S240" i="5" s="1"/>
  <c r="P240" i="5"/>
  <c r="R240" i="5" s="1"/>
  <c r="L240" i="5"/>
  <c r="K240" i="5"/>
  <c r="I240" i="5"/>
  <c r="H240" i="5"/>
  <c r="F240" i="5"/>
  <c r="E240" i="5"/>
  <c r="C240" i="5"/>
  <c r="B240" i="5"/>
  <c r="Q239" i="5"/>
  <c r="S239" i="5" s="1"/>
  <c r="P239" i="5"/>
  <c r="R239" i="5" s="1"/>
  <c r="L239" i="5"/>
  <c r="K239" i="5"/>
  <c r="I239" i="5"/>
  <c r="H239" i="5"/>
  <c r="F239" i="5"/>
  <c r="E239" i="5"/>
  <c r="C239" i="5"/>
  <c r="B239" i="5"/>
  <c r="Q238" i="5"/>
  <c r="S238" i="5" s="1"/>
  <c r="P238" i="5"/>
  <c r="R238" i="5" s="1"/>
  <c r="L238" i="5"/>
  <c r="K238" i="5"/>
  <c r="I238" i="5"/>
  <c r="H238" i="5"/>
  <c r="F238" i="5"/>
  <c r="N238" i="5" s="1"/>
  <c r="E238" i="5"/>
  <c r="C238" i="5"/>
  <c r="B238" i="5"/>
  <c r="S237" i="5"/>
  <c r="Q237" i="5"/>
  <c r="P237" i="5"/>
  <c r="R237" i="5" s="1"/>
  <c r="L237" i="5"/>
  <c r="K237" i="5"/>
  <c r="I237" i="5"/>
  <c r="H237" i="5"/>
  <c r="F237" i="5"/>
  <c r="E237" i="5"/>
  <c r="C237" i="5"/>
  <c r="B237" i="5"/>
  <c r="Q236" i="5"/>
  <c r="S236" i="5" s="1"/>
  <c r="P236" i="5"/>
  <c r="R236" i="5" s="1"/>
  <c r="L236" i="5"/>
  <c r="N236" i="5" s="1"/>
  <c r="K236" i="5"/>
  <c r="I236" i="5"/>
  <c r="H236" i="5"/>
  <c r="M236" i="5" s="1"/>
  <c r="F236" i="5"/>
  <c r="E236" i="5"/>
  <c r="C236" i="5"/>
  <c r="B236" i="5"/>
  <c r="Q235" i="5"/>
  <c r="S235" i="5" s="1"/>
  <c r="P235" i="5"/>
  <c r="R235" i="5" s="1"/>
  <c r="L235" i="5"/>
  <c r="K235" i="5"/>
  <c r="I235" i="5"/>
  <c r="H235" i="5"/>
  <c r="F235" i="5"/>
  <c r="N235" i="5" s="1"/>
  <c r="E235" i="5"/>
  <c r="M235" i="5" s="1"/>
  <c r="C235" i="5"/>
  <c r="B235" i="5"/>
  <c r="S234" i="5"/>
  <c r="Q234" i="5"/>
  <c r="P234" i="5"/>
  <c r="R234" i="5" s="1"/>
  <c r="L234" i="5"/>
  <c r="K234" i="5"/>
  <c r="I234" i="5"/>
  <c r="H234" i="5"/>
  <c r="F234" i="5"/>
  <c r="E234" i="5"/>
  <c r="C234" i="5"/>
  <c r="B234" i="5"/>
  <c r="Q233" i="5"/>
  <c r="S233" i="5" s="1"/>
  <c r="P233" i="5"/>
  <c r="R233" i="5" s="1"/>
  <c r="L233" i="5"/>
  <c r="K233" i="5"/>
  <c r="I233" i="5"/>
  <c r="H233" i="5"/>
  <c r="F233" i="5"/>
  <c r="E233" i="5"/>
  <c r="C233" i="5"/>
  <c r="B233" i="5"/>
  <c r="R232" i="5"/>
  <c r="Q232" i="5"/>
  <c r="S232" i="5" s="1"/>
  <c r="P232" i="5"/>
  <c r="L232" i="5"/>
  <c r="K232" i="5"/>
  <c r="I232" i="5"/>
  <c r="H232" i="5"/>
  <c r="F232" i="5"/>
  <c r="E232" i="5"/>
  <c r="C232" i="5"/>
  <c r="B232" i="5"/>
  <c r="R231" i="5"/>
  <c r="Q231" i="5"/>
  <c r="S231" i="5" s="1"/>
  <c r="P231" i="5"/>
  <c r="L231" i="5"/>
  <c r="K231" i="5"/>
  <c r="I231" i="5"/>
  <c r="H231" i="5"/>
  <c r="F231" i="5"/>
  <c r="E231" i="5"/>
  <c r="M231" i="5" s="1"/>
  <c r="C231" i="5"/>
  <c r="B231" i="5"/>
  <c r="Q230" i="5"/>
  <c r="S230" i="5" s="1"/>
  <c r="P230" i="5"/>
  <c r="R230" i="5" s="1"/>
  <c r="L230" i="5"/>
  <c r="K230" i="5"/>
  <c r="I230" i="5"/>
  <c r="H230" i="5"/>
  <c r="F230" i="5"/>
  <c r="E230" i="5"/>
  <c r="C230" i="5"/>
  <c r="B230" i="5"/>
  <c r="Q229" i="5"/>
  <c r="S229" i="5" s="1"/>
  <c r="P229" i="5"/>
  <c r="R229" i="5" s="1"/>
  <c r="L229" i="5"/>
  <c r="K229" i="5"/>
  <c r="I229" i="5"/>
  <c r="H229" i="5"/>
  <c r="F229" i="5"/>
  <c r="E229" i="5"/>
  <c r="C229" i="5"/>
  <c r="B229" i="5"/>
  <c r="Q228" i="5"/>
  <c r="S228" i="5" s="1"/>
  <c r="P228" i="5"/>
  <c r="R228" i="5" s="1"/>
  <c r="L228" i="5"/>
  <c r="K228" i="5"/>
  <c r="I228" i="5"/>
  <c r="H228" i="5"/>
  <c r="M228" i="5" s="1"/>
  <c r="F228" i="5"/>
  <c r="E228" i="5"/>
  <c r="C228" i="5"/>
  <c r="B228" i="5"/>
  <c r="Q227" i="5"/>
  <c r="S227" i="5" s="1"/>
  <c r="P227" i="5"/>
  <c r="R227" i="5" s="1"/>
  <c r="L227" i="5"/>
  <c r="K227" i="5"/>
  <c r="I227" i="5"/>
  <c r="H227" i="5"/>
  <c r="M227" i="5" s="1"/>
  <c r="F227" i="5"/>
  <c r="E227" i="5"/>
  <c r="C227" i="5"/>
  <c r="B227" i="5"/>
  <c r="Q226" i="5"/>
  <c r="S226" i="5" s="1"/>
  <c r="P226" i="5"/>
  <c r="R226" i="5" s="1"/>
  <c r="L226" i="5"/>
  <c r="K226" i="5"/>
  <c r="I226" i="5"/>
  <c r="H226" i="5"/>
  <c r="F226" i="5"/>
  <c r="E226" i="5"/>
  <c r="C226" i="5"/>
  <c r="B226" i="5"/>
  <c r="Q225" i="5"/>
  <c r="S225" i="5" s="1"/>
  <c r="P225" i="5"/>
  <c r="R225" i="5" s="1"/>
  <c r="L225" i="5"/>
  <c r="K225" i="5"/>
  <c r="I225" i="5"/>
  <c r="N225" i="5" s="1"/>
  <c r="H225" i="5"/>
  <c r="M225" i="5" s="1"/>
  <c r="F225" i="5"/>
  <c r="E225" i="5"/>
  <c r="C225" i="5"/>
  <c r="B225" i="5"/>
  <c r="Q224" i="5"/>
  <c r="S224" i="5" s="1"/>
  <c r="P224" i="5"/>
  <c r="R224" i="5" s="1"/>
  <c r="L224" i="5"/>
  <c r="K224" i="5"/>
  <c r="I224" i="5"/>
  <c r="H224" i="5"/>
  <c r="F224" i="5"/>
  <c r="E224" i="5"/>
  <c r="C224" i="5"/>
  <c r="B224" i="5"/>
  <c r="Q223" i="5"/>
  <c r="S223" i="5" s="1"/>
  <c r="P223" i="5"/>
  <c r="R223" i="5" s="1"/>
  <c r="L223" i="5"/>
  <c r="K223" i="5"/>
  <c r="I223" i="5"/>
  <c r="H223" i="5"/>
  <c r="F223" i="5"/>
  <c r="N223" i="5" s="1"/>
  <c r="AA223" i="5" s="1"/>
  <c r="E223" i="5"/>
  <c r="C223" i="5"/>
  <c r="B223" i="5"/>
  <c r="Q222" i="5"/>
  <c r="S222" i="5" s="1"/>
  <c r="P222" i="5"/>
  <c r="R222" i="5" s="1"/>
  <c r="L222" i="5"/>
  <c r="K222" i="5"/>
  <c r="I222" i="5"/>
  <c r="H222" i="5"/>
  <c r="F222" i="5"/>
  <c r="E222" i="5"/>
  <c r="C222" i="5"/>
  <c r="B222" i="5"/>
  <c r="Q221" i="5"/>
  <c r="S221" i="5" s="1"/>
  <c r="P221" i="5"/>
  <c r="R221" i="5" s="1"/>
  <c r="L221" i="5"/>
  <c r="K221" i="5"/>
  <c r="I221" i="5"/>
  <c r="H221" i="5"/>
  <c r="F221" i="5"/>
  <c r="E221" i="5"/>
  <c r="C221" i="5"/>
  <c r="B221" i="5"/>
  <c r="S220" i="5"/>
  <c r="Q220" i="5"/>
  <c r="P220" i="5"/>
  <c r="R220" i="5" s="1"/>
  <c r="L220" i="5"/>
  <c r="K220" i="5"/>
  <c r="I220" i="5"/>
  <c r="H220" i="5"/>
  <c r="F220" i="5"/>
  <c r="N220" i="5" s="1"/>
  <c r="E220" i="5"/>
  <c r="C220" i="5"/>
  <c r="B220" i="5"/>
  <c r="R219" i="5"/>
  <c r="Q219" i="5"/>
  <c r="S219" i="5" s="1"/>
  <c r="P219" i="5"/>
  <c r="L219" i="5"/>
  <c r="K219" i="5"/>
  <c r="I219" i="5"/>
  <c r="H219" i="5"/>
  <c r="F219" i="5"/>
  <c r="E219" i="5"/>
  <c r="C219" i="5"/>
  <c r="B219" i="5"/>
  <c r="Q218" i="5"/>
  <c r="S218" i="5" s="1"/>
  <c r="P218" i="5"/>
  <c r="R218" i="5" s="1"/>
  <c r="L218" i="5"/>
  <c r="K218" i="5"/>
  <c r="I218" i="5"/>
  <c r="H218" i="5"/>
  <c r="F218" i="5"/>
  <c r="E218" i="5"/>
  <c r="C218" i="5"/>
  <c r="B218" i="5"/>
  <c r="Q217" i="5"/>
  <c r="S217" i="5" s="1"/>
  <c r="P217" i="5"/>
  <c r="R217" i="5" s="1"/>
  <c r="L217" i="5"/>
  <c r="K217" i="5"/>
  <c r="I217" i="5"/>
  <c r="H217" i="5"/>
  <c r="F217" i="5"/>
  <c r="E217" i="5"/>
  <c r="C217" i="5"/>
  <c r="B217" i="5"/>
  <c r="R216" i="5"/>
  <c r="Q216" i="5"/>
  <c r="S216" i="5" s="1"/>
  <c r="P216" i="5"/>
  <c r="L216" i="5"/>
  <c r="K216" i="5"/>
  <c r="I216" i="5"/>
  <c r="H216" i="5"/>
  <c r="F216" i="5"/>
  <c r="E216" i="5"/>
  <c r="C216" i="5"/>
  <c r="B216" i="5"/>
  <c r="Q215" i="5"/>
  <c r="S215" i="5" s="1"/>
  <c r="P215" i="5"/>
  <c r="R215" i="5" s="1"/>
  <c r="M215" i="5"/>
  <c r="L215" i="5"/>
  <c r="K215" i="5"/>
  <c r="I215" i="5"/>
  <c r="H215" i="5"/>
  <c r="F215" i="5"/>
  <c r="E215" i="5"/>
  <c r="C215" i="5"/>
  <c r="B215" i="5"/>
  <c r="Q214" i="5"/>
  <c r="S214" i="5" s="1"/>
  <c r="P214" i="5"/>
  <c r="R214" i="5" s="1"/>
  <c r="L214" i="5"/>
  <c r="K214" i="5"/>
  <c r="I214" i="5"/>
  <c r="H214" i="5"/>
  <c r="F214" i="5"/>
  <c r="N214" i="5" s="1"/>
  <c r="AA214" i="5" s="1"/>
  <c r="E214" i="5"/>
  <c r="C214" i="5"/>
  <c r="B214" i="5"/>
  <c r="Q213" i="5"/>
  <c r="S213" i="5" s="1"/>
  <c r="P213" i="5"/>
  <c r="R213" i="5" s="1"/>
  <c r="L213" i="5"/>
  <c r="K213" i="5"/>
  <c r="I213" i="5"/>
  <c r="H213" i="5"/>
  <c r="F213" i="5"/>
  <c r="E213" i="5"/>
  <c r="C213" i="5"/>
  <c r="B213" i="5"/>
  <c r="Q212" i="5"/>
  <c r="S212" i="5" s="1"/>
  <c r="P212" i="5"/>
  <c r="R212" i="5" s="1"/>
  <c r="L212" i="5"/>
  <c r="K212" i="5"/>
  <c r="I212" i="5"/>
  <c r="H212" i="5"/>
  <c r="F212" i="5"/>
  <c r="E212" i="5"/>
  <c r="C212" i="5"/>
  <c r="B212" i="5"/>
  <c r="Q211" i="5"/>
  <c r="S211" i="5" s="1"/>
  <c r="P211" i="5"/>
  <c r="R211" i="5" s="1"/>
  <c r="L211" i="5"/>
  <c r="K211" i="5"/>
  <c r="I211" i="5"/>
  <c r="H211" i="5"/>
  <c r="F211" i="5"/>
  <c r="E211" i="5"/>
  <c r="C211" i="5"/>
  <c r="B211" i="5"/>
  <c r="Q210" i="5"/>
  <c r="S210" i="5" s="1"/>
  <c r="P210" i="5"/>
  <c r="R210" i="5" s="1"/>
  <c r="L210" i="5"/>
  <c r="K210" i="5"/>
  <c r="I210" i="5"/>
  <c r="H210" i="5"/>
  <c r="F210" i="5"/>
  <c r="E210" i="5"/>
  <c r="C210" i="5"/>
  <c r="B210" i="5"/>
  <c r="Q209" i="5"/>
  <c r="S209" i="5" s="1"/>
  <c r="P209" i="5"/>
  <c r="R209" i="5" s="1"/>
  <c r="L209" i="5"/>
  <c r="N209" i="5" s="1"/>
  <c r="K209" i="5"/>
  <c r="I209" i="5"/>
  <c r="H209" i="5"/>
  <c r="F209" i="5"/>
  <c r="E209" i="5"/>
  <c r="C209" i="5"/>
  <c r="B209" i="5"/>
  <c r="Q208" i="5"/>
  <c r="S208" i="5" s="1"/>
  <c r="P208" i="5"/>
  <c r="R208" i="5" s="1"/>
  <c r="L208" i="5"/>
  <c r="K208" i="5"/>
  <c r="I208" i="5"/>
  <c r="H208" i="5"/>
  <c r="F208" i="5"/>
  <c r="E208" i="5"/>
  <c r="C208" i="5"/>
  <c r="B208" i="5"/>
  <c r="Q207" i="5"/>
  <c r="S207" i="5" s="1"/>
  <c r="P207" i="5"/>
  <c r="R207" i="5" s="1"/>
  <c r="L207" i="5"/>
  <c r="K207" i="5"/>
  <c r="I207" i="5"/>
  <c r="H207" i="5"/>
  <c r="F207" i="5"/>
  <c r="E207" i="5"/>
  <c r="M207" i="5" s="1"/>
  <c r="Y207" i="5" s="1"/>
  <c r="C207" i="5"/>
  <c r="B207" i="5"/>
  <c r="Q206" i="5"/>
  <c r="S206" i="5" s="1"/>
  <c r="P206" i="5"/>
  <c r="R206" i="5" s="1"/>
  <c r="L206" i="5"/>
  <c r="K206" i="5"/>
  <c r="I206" i="5"/>
  <c r="H206" i="5"/>
  <c r="F206" i="5"/>
  <c r="E206" i="5"/>
  <c r="C206" i="5"/>
  <c r="B206" i="5"/>
  <c r="S205" i="5"/>
  <c r="Q205" i="5"/>
  <c r="P205" i="5"/>
  <c r="R205" i="5" s="1"/>
  <c r="L205" i="5"/>
  <c r="K205" i="5"/>
  <c r="I205" i="5"/>
  <c r="H205" i="5"/>
  <c r="F205" i="5"/>
  <c r="E205" i="5"/>
  <c r="C205" i="5"/>
  <c r="B205" i="5"/>
  <c r="Q204" i="5"/>
  <c r="S204" i="5" s="1"/>
  <c r="P204" i="5"/>
  <c r="R204" i="5" s="1"/>
  <c r="L204" i="5"/>
  <c r="K204" i="5"/>
  <c r="I204" i="5"/>
  <c r="H204" i="5"/>
  <c r="F204" i="5"/>
  <c r="E204" i="5"/>
  <c r="C204" i="5"/>
  <c r="B204" i="5"/>
  <c r="Q203" i="5"/>
  <c r="S203" i="5" s="1"/>
  <c r="P203" i="5"/>
  <c r="R203" i="5" s="1"/>
  <c r="L203" i="5"/>
  <c r="K203" i="5"/>
  <c r="I203" i="5"/>
  <c r="H203" i="5"/>
  <c r="F203" i="5"/>
  <c r="E203" i="5"/>
  <c r="C203" i="5"/>
  <c r="B203" i="5"/>
  <c r="Q202" i="5"/>
  <c r="S202" i="5" s="1"/>
  <c r="P202" i="5"/>
  <c r="R202" i="5" s="1"/>
  <c r="L202" i="5"/>
  <c r="K202" i="5"/>
  <c r="I202" i="5"/>
  <c r="H202" i="5"/>
  <c r="F202" i="5"/>
  <c r="E202" i="5"/>
  <c r="C202" i="5"/>
  <c r="B202" i="5"/>
  <c r="S201" i="5"/>
  <c r="Q201" i="5"/>
  <c r="P201" i="5"/>
  <c r="R201" i="5" s="1"/>
  <c r="L201" i="5"/>
  <c r="K201" i="5"/>
  <c r="I201" i="5"/>
  <c r="H201" i="5"/>
  <c r="F201" i="5"/>
  <c r="E201" i="5"/>
  <c r="C201" i="5"/>
  <c r="B201" i="5"/>
  <c r="Q200" i="5"/>
  <c r="S200" i="5" s="1"/>
  <c r="P200" i="5"/>
  <c r="R200" i="5" s="1"/>
  <c r="L200" i="5"/>
  <c r="K200" i="5"/>
  <c r="I200" i="5"/>
  <c r="N200" i="5" s="1"/>
  <c r="H200" i="5"/>
  <c r="F200" i="5"/>
  <c r="E200" i="5"/>
  <c r="C200" i="5"/>
  <c r="B200" i="5"/>
  <c r="R199" i="5"/>
  <c r="Q199" i="5"/>
  <c r="S199" i="5" s="1"/>
  <c r="P199" i="5"/>
  <c r="L199" i="5"/>
  <c r="K199" i="5"/>
  <c r="I199" i="5"/>
  <c r="H199" i="5"/>
  <c r="F199" i="5"/>
  <c r="E199" i="5"/>
  <c r="C199" i="5"/>
  <c r="B199" i="5"/>
  <c r="Q198" i="5"/>
  <c r="S198" i="5" s="1"/>
  <c r="P198" i="5"/>
  <c r="R198" i="5" s="1"/>
  <c r="L198" i="5"/>
  <c r="K198" i="5"/>
  <c r="I198" i="5"/>
  <c r="H198" i="5"/>
  <c r="F198" i="5"/>
  <c r="E198" i="5"/>
  <c r="C198" i="5"/>
  <c r="B198" i="5"/>
  <c r="Q197" i="5"/>
  <c r="S197" i="5" s="1"/>
  <c r="P197" i="5"/>
  <c r="R197" i="5" s="1"/>
  <c r="L197" i="5"/>
  <c r="K197" i="5"/>
  <c r="I197" i="5"/>
  <c r="H197" i="5"/>
  <c r="F197" i="5"/>
  <c r="E197" i="5"/>
  <c r="C197" i="5"/>
  <c r="B197" i="5"/>
  <c r="R196" i="5"/>
  <c r="Q196" i="5"/>
  <c r="S196" i="5" s="1"/>
  <c r="P196" i="5"/>
  <c r="L196" i="5"/>
  <c r="K196" i="5"/>
  <c r="I196" i="5"/>
  <c r="H196" i="5"/>
  <c r="F196" i="5"/>
  <c r="E196" i="5"/>
  <c r="C196" i="5"/>
  <c r="B196" i="5"/>
  <c r="Q195" i="5"/>
  <c r="S195" i="5" s="1"/>
  <c r="P195" i="5"/>
  <c r="R195" i="5" s="1"/>
  <c r="L195" i="5"/>
  <c r="K195" i="5"/>
  <c r="I195" i="5"/>
  <c r="H195" i="5"/>
  <c r="F195" i="5"/>
  <c r="E195" i="5"/>
  <c r="C195" i="5"/>
  <c r="B195" i="5"/>
  <c r="Q194" i="5"/>
  <c r="S194" i="5" s="1"/>
  <c r="P194" i="5"/>
  <c r="R194" i="5" s="1"/>
  <c r="L194" i="5"/>
  <c r="K194" i="5"/>
  <c r="I194" i="5"/>
  <c r="H194" i="5"/>
  <c r="F194" i="5"/>
  <c r="E194" i="5"/>
  <c r="C194" i="5"/>
  <c r="B194" i="5"/>
  <c r="Q193" i="5"/>
  <c r="S193" i="5" s="1"/>
  <c r="P193" i="5"/>
  <c r="R193" i="5" s="1"/>
  <c r="L193" i="5"/>
  <c r="K193" i="5"/>
  <c r="I193" i="5"/>
  <c r="H193" i="5"/>
  <c r="F193" i="5"/>
  <c r="N193" i="5" s="1"/>
  <c r="E193" i="5"/>
  <c r="M193" i="5" s="1"/>
  <c r="C193" i="5"/>
  <c r="B193" i="5"/>
  <c r="Q192" i="5"/>
  <c r="S192" i="5" s="1"/>
  <c r="P192" i="5"/>
  <c r="R192" i="5" s="1"/>
  <c r="L192" i="5"/>
  <c r="K192" i="5"/>
  <c r="I192" i="5"/>
  <c r="H192" i="5"/>
  <c r="F192" i="5"/>
  <c r="E192" i="5"/>
  <c r="C192" i="5"/>
  <c r="B192" i="5"/>
  <c r="Q191" i="5"/>
  <c r="S191" i="5" s="1"/>
  <c r="P191" i="5"/>
  <c r="R191" i="5" s="1"/>
  <c r="L191" i="5"/>
  <c r="K191" i="5"/>
  <c r="I191" i="5"/>
  <c r="H191" i="5"/>
  <c r="F191" i="5"/>
  <c r="E191" i="5"/>
  <c r="C191" i="5"/>
  <c r="B191" i="5"/>
  <c r="Q190" i="5"/>
  <c r="S190" i="5" s="1"/>
  <c r="P190" i="5"/>
  <c r="R190" i="5" s="1"/>
  <c r="L190" i="5"/>
  <c r="K190" i="5"/>
  <c r="I190" i="5"/>
  <c r="H190" i="5"/>
  <c r="F190" i="5"/>
  <c r="E190" i="5"/>
  <c r="C190" i="5"/>
  <c r="B190" i="5"/>
  <c r="S189" i="5"/>
  <c r="Q189" i="5"/>
  <c r="P189" i="5"/>
  <c r="R189" i="5" s="1"/>
  <c r="L189" i="5"/>
  <c r="K189" i="5"/>
  <c r="M189" i="5" s="1"/>
  <c r="I189" i="5"/>
  <c r="H189" i="5"/>
  <c r="F189" i="5"/>
  <c r="E189" i="5"/>
  <c r="C189" i="5"/>
  <c r="B189" i="5"/>
  <c r="Q188" i="5"/>
  <c r="S188" i="5" s="1"/>
  <c r="P188" i="5"/>
  <c r="R188" i="5" s="1"/>
  <c r="L188" i="5"/>
  <c r="K188" i="5"/>
  <c r="M188" i="5" s="1"/>
  <c r="I188" i="5"/>
  <c r="H188" i="5"/>
  <c r="F188" i="5"/>
  <c r="E188" i="5"/>
  <c r="C188" i="5"/>
  <c r="B188" i="5"/>
  <c r="Q187" i="5"/>
  <c r="S187" i="5" s="1"/>
  <c r="P187" i="5"/>
  <c r="R187" i="5" s="1"/>
  <c r="L187" i="5"/>
  <c r="K187" i="5"/>
  <c r="I187" i="5"/>
  <c r="H187" i="5"/>
  <c r="F187" i="5"/>
  <c r="N187" i="5" s="1"/>
  <c r="E187" i="5"/>
  <c r="C187" i="5"/>
  <c r="B187" i="5"/>
  <c r="Q186" i="5"/>
  <c r="S186" i="5" s="1"/>
  <c r="P186" i="5"/>
  <c r="R186" i="5" s="1"/>
  <c r="L186" i="5"/>
  <c r="K186" i="5"/>
  <c r="I186" i="5"/>
  <c r="H186" i="5"/>
  <c r="F186" i="5"/>
  <c r="E186" i="5"/>
  <c r="C186" i="5"/>
  <c r="B186" i="5"/>
  <c r="Q185" i="5"/>
  <c r="S185" i="5" s="1"/>
  <c r="P185" i="5"/>
  <c r="R185" i="5" s="1"/>
  <c r="L185" i="5"/>
  <c r="K185" i="5"/>
  <c r="I185" i="5"/>
  <c r="H185" i="5"/>
  <c r="F185" i="5"/>
  <c r="E185" i="5"/>
  <c r="C185" i="5"/>
  <c r="B185" i="5"/>
  <c r="Q184" i="5"/>
  <c r="S184" i="5" s="1"/>
  <c r="P184" i="5"/>
  <c r="R184" i="5" s="1"/>
  <c r="L184" i="5"/>
  <c r="K184" i="5"/>
  <c r="I184" i="5"/>
  <c r="H184" i="5"/>
  <c r="F184" i="5"/>
  <c r="E184" i="5"/>
  <c r="C184" i="5"/>
  <c r="B184" i="5"/>
  <c r="R183" i="5"/>
  <c r="Q183" i="5"/>
  <c r="S183" i="5" s="1"/>
  <c r="P183" i="5"/>
  <c r="L183" i="5"/>
  <c r="K183" i="5"/>
  <c r="I183" i="5"/>
  <c r="H183" i="5"/>
  <c r="F183" i="5"/>
  <c r="E183" i="5"/>
  <c r="C183" i="5"/>
  <c r="B183" i="5"/>
  <c r="Q182" i="5"/>
  <c r="S182" i="5" s="1"/>
  <c r="P182" i="5"/>
  <c r="R182" i="5" s="1"/>
  <c r="L182" i="5"/>
  <c r="K182" i="5"/>
  <c r="I182" i="5"/>
  <c r="H182" i="5"/>
  <c r="F182" i="5"/>
  <c r="N182" i="5" s="1"/>
  <c r="AA182" i="5" s="1"/>
  <c r="E182" i="5"/>
  <c r="C182" i="5"/>
  <c r="B182" i="5"/>
  <c r="R181" i="5"/>
  <c r="Q181" i="5"/>
  <c r="S181" i="5" s="1"/>
  <c r="P181" i="5"/>
  <c r="L181" i="5"/>
  <c r="K181" i="5"/>
  <c r="I181" i="5"/>
  <c r="H181" i="5"/>
  <c r="F181" i="5"/>
  <c r="E181" i="5"/>
  <c r="C181" i="5"/>
  <c r="B181" i="5"/>
  <c r="Q180" i="5"/>
  <c r="S180" i="5" s="1"/>
  <c r="P180" i="5"/>
  <c r="R180" i="5" s="1"/>
  <c r="L180" i="5"/>
  <c r="K180" i="5"/>
  <c r="I180" i="5"/>
  <c r="H180" i="5"/>
  <c r="F180" i="5"/>
  <c r="E180" i="5"/>
  <c r="C180" i="5"/>
  <c r="B180" i="5"/>
  <c r="Q179" i="5"/>
  <c r="S179" i="5" s="1"/>
  <c r="P179" i="5"/>
  <c r="R179" i="5" s="1"/>
  <c r="L179" i="5"/>
  <c r="K179" i="5"/>
  <c r="I179" i="5"/>
  <c r="H179" i="5"/>
  <c r="F179" i="5"/>
  <c r="E179" i="5"/>
  <c r="C179" i="5"/>
  <c r="B179" i="5"/>
  <c r="Q178" i="5"/>
  <c r="S178" i="5" s="1"/>
  <c r="P178" i="5"/>
  <c r="R178" i="5" s="1"/>
  <c r="L178" i="5"/>
  <c r="K178" i="5"/>
  <c r="I178" i="5"/>
  <c r="H178" i="5"/>
  <c r="F178" i="5"/>
  <c r="E178" i="5"/>
  <c r="C178" i="5"/>
  <c r="B178" i="5"/>
  <c r="Q177" i="5"/>
  <c r="S177" i="5" s="1"/>
  <c r="P177" i="5"/>
  <c r="R177" i="5" s="1"/>
  <c r="L177" i="5"/>
  <c r="N177" i="5" s="1"/>
  <c r="K177" i="5"/>
  <c r="M177" i="5" s="1"/>
  <c r="I177" i="5"/>
  <c r="H177" i="5"/>
  <c r="F177" i="5"/>
  <c r="E177" i="5"/>
  <c r="C177" i="5"/>
  <c r="B177" i="5"/>
  <c r="R176" i="5"/>
  <c r="Q176" i="5"/>
  <c r="S176" i="5" s="1"/>
  <c r="P176" i="5"/>
  <c r="L176" i="5"/>
  <c r="K176" i="5"/>
  <c r="I176" i="5"/>
  <c r="H176" i="5"/>
  <c r="F176" i="5"/>
  <c r="E176" i="5"/>
  <c r="C176" i="5"/>
  <c r="B176" i="5"/>
  <c r="Q175" i="5"/>
  <c r="S175" i="5" s="1"/>
  <c r="P175" i="5"/>
  <c r="R175" i="5" s="1"/>
  <c r="L175" i="5"/>
  <c r="K175" i="5"/>
  <c r="I175" i="5"/>
  <c r="H175" i="5"/>
  <c r="F175" i="5"/>
  <c r="E175" i="5"/>
  <c r="C175" i="5"/>
  <c r="B175" i="5"/>
  <c r="Q174" i="5"/>
  <c r="S174" i="5" s="1"/>
  <c r="P174" i="5"/>
  <c r="R174" i="5" s="1"/>
  <c r="L174" i="5"/>
  <c r="K174" i="5"/>
  <c r="I174" i="5"/>
  <c r="H174" i="5"/>
  <c r="F174" i="5"/>
  <c r="E174" i="5"/>
  <c r="C174" i="5"/>
  <c r="B174" i="5"/>
  <c r="Q173" i="5"/>
  <c r="S173" i="5" s="1"/>
  <c r="P173" i="5"/>
  <c r="R173" i="5" s="1"/>
  <c r="L173" i="5"/>
  <c r="K173" i="5"/>
  <c r="M173" i="5" s="1"/>
  <c r="I173" i="5"/>
  <c r="H173" i="5"/>
  <c r="F173" i="5"/>
  <c r="E173" i="5"/>
  <c r="C173" i="5"/>
  <c r="B173" i="5"/>
  <c r="Q172" i="5"/>
  <c r="S172" i="5" s="1"/>
  <c r="P172" i="5"/>
  <c r="R172" i="5" s="1"/>
  <c r="N172" i="5"/>
  <c r="L172" i="5"/>
  <c r="K172" i="5"/>
  <c r="I172" i="5"/>
  <c r="H172" i="5"/>
  <c r="M172" i="5" s="1"/>
  <c r="F172" i="5"/>
  <c r="E172" i="5"/>
  <c r="C172" i="5"/>
  <c r="B172" i="5"/>
  <c r="Q171" i="5"/>
  <c r="S171" i="5" s="1"/>
  <c r="P171" i="5"/>
  <c r="R171" i="5" s="1"/>
  <c r="L171" i="5"/>
  <c r="K171" i="5"/>
  <c r="I171" i="5"/>
  <c r="H171" i="5"/>
  <c r="F171" i="5"/>
  <c r="E171" i="5"/>
  <c r="C171" i="5"/>
  <c r="B171" i="5"/>
  <c r="S170" i="5"/>
  <c r="Q170" i="5"/>
  <c r="P170" i="5"/>
  <c r="R170" i="5" s="1"/>
  <c r="L170" i="5"/>
  <c r="K170" i="5"/>
  <c r="I170" i="5"/>
  <c r="H170" i="5"/>
  <c r="F170" i="5"/>
  <c r="E170" i="5"/>
  <c r="C170" i="5"/>
  <c r="B170" i="5"/>
  <c r="Q169" i="5"/>
  <c r="S169" i="5" s="1"/>
  <c r="P169" i="5"/>
  <c r="R169" i="5" s="1"/>
  <c r="L169" i="5"/>
  <c r="K169" i="5"/>
  <c r="I169" i="5"/>
  <c r="H169" i="5"/>
  <c r="F169" i="5"/>
  <c r="E169" i="5"/>
  <c r="C169" i="5"/>
  <c r="B169" i="5"/>
  <c r="Q168" i="5"/>
  <c r="S168" i="5" s="1"/>
  <c r="P168" i="5"/>
  <c r="R168" i="5" s="1"/>
  <c r="L168" i="5"/>
  <c r="K168" i="5"/>
  <c r="I168" i="5"/>
  <c r="H168" i="5"/>
  <c r="F168" i="5"/>
  <c r="E168" i="5"/>
  <c r="C168" i="5"/>
  <c r="B168" i="5"/>
  <c r="Q167" i="5"/>
  <c r="S167" i="5" s="1"/>
  <c r="P167" i="5"/>
  <c r="R167" i="5" s="1"/>
  <c r="L167" i="5"/>
  <c r="K167" i="5"/>
  <c r="I167" i="5"/>
  <c r="H167" i="5"/>
  <c r="F167" i="5"/>
  <c r="E167" i="5"/>
  <c r="M167" i="5" s="1"/>
  <c r="C167" i="5"/>
  <c r="B167" i="5"/>
  <c r="Q166" i="5"/>
  <c r="S166" i="5" s="1"/>
  <c r="P166" i="5"/>
  <c r="R166" i="5" s="1"/>
  <c r="L166" i="5"/>
  <c r="K166" i="5"/>
  <c r="I166" i="5"/>
  <c r="H166" i="5"/>
  <c r="F166" i="5"/>
  <c r="E166" i="5"/>
  <c r="C166" i="5"/>
  <c r="B166" i="5"/>
  <c r="S165" i="5"/>
  <c r="Q165" i="5"/>
  <c r="P165" i="5"/>
  <c r="R165" i="5" s="1"/>
  <c r="L165" i="5"/>
  <c r="K165" i="5"/>
  <c r="I165" i="5"/>
  <c r="H165" i="5"/>
  <c r="F165" i="5"/>
  <c r="E165" i="5"/>
  <c r="C165" i="5"/>
  <c r="B165" i="5"/>
  <c r="Q164" i="5"/>
  <c r="S164" i="5" s="1"/>
  <c r="P164" i="5"/>
  <c r="R164" i="5" s="1"/>
  <c r="L164" i="5"/>
  <c r="K164" i="5"/>
  <c r="I164" i="5"/>
  <c r="H164" i="5"/>
  <c r="F164" i="5"/>
  <c r="E164" i="5"/>
  <c r="C164" i="5"/>
  <c r="B164" i="5"/>
  <c r="Q163" i="5"/>
  <c r="S163" i="5" s="1"/>
  <c r="P163" i="5"/>
  <c r="R163" i="5" s="1"/>
  <c r="L163" i="5"/>
  <c r="K163" i="5"/>
  <c r="I163" i="5"/>
  <c r="H163" i="5"/>
  <c r="F163" i="5"/>
  <c r="E163" i="5"/>
  <c r="C163" i="5"/>
  <c r="B163" i="5"/>
  <c r="Q162" i="5"/>
  <c r="S162" i="5" s="1"/>
  <c r="P162" i="5"/>
  <c r="R162" i="5" s="1"/>
  <c r="L162" i="5"/>
  <c r="K162" i="5"/>
  <c r="I162" i="5"/>
  <c r="H162" i="5"/>
  <c r="F162" i="5"/>
  <c r="E162" i="5"/>
  <c r="C162" i="5"/>
  <c r="B162" i="5"/>
  <c r="Q161" i="5"/>
  <c r="S161" i="5" s="1"/>
  <c r="P161" i="5"/>
  <c r="R161" i="5" s="1"/>
  <c r="L161" i="5"/>
  <c r="K161" i="5"/>
  <c r="I161" i="5"/>
  <c r="H161" i="5"/>
  <c r="F161" i="5"/>
  <c r="E161" i="5"/>
  <c r="C161" i="5"/>
  <c r="B161" i="5"/>
  <c r="Q160" i="5"/>
  <c r="S160" i="5" s="1"/>
  <c r="P160" i="5"/>
  <c r="R160" i="5" s="1"/>
  <c r="L160" i="5"/>
  <c r="K160" i="5"/>
  <c r="I160" i="5"/>
  <c r="H160" i="5"/>
  <c r="F160" i="5"/>
  <c r="E160" i="5"/>
  <c r="C160" i="5"/>
  <c r="B160" i="5"/>
  <c r="Q159" i="5"/>
  <c r="S159" i="5" s="1"/>
  <c r="P159" i="5"/>
  <c r="R159" i="5" s="1"/>
  <c r="L159" i="5"/>
  <c r="K159" i="5"/>
  <c r="I159" i="5"/>
  <c r="H159" i="5"/>
  <c r="F159" i="5"/>
  <c r="E159" i="5"/>
  <c r="C159" i="5"/>
  <c r="B159" i="5"/>
  <c r="Q158" i="5"/>
  <c r="S158" i="5" s="1"/>
  <c r="P158" i="5"/>
  <c r="R158" i="5" s="1"/>
  <c r="L158" i="5"/>
  <c r="K158" i="5"/>
  <c r="I158" i="5"/>
  <c r="H158" i="5"/>
  <c r="F158" i="5"/>
  <c r="E158" i="5"/>
  <c r="C158" i="5"/>
  <c r="B158" i="5"/>
  <c r="Q157" i="5"/>
  <c r="S157" i="5" s="1"/>
  <c r="P157" i="5"/>
  <c r="R157" i="5" s="1"/>
  <c r="L157" i="5"/>
  <c r="K157" i="5"/>
  <c r="I157" i="5"/>
  <c r="N157" i="5" s="1"/>
  <c r="H157" i="5"/>
  <c r="F157" i="5"/>
  <c r="E157" i="5"/>
  <c r="C157" i="5"/>
  <c r="B157" i="5"/>
  <c r="R156" i="5"/>
  <c r="Q156" i="5"/>
  <c r="S156" i="5" s="1"/>
  <c r="P156" i="5"/>
  <c r="L156" i="5"/>
  <c r="K156" i="5"/>
  <c r="I156" i="5"/>
  <c r="H156" i="5"/>
  <c r="F156" i="5"/>
  <c r="N156" i="5" s="1"/>
  <c r="E156" i="5"/>
  <c r="C156" i="5"/>
  <c r="B156" i="5"/>
  <c r="Q155" i="5"/>
  <c r="S155" i="5" s="1"/>
  <c r="P155" i="5"/>
  <c r="R155" i="5" s="1"/>
  <c r="L155" i="5"/>
  <c r="K155" i="5"/>
  <c r="I155" i="5"/>
  <c r="H155" i="5"/>
  <c r="F155" i="5"/>
  <c r="E155" i="5"/>
  <c r="C155" i="5"/>
  <c r="B155" i="5"/>
  <c r="Q154" i="5"/>
  <c r="S154" i="5" s="1"/>
  <c r="P154" i="5"/>
  <c r="R154" i="5" s="1"/>
  <c r="L154" i="5"/>
  <c r="K154" i="5"/>
  <c r="I154" i="5"/>
  <c r="H154" i="5"/>
  <c r="F154" i="5"/>
  <c r="E154" i="5"/>
  <c r="C154" i="5"/>
  <c r="B154" i="5"/>
  <c r="Q153" i="5"/>
  <c r="S153" i="5" s="1"/>
  <c r="P153" i="5"/>
  <c r="R153" i="5" s="1"/>
  <c r="L153" i="5"/>
  <c r="K153" i="5"/>
  <c r="I153" i="5"/>
  <c r="H153" i="5"/>
  <c r="F153" i="5"/>
  <c r="E153" i="5"/>
  <c r="C153" i="5"/>
  <c r="B153" i="5"/>
  <c r="R152" i="5"/>
  <c r="Q152" i="5"/>
  <c r="S152" i="5" s="1"/>
  <c r="P152" i="5"/>
  <c r="L152" i="5"/>
  <c r="K152" i="5"/>
  <c r="I152" i="5"/>
  <c r="H152" i="5"/>
  <c r="F152" i="5"/>
  <c r="E152" i="5"/>
  <c r="C152" i="5"/>
  <c r="B152" i="5"/>
  <c r="Q151" i="5"/>
  <c r="S151" i="5" s="1"/>
  <c r="P151" i="5"/>
  <c r="R151" i="5" s="1"/>
  <c r="L151" i="5"/>
  <c r="K151" i="5"/>
  <c r="I151" i="5"/>
  <c r="H151" i="5"/>
  <c r="F151" i="5"/>
  <c r="E151" i="5"/>
  <c r="C151" i="5"/>
  <c r="B151" i="5"/>
  <c r="Q150" i="5"/>
  <c r="S150" i="5" s="1"/>
  <c r="P150" i="5"/>
  <c r="R150" i="5" s="1"/>
  <c r="L150" i="5"/>
  <c r="K150" i="5"/>
  <c r="I150" i="5"/>
  <c r="H150" i="5"/>
  <c r="F150" i="5"/>
  <c r="E150" i="5"/>
  <c r="C150" i="5"/>
  <c r="B150" i="5"/>
  <c r="Q149" i="5"/>
  <c r="S149" i="5" s="1"/>
  <c r="P149" i="5"/>
  <c r="R149" i="5" s="1"/>
  <c r="L149" i="5"/>
  <c r="K149" i="5"/>
  <c r="I149" i="5"/>
  <c r="H149" i="5"/>
  <c r="F149" i="5"/>
  <c r="E149" i="5"/>
  <c r="C149" i="5"/>
  <c r="B149" i="5"/>
  <c r="Q148" i="5"/>
  <c r="S148" i="5" s="1"/>
  <c r="P148" i="5"/>
  <c r="R148" i="5" s="1"/>
  <c r="L148" i="5"/>
  <c r="K148" i="5"/>
  <c r="I148" i="5"/>
  <c r="H148" i="5"/>
  <c r="F148" i="5"/>
  <c r="N148" i="5" s="1"/>
  <c r="E148" i="5"/>
  <c r="C148" i="5"/>
  <c r="B148" i="5"/>
  <c r="Q147" i="5"/>
  <c r="S147" i="5" s="1"/>
  <c r="P147" i="5"/>
  <c r="R147" i="5" s="1"/>
  <c r="L147" i="5"/>
  <c r="K147" i="5"/>
  <c r="I147" i="5"/>
  <c r="H147" i="5"/>
  <c r="F147" i="5"/>
  <c r="E147" i="5"/>
  <c r="C147" i="5"/>
  <c r="B147" i="5"/>
  <c r="Q146" i="5"/>
  <c r="S146" i="5" s="1"/>
  <c r="P146" i="5"/>
  <c r="R146" i="5" s="1"/>
  <c r="L146" i="5"/>
  <c r="K146" i="5"/>
  <c r="I146" i="5"/>
  <c r="H146" i="5"/>
  <c r="F146" i="5"/>
  <c r="N146" i="5" s="1"/>
  <c r="E146" i="5"/>
  <c r="C146" i="5"/>
  <c r="B146" i="5"/>
  <c r="Q145" i="5"/>
  <c r="S145" i="5" s="1"/>
  <c r="P145" i="5"/>
  <c r="R145" i="5" s="1"/>
  <c r="L145" i="5"/>
  <c r="K145" i="5"/>
  <c r="I145" i="5"/>
  <c r="H145" i="5"/>
  <c r="F145" i="5"/>
  <c r="E145" i="5"/>
  <c r="C145" i="5"/>
  <c r="B145" i="5"/>
  <c r="R144" i="5"/>
  <c r="Q144" i="5"/>
  <c r="S144" i="5" s="1"/>
  <c r="P144" i="5"/>
  <c r="L144" i="5"/>
  <c r="K144" i="5"/>
  <c r="I144" i="5"/>
  <c r="H144" i="5"/>
  <c r="F144" i="5"/>
  <c r="N144" i="5" s="1"/>
  <c r="E144" i="5"/>
  <c r="C144" i="5"/>
  <c r="B144" i="5"/>
  <c r="Q143" i="5"/>
  <c r="S143" i="5" s="1"/>
  <c r="P143" i="5"/>
  <c r="R143" i="5" s="1"/>
  <c r="L143" i="5"/>
  <c r="K143" i="5"/>
  <c r="I143" i="5"/>
  <c r="H143" i="5"/>
  <c r="F143" i="5"/>
  <c r="E143" i="5"/>
  <c r="C143" i="5"/>
  <c r="B143" i="5"/>
  <c r="Q142" i="5"/>
  <c r="S142" i="5" s="1"/>
  <c r="P142" i="5"/>
  <c r="R142" i="5" s="1"/>
  <c r="L142" i="5"/>
  <c r="K142" i="5"/>
  <c r="I142" i="5"/>
  <c r="H142" i="5"/>
  <c r="F142" i="5"/>
  <c r="E142" i="5"/>
  <c r="C142" i="5"/>
  <c r="B142" i="5"/>
  <c r="Q141" i="5"/>
  <c r="S141" i="5" s="1"/>
  <c r="P141" i="5"/>
  <c r="R141" i="5" s="1"/>
  <c r="L141" i="5"/>
  <c r="K141" i="5"/>
  <c r="I141" i="5"/>
  <c r="H141" i="5"/>
  <c r="F141" i="5"/>
  <c r="E141" i="5"/>
  <c r="M141" i="5" s="1"/>
  <c r="C141" i="5"/>
  <c r="B141" i="5"/>
  <c r="Q140" i="5"/>
  <c r="S140" i="5" s="1"/>
  <c r="P140" i="5"/>
  <c r="R140" i="5" s="1"/>
  <c r="L140" i="5"/>
  <c r="K140" i="5"/>
  <c r="I140" i="5"/>
  <c r="H140" i="5"/>
  <c r="F140" i="5"/>
  <c r="N140" i="5" s="1"/>
  <c r="E140" i="5"/>
  <c r="C140" i="5"/>
  <c r="B140" i="5"/>
  <c r="Q139" i="5"/>
  <c r="S139" i="5" s="1"/>
  <c r="P139" i="5"/>
  <c r="R139" i="5" s="1"/>
  <c r="L139" i="5"/>
  <c r="K139" i="5"/>
  <c r="I139" i="5"/>
  <c r="H139" i="5"/>
  <c r="F139" i="5"/>
  <c r="E139" i="5"/>
  <c r="C139" i="5"/>
  <c r="B139" i="5"/>
  <c r="Q138" i="5"/>
  <c r="S138" i="5" s="1"/>
  <c r="P138" i="5"/>
  <c r="R138" i="5" s="1"/>
  <c r="L138" i="5"/>
  <c r="K138" i="5"/>
  <c r="I138" i="5"/>
  <c r="H138" i="5"/>
  <c r="F138" i="5"/>
  <c r="E138" i="5"/>
  <c r="C138" i="5"/>
  <c r="B138" i="5"/>
  <c r="Q137" i="5"/>
  <c r="S137" i="5" s="1"/>
  <c r="P137" i="5"/>
  <c r="R137" i="5" s="1"/>
  <c r="L137" i="5"/>
  <c r="K137" i="5"/>
  <c r="I137" i="5"/>
  <c r="N137" i="5" s="1"/>
  <c r="H137" i="5"/>
  <c r="F137" i="5"/>
  <c r="E137" i="5"/>
  <c r="C137" i="5"/>
  <c r="B137" i="5"/>
  <c r="Q136" i="5"/>
  <c r="S136" i="5" s="1"/>
  <c r="P136" i="5"/>
  <c r="R136" i="5" s="1"/>
  <c r="L136" i="5"/>
  <c r="K136" i="5"/>
  <c r="I136" i="5"/>
  <c r="H136" i="5"/>
  <c r="F136" i="5"/>
  <c r="E136" i="5"/>
  <c r="C136" i="5"/>
  <c r="B136" i="5"/>
  <c r="Q135" i="5"/>
  <c r="S135" i="5" s="1"/>
  <c r="P135" i="5"/>
  <c r="R135" i="5" s="1"/>
  <c r="L135" i="5"/>
  <c r="K135" i="5"/>
  <c r="I135" i="5"/>
  <c r="H135" i="5"/>
  <c r="F135" i="5"/>
  <c r="E135" i="5"/>
  <c r="C135" i="5"/>
  <c r="B135" i="5"/>
  <c r="Q134" i="5"/>
  <c r="S134" i="5" s="1"/>
  <c r="P134" i="5"/>
  <c r="R134" i="5" s="1"/>
  <c r="L134" i="5"/>
  <c r="K134" i="5"/>
  <c r="I134" i="5"/>
  <c r="H134" i="5"/>
  <c r="F134" i="5"/>
  <c r="E134" i="5"/>
  <c r="C134" i="5"/>
  <c r="B134" i="5"/>
  <c r="Q133" i="5"/>
  <c r="S133" i="5" s="1"/>
  <c r="P133" i="5"/>
  <c r="R133" i="5" s="1"/>
  <c r="L133" i="5"/>
  <c r="K133" i="5"/>
  <c r="I133" i="5"/>
  <c r="H133" i="5"/>
  <c r="F133" i="5"/>
  <c r="N133" i="5" s="1"/>
  <c r="E133" i="5"/>
  <c r="M133" i="5" s="1"/>
  <c r="C133" i="5"/>
  <c r="B133" i="5"/>
  <c r="S132" i="5"/>
  <c r="Q132" i="5"/>
  <c r="P132" i="5"/>
  <c r="R132" i="5" s="1"/>
  <c r="L132" i="5"/>
  <c r="K132" i="5"/>
  <c r="I132" i="5"/>
  <c r="H132" i="5"/>
  <c r="F132" i="5"/>
  <c r="E132" i="5"/>
  <c r="C132" i="5"/>
  <c r="B132" i="5"/>
  <c r="Q131" i="5"/>
  <c r="S131" i="5" s="1"/>
  <c r="P131" i="5"/>
  <c r="R131" i="5" s="1"/>
  <c r="L131" i="5"/>
  <c r="K131" i="5"/>
  <c r="I131" i="5"/>
  <c r="H131" i="5"/>
  <c r="F131" i="5"/>
  <c r="E131" i="5"/>
  <c r="C131" i="5"/>
  <c r="B131" i="5"/>
  <c r="Q130" i="5"/>
  <c r="S130" i="5" s="1"/>
  <c r="P130" i="5"/>
  <c r="R130" i="5" s="1"/>
  <c r="L130" i="5"/>
  <c r="K130" i="5"/>
  <c r="I130" i="5"/>
  <c r="H130" i="5"/>
  <c r="F130" i="5"/>
  <c r="E130" i="5"/>
  <c r="C130" i="5"/>
  <c r="B130" i="5"/>
  <c r="Q129" i="5"/>
  <c r="S129" i="5" s="1"/>
  <c r="P129" i="5"/>
  <c r="R129" i="5" s="1"/>
  <c r="L129" i="5"/>
  <c r="K129" i="5"/>
  <c r="I129" i="5"/>
  <c r="H129" i="5"/>
  <c r="F129" i="5"/>
  <c r="E129" i="5"/>
  <c r="M129" i="5" s="1"/>
  <c r="C129" i="5"/>
  <c r="B129" i="5"/>
  <c r="Q128" i="5"/>
  <c r="S128" i="5" s="1"/>
  <c r="P128" i="5"/>
  <c r="R128" i="5" s="1"/>
  <c r="L128" i="5"/>
  <c r="K128" i="5"/>
  <c r="M128" i="5" s="1"/>
  <c r="I128" i="5"/>
  <c r="H128" i="5"/>
  <c r="F128" i="5"/>
  <c r="E128" i="5"/>
  <c r="C128" i="5"/>
  <c r="B128" i="5"/>
  <c r="Q127" i="5"/>
  <c r="S127" i="5" s="1"/>
  <c r="P127" i="5"/>
  <c r="R127" i="5" s="1"/>
  <c r="L127" i="5"/>
  <c r="K127" i="5"/>
  <c r="I127" i="5"/>
  <c r="H127" i="5"/>
  <c r="F127" i="5"/>
  <c r="E127" i="5"/>
  <c r="C127" i="5"/>
  <c r="B127" i="5"/>
  <c r="Q126" i="5"/>
  <c r="S126" i="5" s="1"/>
  <c r="P126" i="5"/>
  <c r="R126" i="5" s="1"/>
  <c r="L126" i="5"/>
  <c r="K126" i="5"/>
  <c r="I126" i="5"/>
  <c r="H126" i="5"/>
  <c r="F126" i="5"/>
  <c r="E126" i="5"/>
  <c r="C126" i="5"/>
  <c r="B126" i="5"/>
  <c r="Q125" i="5"/>
  <c r="S125" i="5" s="1"/>
  <c r="P125" i="5"/>
  <c r="R125" i="5" s="1"/>
  <c r="L125" i="5"/>
  <c r="K125" i="5"/>
  <c r="M125" i="5" s="1"/>
  <c r="I125" i="5"/>
  <c r="H125" i="5"/>
  <c r="F125" i="5"/>
  <c r="E125" i="5"/>
  <c r="C125" i="5"/>
  <c r="B125" i="5"/>
  <c r="R124" i="5"/>
  <c r="Q124" i="5"/>
  <c r="S124" i="5" s="1"/>
  <c r="P124" i="5"/>
  <c r="L124" i="5"/>
  <c r="K124" i="5"/>
  <c r="I124" i="5"/>
  <c r="H124" i="5"/>
  <c r="F124" i="5"/>
  <c r="N124" i="5" s="1"/>
  <c r="E124" i="5"/>
  <c r="C124" i="5"/>
  <c r="B124" i="5"/>
  <c r="Q123" i="5"/>
  <c r="S123" i="5" s="1"/>
  <c r="P123" i="5"/>
  <c r="R123" i="5" s="1"/>
  <c r="L123" i="5"/>
  <c r="K123" i="5"/>
  <c r="I123" i="5"/>
  <c r="H123" i="5"/>
  <c r="F123" i="5"/>
  <c r="E123" i="5"/>
  <c r="C123" i="5"/>
  <c r="B123" i="5"/>
  <c r="Q122" i="5"/>
  <c r="S122" i="5" s="1"/>
  <c r="P122" i="5"/>
  <c r="R122" i="5" s="1"/>
  <c r="L122" i="5"/>
  <c r="K122" i="5"/>
  <c r="I122" i="5"/>
  <c r="H122" i="5"/>
  <c r="F122" i="5"/>
  <c r="E122" i="5"/>
  <c r="C122" i="5"/>
  <c r="B122" i="5"/>
  <c r="Q121" i="5"/>
  <c r="S121" i="5" s="1"/>
  <c r="P121" i="5"/>
  <c r="R121" i="5" s="1"/>
  <c r="L121" i="5"/>
  <c r="K121" i="5"/>
  <c r="I121" i="5"/>
  <c r="H121" i="5"/>
  <c r="F121" i="5"/>
  <c r="E121" i="5"/>
  <c r="C121" i="5"/>
  <c r="B121" i="5"/>
  <c r="Q120" i="5"/>
  <c r="S120" i="5" s="1"/>
  <c r="P120" i="5"/>
  <c r="R120" i="5" s="1"/>
  <c r="L120" i="5"/>
  <c r="K120" i="5"/>
  <c r="I120" i="5"/>
  <c r="N120" i="5" s="1"/>
  <c r="H120" i="5"/>
  <c r="F120" i="5"/>
  <c r="E120" i="5"/>
  <c r="C120" i="5"/>
  <c r="B120" i="5"/>
  <c r="Q119" i="5"/>
  <c r="S119" i="5" s="1"/>
  <c r="P119" i="5"/>
  <c r="R119" i="5" s="1"/>
  <c r="L119" i="5"/>
  <c r="K119" i="5"/>
  <c r="I119" i="5"/>
  <c r="H119" i="5"/>
  <c r="F119" i="5"/>
  <c r="N119" i="5" s="1"/>
  <c r="E119" i="5"/>
  <c r="C119" i="5"/>
  <c r="B119" i="5"/>
  <c r="Q118" i="5"/>
  <c r="S118" i="5" s="1"/>
  <c r="P118" i="5"/>
  <c r="R118" i="5" s="1"/>
  <c r="L118" i="5"/>
  <c r="K118" i="5"/>
  <c r="I118" i="5"/>
  <c r="H118" i="5"/>
  <c r="F118" i="5"/>
  <c r="E118" i="5"/>
  <c r="C118" i="5"/>
  <c r="B118" i="5"/>
  <c r="Q117" i="5"/>
  <c r="S117" i="5" s="1"/>
  <c r="P117" i="5"/>
  <c r="R117" i="5" s="1"/>
  <c r="L117" i="5"/>
  <c r="K117" i="5"/>
  <c r="I117" i="5"/>
  <c r="H117" i="5"/>
  <c r="F117" i="5"/>
  <c r="E117" i="5"/>
  <c r="C117" i="5"/>
  <c r="B117" i="5"/>
  <c r="Q116" i="5"/>
  <c r="S116" i="5" s="1"/>
  <c r="P116" i="5"/>
  <c r="R116" i="5" s="1"/>
  <c r="L116" i="5"/>
  <c r="K116" i="5"/>
  <c r="I116" i="5"/>
  <c r="H116" i="5"/>
  <c r="F116" i="5"/>
  <c r="E116" i="5"/>
  <c r="C116" i="5"/>
  <c r="B116" i="5"/>
  <c r="Q115" i="5"/>
  <c r="S115" i="5" s="1"/>
  <c r="P115" i="5"/>
  <c r="R115" i="5" s="1"/>
  <c r="L115" i="5"/>
  <c r="K115" i="5"/>
  <c r="I115" i="5"/>
  <c r="H115" i="5"/>
  <c r="F115" i="5"/>
  <c r="E115" i="5"/>
  <c r="C115" i="5"/>
  <c r="B115" i="5"/>
  <c r="Q114" i="5"/>
  <c r="S114" i="5" s="1"/>
  <c r="P114" i="5"/>
  <c r="R114" i="5" s="1"/>
  <c r="L114" i="5"/>
  <c r="N114" i="5" s="1"/>
  <c r="K114" i="5"/>
  <c r="I114" i="5"/>
  <c r="H114" i="5"/>
  <c r="F114" i="5"/>
  <c r="E114" i="5"/>
  <c r="C114" i="5"/>
  <c r="B114" i="5"/>
  <c r="Q113" i="5"/>
  <c r="S113" i="5" s="1"/>
  <c r="P113" i="5"/>
  <c r="R113" i="5" s="1"/>
  <c r="L113" i="5"/>
  <c r="K113" i="5"/>
  <c r="I113" i="5"/>
  <c r="H113" i="5"/>
  <c r="F113" i="5"/>
  <c r="E113" i="5"/>
  <c r="M113" i="5" s="1"/>
  <c r="C113" i="5"/>
  <c r="B113" i="5"/>
  <c r="Q112" i="5"/>
  <c r="S112" i="5" s="1"/>
  <c r="P112" i="5"/>
  <c r="R112" i="5" s="1"/>
  <c r="L112" i="5"/>
  <c r="K112" i="5"/>
  <c r="I112" i="5"/>
  <c r="H112" i="5"/>
  <c r="M112" i="5" s="1"/>
  <c r="F112" i="5"/>
  <c r="E112" i="5"/>
  <c r="C112" i="5"/>
  <c r="B112" i="5"/>
  <c r="Q111" i="5"/>
  <c r="S111" i="5" s="1"/>
  <c r="P111" i="5"/>
  <c r="R111" i="5" s="1"/>
  <c r="L111" i="5"/>
  <c r="K111" i="5"/>
  <c r="I111" i="5"/>
  <c r="H111" i="5"/>
  <c r="F111" i="5"/>
  <c r="E111" i="5"/>
  <c r="C111" i="5"/>
  <c r="B111" i="5"/>
  <c r="Q110" i="5"/>
  <c r="S110" i="5" s="1"/>
  <c r="P110" i="5"/>
  <c r="R110" i="5" s="1"/>
  <c r="L110" i="5"/>
  <c r="K110" i="5"/>
  <c r="I110" i="5"/>
  <c r="H110" i="5"/>
  <c r="F110" i="5"/>
  <c r="E110" i="5"/>
  <c r="C110" i="5"/>
  <c r="B110" i="5"/>
  <c r="R109" i="5"/>
  <c r="Q109" i="5"/>
  <c r="S109" i="5" s="1"/>
  <c r="P109" i="5"/>
  <c r="L109" i="5"/>
  <c r="N109" i="5" s="1"/>
  <c r="K109" i="5"/>
  <c r="I109" i="5"/>
  <c r="H109" i="5"/>
  <c r="F109" i="5"/>
  <c r="E109" i="5"/>
  <c r="C109" i="5"/>
  <c r="B109" i="5"/>
  <c r="Q108" i="5"/>
  <c r="S108" i="5" s="1"/>
  <c r="P108" i="5"/>
  <c r="R108" i="5" s="1"/>
  <c r="L108" i="5"/>
  <c r="K108" i="5"/>
  <c r="I108" i="5"/>
  <c r="H108" i="5"/>
  <c r="F108" i="5"/>
  <c r="E108" i="5"/>
  <c r="C108" i="5"/>
  <c r="B108" i="5"/>
  <c r="Q107" i="5"/>
  <c r="S107" i="5" s="1"/>
  <c r="P107" i="5"/>
  <c r="R107" i="5" s="1"/>
  <c r="L107" i="5"/>
  <c r="K107" i="5"/>
  <c r="I107" i="5"/>
  <c r="H107" i="5"/>
  <c r="F107" i="5"/>
  <c r="E107" i="5"/>
  <c r="M107" i="5" s="1"/>
  <c r="C107" i="5"/>
  <c r="B107" i="5"/>
  <c r="Q106" i="5"/>
  <c r="S106" i="5" s="1"/>
  <c r="P106" i="5"/>
  <c r="R106" i="5" s="1"/>
  <c r="L106" i="5"/>
  <c r="K106" i="5"/>
  <c r="I106" i="5"/>
  <c r="H106" i="5"/>
  <c r="F106" i="5"/>
  <c r="E106" i="5"/>
  <c r="M106" i="5" s="1"/>
  <c r="C106" i="5"/>
  <c r="B106" i="5"/>
  <c r="Q105" i="5"/>
  <c r="S105" i="5" s="1"/>
  <c r="P105" i="5"/>
  <c r="R105" i="5" s="1"/>
  <c r="L105" i="5"/>
  <c r="K105" i="5"/>
  <c r="I105" i="5"/>
  <c r="H105" i="5"/>
  <c r="F105" i="5"/>
  <c r="E105" i="5"/>
  <c r="C105" i="5"/>
  <c r="B105" i="5"/>
  <c r="Q104" i="5"/>
  <c r="S104" i="5" s="1"/>
  <c r="P104" i="5"/>
  <c r="R104" i="5" s="1"/>
  <c r="L104" i="5"/>
  <c r="K104" i="5"/>
  <c r="I104" i="5"/>
  <c r="H104" i="5"/>
  <c r="M104" i="5" s="1"/>
  <c r="F104" i="5"/>
  <c r="E104" i="5"/>
  <c r="C104" i="5"/>
  <c r="B104" i="5"/>
  <c r="Q103" i="5"/>
  <c r="S103" i="5" s="1"/>
  <c r="P103" i="5"/>
  <c r="R103" i="5" s="1"/>
  <c r="L103" i="5"/>
  <c r="K103" i="5"/>
  <c r="I103" i="5"/>
  <c r="H103" i="5"/>
  <c r="M103" i="5" s="1"/>
  <c r="F103" i="5"/>
  <c r="E103" i="5"/>
  <c r="C103" i="5"/>
  <c r="B103" i="5"/>
  <c r="Q102" i="5"/>
  <c r="S102" i="5" s="1"/>
  <c r="P102" i="5"/>
  <c r="R102" i="5" s="1"/>
  <c r="L102" i="5"/>
  <c r="K102" i="5"/>
  <c r="I102" i="5"/>
  <c r="H102" i="5"/>
  <c r="F102" i="5"/>
  <c r="E102" i="5"/>
  <c r="M102" i="5" s="1"/>
  <c r="C102" i="5"/>
  <c r="B102" i="5"/>
  <c r="Q101" i="5"/>
  <c r="S101" i="5" s="1"/>
  <c r="P101" i="5"/>
  <c r="R101" i="5" s="1"/>
  <c r="L101" i="5"/>
  <c r="K101" i="5"/>
  <c r="I101" i="5"/>
  <c r="H101" i="5"/>
  <c r="F101" i="5"/>
  <c r="E101" i="5"/>
  <c r="C101" i="5"/>
  <c r="B101" i="5"/>
  <c r="Q100" i="5"/>
  <c r="S100" i="5" s="1"/>
  <c r="P100" i="5"/>
  <c r="R100" i="5" s="1"/>
  <c r="L100" i="5"/>
  <c r="K100" i="5"/>
  <c r="I100" i="5"/>
  <c r="H100" i="5"/>
  <c r="M100" i="5" s="1"/>
  <c r="F100" i="5"/>
  <c r="E100" i="5"/>
  <c r="C100" i="5"/>
  <c r="B100" i="5"/>
  <c r="Q99" i="5"/>
  <c r="S99" i="5" s="1"/>
  <c r="P99" i="5"/>
  <c r="R99" i="5" s="1"/>
  <c r="L99" i="5"/>
  <c r="K99" i="5"/>
  <c r="I99" i="5"/>
  <c r="H99" i="5"/>
  <c r="F99" i="5"/>
  <c r="E99" i="5"/>
  <c r="C99" i="5"/>
  <c r="B99" i="5"/>
  <c r="Q98" i="5"/>
  <c r="S98" i="5" s="1"/>
  <c r="P98" i="5"/>
  <c r="R98" i="5" s="1"/>
  <c r="L98" i="5"/>
  <c r="K98" i="5"/>
  <c r="I98" i="5"/>
  <c r="H98" i="5"/>
  <c r="F98" i="5"/>
  <c r="E98" i="5"/>
  <c r="C98" i="5"/>
  <c r="B98" i="5"/>
  <c r="Q97" i="5"/>
  <c r="S97" i="5" s="1"/>
  <c r="P97" i="5"/>
  <c r="R97" i="5" s="1"/>
  <c r="L97" i="5"/>
  <c r="K97" i="5"/>
  <c r="I97" i="5"/>
  <c r="H97" i="5"/>
  <c r="F97" i="5"/>
  <c r="E97" i="5"/>
  <c r="C97" i="5"/>
  <c r="B97" i="5"/>
  <c r="Q96" i="5"/>
  <c r="S96" i="5" s="1"/>
  <c r="P96" i="5"/>
  <c r="R96" i="5" s="1"/>
  <c r="L96" i="5"/>
  <c r="K96" i="5"/>
  <c r="I96" i="5"/>
  <c r="H96" i="5"/>
  <c r="F96" i="5"/>
  <c r="N96" i="5" s="1"/>
  <c r="AA96" i="5" s="1"/>
  <c r="E96" i="5"/>
  <c r="M96" i="5" s="1"/>
  <c r="Y96" i="5" s="1"/>
  <c r="C96" i="5"/>
  <c r="B96" i="5"/>
  <c r="R95" i="5"/>
  <c r="Q95" i="5"/>
  <c r="S95" i="5" s="1"/>
  <c r="P95" i="5"/>
  <c r="L95" i="5"/>
  <c r="K95" i="5"/>
  <c r="I95" i="5"/>
  <c r="H95" i="5"/>
  <c r="F95" i="5"/>
  <c r="E95" i="5"/>
  <c r="C95" i="5"/>
  <c r="B95" i="5"/>
  <c r="Q94" i="5"/>
  <c r="S94" i="5" s="1"/>
  <c r="P94" i="5"/>
  <c r="R94" i="5" s="1"/>
  <c r="L94" i="5"/>
  <c r="K94" i="5"/>
  <c r="I94" i="5"/>
  <c r="H94" i="5"/>
  <c r="F94" i="5"/>
  <c r="E94" i="5"/>
  <c r="C94" i="5"/>
  <c r="B94" i="5"/>
  <c r="Q93" i="5"/>
  <c r="S93" i="5" s="1"/>
  <c r="P93" i="5"/>
  <c r="R93" i="5" s="1"/>
  <c r="L93" i="5"/>
  <c r="K93" i="5"/>
  <c r="I93" i="5"/>
  <c r="H93" i="5"/>
  <c r="F93" i="5"/>
  <c r="N93" i="5" s="1"/>
  <c r="E93" i="5"/>
  <c r="C93" i="5"/>
  <c r="B93" i="5"/>
  <c r="Q92" i="5"/>
  <c r="S92" i="5" s="1"/>
  <c r="P92" i="5"/>
  <c r="R92" i="5" s="1"/>
  <c r="L92" i="5"/>
  <c r="K92" i="5"/>
  <c r="I92" i="5"/>
  <c r="H92" i="5"/>
  <c r="F92" i="5"/>
  <c r="E92" i="5"/>
  <c r="C92" i="5"/>
  <c r="B92" i="5"/>
  <c r="Q91" i="5"/>
  <c r="S91" i="5" s="1"/>
  <c r="P91" i="5"/>
  <c r="R91" i="5" s="1"/>
  <c r="L91" i="5"/>
  <c r="K91" i="5"/>
  <c r="I91" i="5"/>
  <c r="H91" i="5"/>
  <c r="F91" i="5"/>
  <c r="E91" i="5"/>
  <c r="C91" i="5"/>
  <c r="B91" i="5"/>
  <c r="Q90" i="5"/>
  <c r="S90" i="5" s="1"/>
  <c r="P90" i="5"/>
  <c r="R90" i="5" s="1"/>
  <c r="L90" i="5"/>
  <c r="K90" i="5"/>
  <c r="I90" i="5"/>
  <c r="H90" i="5"/>
  <c r="F90" i="5"/>
  <c r="E90" i="5"/>
  <c r="C90" i="5"/>
  <c r="B90" i="5"/>
  <c r="Q89" i="5"/>
  <c r="S89" i="5" s="1"/>
  <c r="P89" i="5"/>
  <c r="R89" i="5" s="1"/>
  <c r="L89" i="5"/>
  <c r="K89" i="5"/>
  <c r="I89" i="5"/>
  <c r="H89" i="5"/>
  <c r="F89" i="5"/>
  <c r="E89" i="5"/>
  <c r="C89" i="5"/>
  <c r="B89" i="5"/>
  <c r="Q88" i="5"/>
  <c r="S88" i="5" s="1"/>
  <c r="P88" i="5"/>
  <c r="R88" i="5" s="1"/>
  <c r="L88" i="5"/>
  <c r="K88" i="5"/>
  <c r="I88" i="5"/>
  <c r="H88" i="5"/>
  <c r="M88" i="5" s="1"/>
  <c r="F88" i="5"/>
  <c r="E88" i="5"/>
  <c r="C88" i="5"/>
  <c r="B88" i="5"/>
  <c r="Q87" i="5"/>
  <c r="S87" i="5" s="1"/>
  <c r="P87" i="5"/>
  <c r="R87" i="5" s="1"/>
  <c r="M87" i="5"/>
  <c r="L87" i="5"/>
  <c r="K87" i="5"/>
  <c r="I87" i="5"/>
  <c r="H87" i="5"/>
  <c r="F87" i="5"/>
  <c r="E87" i="5"/>
  <c r="C87" i="5"/>
  <c r="B87" i="5"/>
  <c r="Q86" i="5"/>
  <c r="S86" i="5" s="1"/>
  <c r="P86" i="5"/>
  <c r="R86" i="5" s="1"/>
  <c r="L86" i="5"/>
  <c r="K86" i="5"/>
  <c r="I86" i="5"/>
  <c r="H86" i="5"/>
  <c r="F86" i="5"/>
  <c r="E86" i="5"/>
  <c r="C86" i="5"/>
  <c r="B86" i="5"/>
  <c r="S85" i="5"/>
  <c r="Q85" i="5"/>
  <c r="P85" i="5"/>
  <c r="R85" i="5" s="1"/>
  <c r="L85" i="5"/>
  <c r="K85" i="5"/>
  <c r="I85" i="5"/>
  <c r="H85" i="5"/>
  <c r="F85" i="5"/>
  <c r="E85" i="5"/>
  <c r="C85" i="5"/>
  <c r="B85" i="5"/>
  <c r="Q84" i="5"/>
  <c r="S84" i="5" s="1"/>
  <c r="P84" i="5"/>
  <c r="R84" i="5" s="1"/>
  <c r="L84" i="5"/>
  <c r="K84" i="5"/>
  <c r="I84" i="5"/>
  <c r="H84" i="5"/>
  <c r="F84" i="5"/>
  <c r="E84" i="5"/>
  <c r="C84" i="5"/>
  <c r="B84" i="5"/>
  <c r="Q83" i="5"/>
  <c r="S83" i="5" s="1"/>
  <c r="P83" i="5"/>
  <c r="R83" i="5" s="1"/>
  <c r="L83" i="5"/>
  <c r="K83" i="5"/>
  <c r="I83" i="5"/>
  <c r="H83" i="5"/>
  <c r="F83" i="5"/>
  <c r="E83" i="5"/>
  <c r="C83" i="5"/>
  <c r="B83" i="5"/>
  <c r="Q82" i="5"/>
  <c r="S82" i="5" s="1"/>
  <c r="P82" i="5"/>
  <c r="R82" i="5" s="1"/>
  <c r="L82" i="5"/>
  <c r="K82" i="5"/>
  <c r="I82" i="5"/>
  <c r="H82" i="5"/>
  <c r="F82" i="5"/>
  <c r="E82" i="5"/>
  <c r="C82" i="5"/>
  <c r="B82" i="5"/>
  <c r="Q81" i="5"/>
  <c r="S81" i="5" s="1"/>
  <c r="P81" i="5"/>
  <c r="R81" i="5" s="1"/>
  <c r="L81" i="5"/>
  <c r="K81" i="5"/>
  <c r="I81" i="5"/>
  <c r="H81" i="5"/>
  <c r="F81" i="5"/>
  <c r="E81" i="5"/>
  <c r="M81" i="5" s="1"/>
  <c r="Y81" i="5" s="1"/>
  <c r="C81" i="5"/>
  <c r="B81" i="5"/>
  <c r="Q80" i="5"/>
  <c r="S80" i="5" s="1"/>
  <c r="P80" i="5"/>
  <c r="R80" i="5" s="1"/>
  <c r="M80" i="5"/>
  <c r="L80" i="5"/>
  <c r="K80" i="5"/>
  <c r="I80" i="5"/>
  <c r="H80" i="5"/>
  <c r="F80" i="5"/>
  <c r="E80" i="5"/>
  <c r="C80" i="5"/>
  <c r="B80" i="5"/>
  <c r="R79" i="5"/>
  <c r="Q79" i="5"/>
  <c r="S79" i="5" s="1"/>
  <c r="P79" i="5"/>
  <c r="L79" i="5"/>
  <c r="K79" i="5"/>
  <c r="I79" i="5"/>
  <c r="H79" i="5"/>
  <c r="F79" i="5"/>
  <c r="E79" i="5"/>
  <c r="C79" i="5"/>
  <c r="B79" i="5"/>
  <c r="Q78" i="5"/>
  <c r="S78" i="5" s="1"/>
  <c r="P78" i="5"/>
  <c r="R78" i="5" s="1"/>
  <c r="L78" i="5"/>
  <c r="K78" i="5"/>
  <c r="I78" i="5"/>
  <c r="H78" i="5"/>
  <c r="F78" i="5"/>
  <c r="N78" i="5" s="1"/>
  <c r="E78" i="5"/>
  <c r="C78" i="5"/>
  <c r="B78" i="5"/>
  <c r="Q77" i="5"/>
  <c r="S77" i="5" s="1"/>
  <c r="P77" i="5"/>
  <c r="R77" i="5" s="1"/>
  <c r="L77" i="5"/>
  <c r="K77" i="5"/>
  <c r="I77" i="5"/>
  <c r="H77" i="5"/>
  <c r="F77" i="5"/>
  <c r="E77" i="5"/>
  <c r="C77" i="5"/>
  <c r="B77" i="5"/>
  <c r="Q76" i="5"/>
  <c r="S76" i="5" s="1"/>
  <c r="P76" i="5"/>
  <c r="R76" i="5" s="1"/>
  <c r="L76" i="5"/>
  <c r="K76" i="5"/>
  <c r="I76" i="5"/>
  <c r="H76" i="5"/>
  <c r="F76" i="5"/>
  <c r="N76" i="5" s="1"/>
  <c r="E76" i="5"/>
  <c r="C76" i="5"/>
  <c r="B76" i="5"/>
  <c r="Q75" i="5"/>
  <c r="S75" i="5" s="1"/>
  <c r="P75" i="5"/>
  <c r="R75" i="5" s="1"/>
  <c r="L75" i="5"/>
  <c r="K75" i="5"/>
  <c r="I75" i="5"/>
  <c r="H75" i="5"/>
  <c r="F75" i="5"/>
  <c r="N75" i="5" s="1"/>
  <c r="AA75" i="5" s="1"/>
  <c r="E75" i="5"/>
  <c r="C75" i="5"/>
  <c r="B75" i="5"/>
  <c r="Q74" i="5"/>
  <c r="S74" i="5" s="1"/>
  <c r="P74" i="5"/>
  <c r="R74" i="5" s="1"/>
  <c r="L74" i="5"/>
  <c r="K74" i="5"/>
  <c r="I74" i="5"/>
  <c r="H74" i="5"/>
  <c r="F74" i="5"/>
  <c r="E74" i="5"/>
  <c r="C74" i="5"/>
  <c r="B74" i="5"/>
  <c r="Q73" i="5"/>
  <c r="S73" i="5" s="1"/>
  <c r="P73" i="5"/>
  <c r="R73" i="5" s="1"/>
  <c r="L73" i="5"/>
  <c r="K73" i="5"/>
  <c r="I73" i="5"/>
  <c r="H73" i="5"/>
  <c r="F73" i="5"/>
  <c r="E73" i="5"/>
  <c r="M73" i="5" s="1"/>
  <c r="C73" i="5"/>
  <c r="B73" i="5"/>
  <c r="Q72" i="5"/>
  <c r="S72" i="5" s="1"/>
  <c r="P72" i="5"/>
  <c r="R72" i="5" s="1"/>
  <c r="L72" i="5"/>
  <c r="K72" i="5"/>
  <c r="I72" i="5"/>
  <c r="H72" i="5"/>
  <c r="F72" i="5"/>
  <c r="E72" i="5"/>
  <c r="C72" i="5"/>
  <c r="B72" i="5"/>
  <c r="Q71" i="5"/>
  <c r="S71" i="5" s="1"/>
  <c r="P71" i="5"/>
  <c r="R71" i="5" s="1"/>
  <c r="L71" i="5"/>
  <c r="K71" i="5"/>
  <c r="I71" i="5"/>
  <c r="H71" i="5"/>
  <c r="F71" i="5"/>
  <c r="E71" i="5"/>
  <c r="C71" i="5"/>
  <c r="B71" i="5"/>
  <c r="Q70" i="5"/>
  <c r="S70" i="5" s="1"/>
  <c r="P70" i="5"/>
  <c r="R70" i="5" s="1"/>
  <c r="L70" i="5"/>
  <c r="K70" i="5"/>
  <c r="I70" i="5"/>
  <c r="H70" i="5"/>
  <c r="F70" i="5"/>
  <c r="E70" i="5"/>
  <c r="C70" i="5"/>
  <c r="B70" i="5"/>
  <c r="S69" i="5"/>
  <c r="Q69" i="5"/>
  <c r="P69" i="5"/>
  <c r="R69" i="5" s="1"/>
  <c r="L69" i="5"/>
  <c r="K69" i="5"/>
  <c r="I69" i="5"/>
  <c r="H69" i="5"/>
  <c r="F69" i="5"/>
  <c r="N69" i="5" s="1"/>
  <c r="E69" i="5"/>
  <c r="C69" i="5"/>
  <c r="B69" i="5"/>
  <c r="Q68" i="5"/>
  <c r="S68" i="5" s="1"/>
  <c r="P68" i="5"/>
  <c r="R68" i="5" s="1"/>
  <c r="L68" i="5"/>
  <c r="K68" i="5"/>
  <c r="I68" i="5"/>
  <c r="H68" i="5"/>
  <c r="F68" i="5"/>
  <c r="E68" i="5"/>
  <c r="C68" i="5"/>
  <c r="B68" i="5"/>
  <c r="Q67" i="5"/>
  <c r="S67" i="5" s="1"/>
  <c r="P67" i="5"/>
  <c r="R67" i="5" s="1"/>
  <c r="L67" i="5"/>
  <c r="K67" i="5"/>
  <c r="I67" i="5"/>
  <c r="H67" i="5"/>
  <c r="F67" i="5"/>
  <c r="E67" i="5"/>
  <c r="M67" i="5" s="1"/>
  <c r="C67" i="5"/>
  <c r="B67" i="5"/>
  <c r="Q66" i="5"/>
  <c r="S66" i="5" s="1"/>
  <c r="P66" i="5"/>
  <c r="R66" i="5" s="1"/>
  <c r="L66" i="5"/>
  <c r="K66" i="5"/>
  <c r="I66" i="5"/>
  <c r="H66" i="5"/>
  <c r="F66" i="5"/>
  <c r="N66" i="5" s="1"/>
  <c r="E66" i="5"/>
  <c r="C66" i="5"/>
  <c r="B66" i="5"/>
  <c r="Q65" i="5"/>
  <c r="S65" i="5" s="1"/>
  <c r="P65" i="5"/>
  <c r="R65" i="5" s="1"/>
  <c r="L65" i="5"/>
  <c r="K65" i="5"/>
  <c r="I65" i="5"/>
  <c r="H65" i="5"/>
  <c r="F65" i="5"/>
  <c r="E65" i="5"/>
  <c r="C65" i="5"/>
  <c r="B65" i="5"/>
  <c r="Q64" i="5"/>
  <c r="S64" i="5" s="1"/>
  <c r="P64" i="5"/>
  <c r="R64" i="5" s="1"/>
  <c r="L64" i="5"/>
  <c r="K64" i="5"/>
  <c r="I64" i="5"/>
  <c r="H64" i="5"/>
  <c r="F64" i="5"/>
  <c r="E64" i="5"/>
  <c r="M64" i="5" s="1"/>
  <c r="C64" i="5"/>
  <c r="B64" i="5"/>
  <c r="R63" i="5"/>
  <c r="Q63" i="5"/>
  <c r="S63" i="5" s="1"/>
  <c r="P63" i="5"/>
  <c r="L63" i="5"/>
  <c r="K63" i="5"/>
  <c r="I63" i="5"/>
  <c r="H63" i="5"/>
  <c r="F63" i="5"/>
  <c r="E63" i="5"/>
  <c r="C63" i="5"/>
  <c r="B63" i="5"/>
  <c r="Q62" i="5"/>
  <c r="S62" i="5" s="1"/>
  <c r="P62" i="5"/>
  <c r="R62" i="5" s="1"/>
  <c r="L62" i="5"/>
  <c r="K62" i="5"/>
  <c r="I62" i="5"/>
  <c r="H62" i="5"/>
  <c r="F62" i="5"/>
  <c r="E62" i="5"/>
  <c r="C62" i="5"/>
  <c r="B62" i="5"/>
  <c r="Q61" i="5"/>
  <c r="S61" i="5" s="1"/>
  <c r="P61" i="5"/>
  <c r="R61" i="5" s="1"/>
  <c r="L61" i="5"/>
  <c r="K61" i="5"/>
  <c r="I61" i="5"/>
  <c r="N61" i="5" s="1"/>
  <c r="H61" i="5"/>
  <c r="F61" i="5"/>
  <c r="E61" i="5"/>
  <c r="M61" i="5" s="1"/>
  <c r="C61" i="5"/>
  <c r="B61" i="5"/>
  <c r="R60" i="5"/>
  <c r="Q60" i="5"/>
  <c r="S60" i="5" s="1"/>
  <c r="P60" i="5"/>
  <c r="L60" i="5"/>
  <c r="K60" i="5"/>
  <c r="I60" i="5"/>
  <c r="H60" i="5"/>
  <c r="F60" i="5"/>
  <c r="E60" i="5"/>
  <c r="C60" i="5"/>
  <c r="B60" i="5"/>
  <c r="Q59" i="5"/>
  <c r="S59" i="5" s="1"/>
  <c r="P59" i="5"/>
  <c r="R59" i="5" s="1"/>
  <c r="L59" i="5"/>
  <c r="K59" i="5"/>
  <c r="I59" i="5"/>
  <c r="H59" i="5"/>
  <c r="F59" i="5"/>
  <c r="E59" i="5"/>
  <c r="C59" i="5"/>
  <c r="B59" i="5"/>
  <c r="Q58" i="5"/>
  <c r="S58" i="5" s="1"/>
  <c r="P58" i="5"/>
  <c r="R58" i="5" s="1"/>
  <c r="L58" i="5"/>
  <c r="K58" i="5"/>
  <c r="I58" i="5"/>
  <c r="H58" i="5"/>
  <c r="F58" i="5"/>
  <c r="E58" i="5"/>
  <c r="C58" i="5"/>
  <c r="B58" i="5"/>
  <c r="Q57" i="5"/>
  <c r="S57" i="5" s="1"/>
  <c r="P57" i="5"/>
  <c r="R57" i="5" s="1"/>
  <c r="L57" i="5"/>
  <c r="K57" i="5"/>
  <c r="I57" i="5"/>
  <c r="H57" i="5"/>
  <c r="F57" i="5"/>
  <c r="E57" i="5"/>
  <c r="C57" i="5"/>
  <c r="B57" i="5"/>
  <c r="R56" i="5"/>
  <c r="Q56" i="5"/>
  <c r="S56" i="5" s="1"/>
  <c r="P56" i="5"/>
  <c r="L56" i="5"/>
  <c r="K56" i="5"/>
  <c r="I56" i="5"/>
  <c r="H56" i="5"/>
  <c r="F56" i="5"/>
  <c r="E56" i="5"/>
  <c r="C56" i="5"/>
  <c r="B56" i="5"/>
  <c r="R55" i="5"/>
  <c r="Q55" i="5"/>
  <c r="S55" i="5" s="1"/>
  <c r="P55" i="5"/>
  <c r="L55" i="5"/>
  <c r="K55" i="5"/>
  <c r="I55" i="5"/>
  <c r="H55" i="5"/>
  <c r="F55" i="5"/>
  <c r="E55" i="5"/>
  <c r="C55" i="5"/>
  <c r="B55" i="5"/>
  <c r="Q54" i="5"/>
  <c r="S54" i="5" s="1"/>
  <c r="P54" i="5"/>
  <c r="R54" i="5" s="1"/>
  <c r="L54" i="5"/>
  <c r="K54" i="5"/>
  <c r="I54" i="5"/>
  <c r="H54" i="5"/>
  <c r="F54" i="5"/>
  <c r="E54" i="5"/>
  <c r="C54" i="5"/>
  <c r="B54" i="5"/>
  <c r="Q53" i="5"/>
  <c r="S53" i="5" s="1"/>
  <c r="P53" i="5"/>
  <c r="R53" i="5" s="1"/>
  <c r="L53" i="5"/>
  <c r="K53" i="5"/>
  <c r="I53" i="5"/>
  <c r="H53" i="5"/>
  <c r="F53" i="5"/>
  <c r="N53" i="5" s="1"/>
  <c r="E53" i="5"/>
  <c r="C53" i="5"/>
  <c r="B53" i="5"/>
  <c r="Q52" i="5"/>
  <c r="S52" i="5" s="1"/>
  <c r="P52" i="5"/>
  <c r="R52" i="5" s="1"/>
  <c r="L52" i="5"/>
  <c r="K52" i="5"/>
  <c r="I52" i="5"/>
  <c r="H52" i="5"/>
  <c r="F52" i="5"/>
  <c r="E52" i="5"/>
  <c r="M52" i="5" s="1"/>
  <c r="C52" i="5"/>
  <c r="B52" i="5"/>
  <c r="Q51" i="5"/>
  <c r="S51" i="5" s="1"/>
  <c r="P51" i="5"/>
  <c r="R51" i="5" s="1"/>
  <c r="L51" i="5"/>
  <c r="K51" i="5"/>
  <c r="I51" i="5"/>
  <c r="H51" i="5"/>
  <c r="F51" i="5"/>
  <c r="E51" i="5"/>
  <c r="C51" i="5"/>
  <c r="B51" i="5"/>
  <c r="Q50" i="5"/>
  <c r="S50" i="5" s="1"/>
  <c r="P50" i="5"/>
  <c r="R50" i="5" s="1"/>
  <c r="L50" i="5"/>
  <c r="K50" i="5"/>
  <c r="I50" i="5"/>
  <c r="H50" i="5"/>
  <c r="F50" i="5"/>
  <c r="E50" i="5"/>
  <c r="M50" i="5" s="1"/>
  <c r="C50" i="5"/>
  <c r="B50" i="5"/>
  <c r="R49" i="5"/>
  <c r="Q49" i="5"/>
  <c r="S49" i="5" s="1"/>
  <c r="P49" i="5"/>
  <c r="L49" i="5"/>
  <c r="K49" i="5"/>
  <c r="I49" i="5"/>
  <c r="H49" i="5"/>
  <c r="F49" i="5"/>
  <c r="E49" i="5"/>
  <c r="C49" i="5"/>
  <c r="B49" i="5"/>
  <c r="Q48" i="5"/>
  <c r="S48" i="5" s="1"/>
  <c r="P48" i="5"/>
  <c r="R48" i="5" s="1"/>
  <c r="N48" i="5"/>
  <c r="AA48" i="5" s="1"/>
  <c r="L48" i="5"/>
  <c r="K48" i="5"/>
  <c r="I48" i="5"/>
  <c r="H48" i="5"/>
  <c r="M48" i="5" s="1"/>
  <c r="F48" i="5"/>
  <c r="E48" i="5"/>
  <c r="C48" i="5"/>
  <c r="B48" i="5"/>
  <c r="Q47" i="5"/>
  <c r="S47" i="5" s="1"/>
  <c r="P47" i="5"/>
  <c r="R47" i="5" s="1"/>
  <c r="L47" i="5"/>
  <c r="K47" i="5"/>
  <c r="I47" i="5"/>
  <c r="H47" i="5"/>
  <c r="F47" i="5"/>
  <c r="E47" i="5"/>
  <c r="C47" i="5"/>
  <c r="B47" i="5"/>
  <c r="Q46" i="5"/>
  <c r="S46" i="5" s="1"/>
  <c r="P46" i="5"/>
  <c r="R46" i="5" s="1"/>
  <c r="L46" i="5"/>
  <c r="K46" i="5"/>
  <c r="I46" i="5"/>
  <c r="H46" i="5"/>
  <c r="F46" i="5"/>
  <c r="E46" i="5"/>
  <c r="C46" i="5"/>
  <c r="B46" i="5"/>
  <c r="Q45" i="5"/>
  <c r="S45" i="5" s="1"/>
  <c r="P45" i="5"/>
  <c r="R45" i="5" s="1"/>
  <c r="L45" i="5"/>
  <c r="K45" i="5"/>
  <c r="I45" i="5"/>
  <c r="H45" i="5"/>
  <c r="F45" i="5"/>
  <c r="E45" i="5"/>
  <c r="C45" i="5"/>
  <c r="B45" i="5"/>
  <c r="Q44" i="5"/>
  <c r="S44" i="5" s="1"/>
  <c r="P44" i="5"/>
  <c r="R44" i="5" s="1"/>
  <c r="L44" i="5"/>
  <c r="K44" i="5"/>
  <c r="I44" i="5"/>
  <c r="H44" i="5"/>
  <c r="F44" i="5"/>
  <c r="N44" i="5" s="1"/>
  <c r="AA44" i="5" s="1"/>
  <c r="E44" i="5"/>
  <c r="C44" i="5"/>
  <c r="B44" i="5"/>
  <c r="Q43" i="5"/>
  <c r="S43" i="5" s="1"/>
  <c r="P43" i="5"/>
  <c r="R43" i="5" s="1"/>
  <c r="L43" i="5"/>
  <c r="K43" i="5"/>
  <c r="I43" i="5"/>
  <c r="H43" i="5"/>
  <c r="F43" i="5"/>
  <c r="E43" i="5"/>
  <c r="C43" i="5"/>
  <c r="B43" i="5"/>
  <c r="Q42" i="5"/>
  <c r="S42" i="5" s="1"/>
  <c r="P42" i="5"/>
  <c r="R42" i="5" s="1"/>
  <c r="L42" i="5"/>
  <c r="K42" i="5"/>
  <c r="I42" i="5"/>
  <c r="H42" i="5"/>
  <c r="F42" i="5"/>
  <c r="E42" i="5"/>
  <c r="C42" i="5"/>
  <c r="B42" i="5"/>
  <c r="Q41" i="5"/>
  <c r="S41" i="5" s="1"/>
  <c r="P41" i="5"/>
  <c r="R41" i="5" s="1"/>
  <c r="L41" i="5"/>
  <c r="K41" i="5"/>
  <c r="I41" i="5"/>
  <c r="H41" i="5"/>
  <c r="F41" i="5"/>
  <c r="E41" i="5"/>
  <c r="C41" i="5"/>
  <c r="B41" i="5"/>
  <c r="Q40" i="5"/>
  <c r="S40" i="5" s="1"/>
  <c r="P40" i="5"/>
  <c r="R40" i="5" s="1"/>
  <c r="L40" i="5"/>
  <c r="K40" i="5"/>
  <c r="I40" i="5"/>
  <c r="H40" i="5"/>
  <c r="F40" i="5"/>
  <c r="E40" i="5"/>
  <c r="C40" i="5"/>
  <c r="B40" i="5"/>
  <c r="Q39" i="5"/>
  <c r="S39" i="5" s="1"/>
  <c r="P39" i="5"/>
  <c r="R39" i="5" s="1"/>
  <c r="L39" i="5"/>
  <c r="K39" i="5"/>
  <c r="I39" i="5"/>
  <c r="H39" i="5"/>
  <c r="F39" i="5"/>
  <c r="E39" i="5"/>
  <c r="C39" i="5"/>
  <c r="B39" i="5"/>
  <c r="Q38" i="5"/>
  <c r="S38" i="5" s="1"/>
  <c r="P38" i="5"/>
  <c r="R38" i="5" s="1"/>
  <c r="L38" i="5"/>
  <c r="K38" i="5"/>
  <c r="I38" i="5"/>
  <c r="H38" i="5"/>
  <c r="F38" i="5"/>
  <c r="E38" i="5"/>
  <c r="C38" i="5"/>
  <c r="B38" i="5"/>
  <c r="Q37" i="5"/>
  <c r="S37" i="5" s="1"/>
  <c r="P37" i="5"/>
  <c r="R37" i="5" s="1"/>
  <c r="L37" i="5"/>
  <c r="K37" i="5"/>
  <c r="I37" i="5"/>
  <c r="H37" i="5"/>
  <c r="F37" i="5"/>
  <c r="N37" i="5" s="1"/>
  <c r="AA37" i="5" s="1"/>
  <c r="E37" i="5"/>
  <c r="C37" i="5"/>
  <c r="B37" i="5"/>
  <c r="Q36" i="5"/>
  <c r="S36" i="5" s="1"/>
  <c r="P36" i="5"/>
  <c r="R36" i="5" s="1"/>
  <c r="L36" i="5"/>
  <c r="K36" i="5"/>
  <c r="I36" i="5"/>
  <c r="H36" i="5"/>
  <c r="F36" i="5"/>
  <c r="E36" i="5"/>
  <c r="C36" i="5"/>
  <c r="B36" i="5"/>
  <c r="Q35" i="5"/>
  <c r="S35" i="5" s="1"/>
  <c r="P35" i="5"/>
  <c r="R35" i="5" s="1"/>
  <c r="L35" i="5"/>
  <c r="K35" i="5"/>
  <c r="I35" i="5"/>
  <c r="H35" i="5"/>
  <c r="F35" i="5"/>
  <c r="E35" i="5"/>
  <c r="C35" i="5"/>
  <c r="B35" i="5"/>
  <c r="Q34" i="5"/>
  <c r="S34" i="5" s="1"/>
  <c r="P34" i="5"/>
  <c r="R34" i="5" s="1"/>
  <c r="L34" i="5"/>
  <c r="K34" i="5"/>
  <c r="I34" i="5"/>
  <c r="H34" i="5"/>
  <c r="F34" i="5"/>
  <c r="E34" i="5"/>
  <c r="C34" i="5"/>
  <c r="B34" i="5"/>
  <c r="Q33" i="5"/>
  <c r="S33" i="5" s="1"/>
  <c r="P33" i="5"/>
  <c r="R33" i="5" s="1"/>
  <c r="L33" i="5"/>
  <c r="K33" i="5"/>
  <c r="I33" i="5"/>
  <c r="H33" i="5"/>
  <c r="F33" i="5"/>
  <c r="E33" i="5"/>
  <c r="C33" i="5"/>
  <c r="B33" i="5"/>
  <c r="Q32" i="5"/>
  <c r="S32" i="5" s="1"/>
  <c r="P32" i="5"/>
  <c r="R32" i="5" s="1"/>
  <c r="L32" i="5"/>
  <c r="K32" i="5"/>
  <c r="I32" i="5"/>
  <c r="H32" i="5"/>
  <c r="F32" i="5"/>
  <c r="E32" i="5"/>
  <c r="C32" i="5"/>
  <c r="B32" i="5"/>
  <c r="Q31" i="5"/>
  <c r="S31" i="5" s="1"/>
  <c r="P31" i="5"/>
  <c r="R31" i="5" s="1"/>
  <c r="L31" i="5"/>
  <c r="K31" i="5"/>
  <c r="I31" i="5"/>
  <c r="H31" i="5"/>
  <c r="F31" i="5"/>
  <c r="E31" i="5"/>
  <c r="C31" i="5"/>
  <c r="B31" i="5"/>
  <c r="Q30" i="5"/>
  <c r="S30" i="5" s="1"/>
  <c r="P30" i="5"/>
  <c r="R30" i="5" s="1"/>
  <c r="L30" i="5"/>
  <c r="K30" i="5"/>
  <c r="I30" i="5"/>
  <c r="H30" i="5"/>
  <c r="F30" i="5"/>
  <c r="N30" i="5" s="1"/>
  <c r="E30" i="5"/>
  <c r="M30" i="5" s="1"/>
  <c r="C30" i="5"/>
  <c r="B30" i="5"/>
  <c r="Q29" i="5"/>
  <c r="S29" i="5" s="1"/>
  <c r="P29" i="5"/>
  <c r="R29" i="5" s="1"/>
  <c r="L29" i="5"/>
  <c r="K29" i="5"/>
  <c r="I29" i="5"/>
  <c r="H29" i="5"/>
  <c r="F29" i="5"/>
  <c r="E29" i="5"/>
  <c r="C29" i="5"/>
  <c r="B29" i="5"/>
  <c r="Q28" i="5"/>
  <c r="S28" i="5" s="1"/>
  <c r="P28" i="5"/>
  <c r="R28" i="5" s="1"/>
  <c r="L28" i="5"/>
  <c r="K28" i="5"/>
  <c r="I28" i="5"/>
  <c r="H28" i="5"/>
  <c r="F28" i="5"/>
  <c r="E28" i="5"/>
  <c r="C28" i="5"/>
  <c r="B28" i="5"/>
  <c r="Q27" i="5"/>
  <c r="S27" i="5" s="1"/>
  <c r="P27" i="5"/>
  <c r="R27" i="5" s="1"/>
  <c r="L27" i="5"/>
  <c r="K27" i="5"/>
  <c r="I27" i="5"/>
  <c r="H27" i="5"/>
  <c r="F27" i="5"/>
  <c r="E27" i="5"/>
  <c r="C27" i="5"/>
  <c r="B27" i="5"/>
  <c r="Q26" i="5"/>
  <c r="S26" i="5" s="1"/>
  <c r="P26" i="5"/>
  <c r="R26" i="5" s="1"/>
  <c r="L26" i="5"/>
  <c r="K26" i="5"/>
  <c r="I26" i="5"/>
  <c r="H26" i="5"/>
  <c r="F26" i="5"/>
  <c r="N26" i="5" s="1"/>
  <c r="AA26" i="5" s="1"/>
  <c r="E26" i="5"/>
  <c r="C26" i="5"/>
  <c r="B26" i="5"/>
  <c r="Q25" i="5"/>
  <c r="S25" i="5" s="1"/>
  <c r="P25" i="5"/>
  <c r="R25" i="5" s="1"/>
  <c r="L25" i="5"/>
  <c r="K25" i="5"/>
  <c r="I25" i="5"/>
  <c r="H25" i="5"/>
  <c r="F25" i="5"/>
  <c r="E25" i="5"/>
  <c r="C25" i="5"/>
  <c r="B25" i="5"/>
  <c r="Q24" i="5"/>
  <c r="S24" i="5" s="1"/>
  <c r="P24" i="5"/>
  <c r="R24" i="5" s="1"/>
  <c r="L24" i="5"/>
  <c r="K24" i="5"/>
  <c r="I24" i="5"/>
  <c r="H24" i="5"/>
  <c r="F24" i="5"/>
  <c r="E24" i="5"/>
  <c r="C24" i="5"/>
  <c r="B24" i="5"/>
  <c r="Q23" i="5"/>
  <c r="S23" i="5" s="1"/>
  <c r="P23" i="5"/>
  <c r="R23" i="5" s="1"/>
  <c r="L23" i="5"/>
  <c r="K23" i="5"/>
  <c r="I23" i="5"/>
  <c r="H23" i="5"/>
  <c r="F23" i="5"/>
  <c r="E23" i="5"/>
  <c r="C23" i="5"/>
  <c r="B23" i="5"/>
  <c r="Q22" i="5"/>
  <c r="S22" i="5" s="1"/>
  <c r="P22" i="5"/>
  <c r="R22" i="5" s="1"/>
  <c r="L22" i="5"/>
  <c r="K22" i="5"/>
  <c r="I22" i="5"/>
  <c r="H22" i="5"/>
  <c r="F22" i="5"/>
  <c r="E22" i="5"/>
  <c r="C22" i="5"/>
  <c r="B22" i="5"/>
  <c r="Q21" i="5"/>
  <c r="S21" i="5" s="1"/>
  <c r="P21" i="5"/>
  <c r="R21" i="5" s="1"/>
  <c r="L21" i="5"/>
  <c r="K21" i="5"/>
  <c r="I21" i="5"/>
  <c r="H21" i="5"/>
  <c r="F21" i="5"/>
  <c r="N21" i="5" s="1"/>
  <c r="AA21" i="5" s="1"/>
  <c r="E21" i="5"/>
  <c r="C21" i="5"/>
  <c r="B21" i="5"/>
  <c r="Q20" i="5"/>
  <c r="S20" i="5" s="1"/>
  <c r="P20" i="5"/>
  <c r="R20" i="5" s="1"/>
  <c r="L20" i="5"/>
  <c r="K20" i="5"/>
  <c r="I20" i="5"/>
  <c r="H20" i="5"/>
  <c r="F20" i="5"/>
  <c r="E20" i="5"/>
  <c r="C20" i="5"/>
  <c r="B20" i="5"/>
  <c r="Q19" i="5"/>
  <c r="S19" i="5" s="1"/>
  <c r="P19" i="5"/>
  <c r="R19" i="5" s="1"/>
  <c r="L19" i="5"/>
  <c r="K19" i="5"/>
  <c r="I19" i="5"/>
  <c r="H19" i="5"/>
  <c r="F19" i="5"/>
  <c r="N19" i="5" s="1"/>
  <c r="E19" i="5"/>
  <c r="M19" i="5" s="1"/>
  <c r="C19" i="5"/>
  <c r="B19" i="5"/>
  <c r="Q18" i="5"/>
  <c r="S18" i="5" s="1"/>
  <c r="P18" i="5"/>
  <c r="R18" i="5" s="1"/>
  <c r="L18" i="5"/>
  <c r="K18" i="5"/>
  <c r="I18" i="5"/>
  <c r="H18" i="5"/>
  <c r="F18" i="5"/>
  <c r="E18" i="5"/>
  <c r="C18" i="5"/>
  <c r="B18" i="5"/>
  <c r="Q17" i="5"/>
  <c r="S17" i="5" s="1"/>
  <c r="P17" i="5"/>
  <c r="R17" i="5" s="1"/>
  <c r="L17" i="5"/>
  <c r="K17" i="5"/>
  <c r="I17" i="5"/>
  <c r="H17" i="5"/>
  <c r="F17" i="5"/>
  <c r="E17" i="5"/>
  <c r="C17" i="5"/>
  <c r="B17" i="5"/>
  <c r="Q16" i="5"/>
  <c r="S16" i="5" s="1"/>
  <c r="P16" i="5"/>
  <c r="R16" i="5" s="1"/>
  <c r="L16" i="5"/>
  <c r="K16" i="5"/>
  <c r="I16" i="5"/>
  <c r="H16" i="5"/>
  <c r="F16" i="5"/>
  <c r="E16" i="5"/>
  <c r="M16" i="5" s="1"/>
  <c r="C16" i="5"/>
  <c r="B16" i="5"/>
  <c r="Q15" i="5"/>
  <c r="S15" i="5" s="1"/>
  <c r="P15" i="5"/>
  <c r="R15" i="5" s="1"/>
  <c r="L15" i="5"/>
  <c r="K15" i="5"/>
  <c r="I15" i="5"/>
  <c r="H15" i="5"/>
  <c r="F15" i="5"/>
  <c r="E15" i="5"/>
  <c r="M15" i="5" s="1"/>
  <c r="C15" i="5"/>
  <c r="B15" i="5"/>
  <c r="S14" i="5"/>
  <c r="Q14" i="5"/>
  <c r="P14" i="5"/>
  <c r="R14" i="5" s="1"/>
  <c r="L14" i="5"/>
  <c r="K14" i="5"/>
  <c r="I14" i="5"/>
  <c r="H14" i="5"/>
  <c r="F14" i="5"/>
  <c r="E14" i="5"/>
  <c r="C14" i="5"/>
  <c r="B14" i="5"/>
  <c r="Q13" i="5"/>
  <c r="S13" i="5" s="1"/>
  <c r="P13" i="5"/>
  <c r="R13" i="5" s="1"/>
  <c r="L13" i="5"/>
  <c r="K13" i="5"/>
  <c r="I13" i="5"/>
  <c r="H13" i="5"/>
  <c r="F13" i="5"/>
  <c r="E13" i="5"/>
  <c r="C13" i="5"/>
  <c r="B13" i="5"/>
  <c r="Q12" i="5"/>
  <c r="S12" i="5" s="1"/>
  <c r="P12" i="5"/>
  <c r="R12" i="5" s="1"/>
  <c r="L12" i="5"/>
  <c r="K12" i="5"/>
  <c r="I12" i="5"/>
  <c r="H12" i="5"/>
  <c r="F12" i="5"/>
  <c r="E12" i="5"/>
  <c r="C12" i="5"/>
  <c r="B12" i="5"/>
  <c r="Q11" i="5"/>
  <c r="S11" i="5" s="1"/>
  <c r="P11" i="5"/>
  <c r="R11" i="5" s="1"/>
  <c r="L11" i="5"/>
  <c r="K11" i="5"/>
  <c r="I11" i="5"/>
  <c r="H11" i="5"/>
  <c r="F11" i="5"/>
  <c r="E11" i="5"/>
  <c r="C11" i="5"/>
  <c r="B11" i="5"/>
  <c r="Q10" i="5"/>
  <c r="S10" i="5" s="1"/>
  <c r="P10" i="5"/>
  <c r="R10" i="5" s="1"/>
  <c r="L10" i="5"/>
  <c r="K10" i="5"/>
  <c r="I10" i="5"/>
  <c r="H10" i="5"/>
  <c r="F10" i="5"/>
  <c r="E10" i="5"/>
  <c r="C10" i="5"/>
  <c r="B10" i="5"/>
  <c r="Q9" i="5"/>
  <c r="S9" i="5" s="1"/>
  <c r="P9" i="5"/>
  <c r="R9" i="5" s="1"/>
  <c r="L9" i="5"/>
  <c r="K9" i="5"/>
  <c r="I9" i="5"/>
  <c r="H9" i="5"/>
  <c r="F9" i="5"/>
  <c r="E9" i="5"/>
  <c r="C9" i="5"/>
  <c r="B9" i="5"/>
  <c r="Q8" i="5"/>
  <c r="S8" i="5" s="1"/>
  <c r="P8" i="5"/>
  <c r="R8" i="5" s="1"/>
  <c r="L8" i="5"/>
  <c r="K8" i="5"/>
  <c r="I8" i="5"/>
  <c r="H8" i="5"/>
  <c r="F8" i="5"/>
  <c r="E8" i="5"/>
  <c r="M8" i="5" s="1"/>
  <c r="C8" i="5"/>
  <c r="B8" i="5"/>
  <c r="Q7" i="5"/>
  <c r="S7" i="5" s="1"/>
  <c r="P7" i="5"/>
  <c r="R7" i="5" s="1"/>
  <c r="L7" i="5"/>
  <c r="K7" i="5"/>
  <c r="I7" i="5"/>
  <c r="H7" i="5"/>
  <c r="F7" i="5"/>
  <c r="N7" i="5" s="1"/>
  <c r="E7" i="5"/>
  <c r="C7" i="5"/>
  <c r="B7" i="5"/>
  <c r="Q6" i="5"/>
  <c r="S6" i="5" s="1"/>
  <c r="P6" i="5"/>
  <c r="R6" i="5" s="1"/>
  <c r="L6" i="5"/>
  <c r="K6" i="5"/>
  <c r="I6" i="5"/>
  <c r="H6" i="5"/>
  <c r="F6" i="5"/>
  <c r="E6" i="5"/>
  <c r="C6" i="5"/>
  <c r="B6" i="5"/>
  <c r="Q5" i="5"/>
  <c r="S5" i="5" s="1"/>
  <c r="P5" i="5"/>
  <c r="R5" i="5" s="1"/>
  <c r="M5" i="5"/>
  <c r="L5" i="5"/>
  <c r="K5" i="5"/>
  <c r="I5" i="5"/>
  <c r="H5" i="5"/>
  <c r="F5" i="5"/>
  <c r="E5" i="5"/>
  <c r="C5" i="5"/>
  <c r="B5" i="5"/>
  <c r="R4" i="5"/>
  <c r="Q4" i="5"/>
  <c r="S4" i="5" s="1"/>
  <c r="P4" i="5"/>
  <c r="L4" i="5"/>
  <c r="K4" i="5"/>
  <c r="M4" i="5" s="1"/>
  <c r="I4" i="5"/>
  <c r="H4" i="5"/>
  <c r="F4" i="5"/>
  <c r="N4" i="5" s="1"/>
  <c r="AA4" i="5" s="1"/>
  <c r="E4" i="5"/>
  <c r="C4" i="5"/>
  <c r="B4" i="5"/>
  <c r="Q3" i="5"/>
  <c r="S3" i="5" s="1"/>
  <c r="P3" i="5"/>
  <c r="R3" i="5" s="1"/>
  <c r="L3" i="5"/>
  <c r="K3" i="5"/>
  <c r="I3" i="5"/>
  <c r="H3" i="5"/>
  <c r="F3" i="5"/>
  <c r="E3" i="5"/>
  <c r="C3" i="5"/>
  <c r="B3" i="5"/>
  <c r="Q2" i="5"/>
  <c r="P2" i="5"/>
  <c r="R2" i="5" s="1"/>
  <c r="L2" i="5"/>
  <c r="I2" i="5"/>
  <c r="H2" i="5"/>
  <c r="M2" i="5" s="1"/>
  <c r="F2" i="5"/>
  <c r="N2" i="5" s="1"/>
  <c r="Z2" i="5" s="1"/>
  <c r="C2" i="5"/>
  <c r="B2" i="5"/>
  <c r="R3" i="4"/>
  <c r="D65" i="3"/>
  <c r="M99" i="5" l="1"/>
  <c r="M127" i="5"/>
  <c r="M156" i="5"/>
  <c r="Y156" i="5" s="1"/>
  <c r="N232" i="5"/>
  <c r="M290" i="5"/>
  <c r="Y290" i="5" s="1"/>
  <c r="M307" i="5"/>
  <c r="Y307" i="5" s="1"/>
  <c r="M319" i="5"/>
  <c r="N353" i="5"/>
  <c r="AA353" i="5" s="1"/>
  <c r="N385" i="5"/>
  <c r="Z385" i="5" s="1"/>
  <c r="N388" i="5"/>
  <c r="M405" i="5"/>
  <c r="N426" i="5"/>
  <c r="AA426" i="5" s="1"/>
  <c r="M446" i="5"/>
  <c r="M486" i="5"/>
  <c r="X486" i="5" s="1"/>
  <c r="N501" i="5"/>
  <c r="N515" i="5"/>
  <c r="X20" i="5"/>
  <c r="M62" i="5"/>
  <c r="M144" i="5"/>
  <c r="N176" i="5"/>
  <c r="AA156" i="5"/>
  <c r="N217" i="5"/>
  <c r="Z217" i="5" s="1"/>
  <c r="M339" i="5"/>
  <c r="M373" i="5"/>
  <c r="X373" i="5" s="1"/>
  <c r="N402" i="5"/>
  <c r="AA402" i="5" s="1"/>
  <c r="M443" i="5"/>
  <c r="N446" i="5"/>
  <c r="M466" i="5"/>
  <c r="M500" i="5"/>
  <c r="N509" i="5"/>
  <c r="Z509" i="5" s="1"/>
  <c r="N33" i="5"/>
  <c r="M76" i="5"/>
  <c r="Y76" i="5" s="1"/>
  <c r="N125" i="5"/>
  <c r="N159" i="5"/>
  <c r="AA159" i="5" s="1"/>
  <c r="N194" i="5"/>
  <c r="M202" i="5"/>
  <c r="X64" i="5"/>
  <c r="M136" i="5"/>
  <c r="N268" i="5"/>
  <c r="N113" i="5"/>
  <c r="AA113" i="5" s="1"/>
  <c r="N141" i="5"/>
  <c r="AA141" i="5" s="1"/>
  <c r="N162" i="5"/>
  <c r="N190" i="5"/>
  <c r="M199" i="5"/>
  <c r="N240" i="5"/>
  <c r="M252" i="5"/>
  <c r="Y252" i="5" s="1"/>
  <c r="M265" i="5"/>
  <c r="N327" i="5"/>
  <c r="N339" i="5"/>
  <c r="Z339" i="5" s="1"/>
  <c r="N373" i="5"/>
  <c r="M378" i="5"/>
  <c r="X378" i="5" s="1"/>
  <c r="M390" i="5"/>
  <c r="N466" i="5"/>
  <c r="M469" i="5"/>
  <c r="M494" i="5"/>
  <c r="N506" i="5"/>
  <c r="Z506" i="5" s="1"/>
  <c r="N130" i="5"/>
  <c r="AA130" i="5" s="1"/>
  <c r="M142" i="5"/>
  <c r="N211" i="5"/>
  <c r="N259" i="5"/>
  <c r="AC16" i="5"/>
  <c r="Y67" i="5"/>
  <c r="N5" i="5"/>
  <c r="M11" i="5"/>
  <c r="N24" i="5"/>
  <c r="M35" i="5"/>
  <c r="N64" i="5"/>
  <c r="AA64" i="5" s="1"/>
  <c r="N67" i="5"/>
  <c r="AA67" i="5" s="1"/>
  <c r="M93" i="5"/>
  <c r="M124" i="5"/>
  <c r="N164" i="5"/>
  <c r="AA164" i="5" s="1"/>
  <c r="M21" i="5"/>
  <c r="AC21" i="5" s="1"/>
  <c r="M32" i="5"/>
  <c r="Y32" i="5" s="1"/>
  <c r="N35" i="5"/>
  <c r="N38" i="5"/>
  <c r="M43" i="5"/>
  <c r="N58" i="5"/>
  <c r="Z58" i="5" s="1"/>
  <c r="N82" i="5"/>
  <c r="AA82" i="5" s="1"/>
  <c r="N95" i="5"/>
  <c r="AA95" i="5" s="1"/>
  <c r="M135" i="5"/>
  <c r="M161" i="5"/>
  <c r="X161" i="5" s="1"/>
  <c r="M234" i="5"/>
  <c r="M243" i="5"/>
  <c r="M261" i="5"/>
  <c r="N265" i="5"/>
  <c r="M270" i="5"/>
  <c r="N276" i="5"/>
  <c r="N282" i="5"/>
  <c r="AA282" i="5" s="1"/>
  <c r="N307" i="5"/>
  <c r="Z307" i="5" s="1"/>
  <c r="M313" i="5"/>
  <c r="M315" i="5"/>
  <c r="M338" i="5"/>
  <c r="N344" i="5"/>
  <c r="AA344" i="5" s="1"/>
  <c r="M347" i="5"/>
  <c r="N361" i="5"/>
  <c r="M372" i="5"/>
  <c r="N375" i="5"/>
  <c r="N390" i="5"/>
  <c r="AA390" i="5" s="1"/>
  <c r="N405" i="5"/>
  <c r="M413" i="5"/>
  <c r="M419" i="5"/>
  <c r="M434" i="5"/>
  <c r="M457" i="5"/>
  <c r="Y457" i="5" s="1"/>
  <c r="M460" i="5"/>
  <c r="X460" i="5" s="1"/>
  <c r="N472" i="5"/>
  <c r="AA472" i="5" s="1"/>
  <c r="M475" i="5"/>
  <c r="N512" i="5"/>
  <c r="N526" i="5"/>
  <c r="AA526" i="5" s="1"/>
  <c r="Z367" i="5"/>
  <c r="Y399" i="5"/>
  <c r="M526" i="5"/>
  <c r="AC296" i="5"/>
  <c r="N92" i="5"/>
  <c r="N101" i="5"/>
  <c r="M110" i="5"/>
  <c r="N147" i="5"/>
  <c r="Y166" i="5"/>
  <c r="M175" i="5"/>
  <c r="Y175" i="5" s="1"/>
  <c r="N184" i="5"/>
  <c r="N204" i="5"/>
  <c r="N222" i="5"/>
  <c r="AC309" i="5"/>
  <c r="M511" i="5"/>
  <c r="M18" i="5"/>
  <c r="N52" i="5"/>
  <c r="M72" i="5"/>
  <c r="AC336" i="5"/>
  <c r="M7" i="5"/>
  <c r="M26" i="5"/>
  <c r="M37" i="5"/>
  <c r="AC37" i="5" s="1"/>
  <c r="N40" i="5"/>
  <c r="N49" i="5"/>
  <c r="Z49" i="5" s="1"/>
  <c r="M66" i="5"/>
  <c r="Y66" i="5" s="1"/>
  <c r="M89" i="5"/>
  <c r="M123" i="5"/>
  <c r="M146" i="5"/>
  <c r="M147" i="5"/>
  <c r="N161" i="5"/>
  <c r="Z161" i="5" s="1"/>
  <c r="N169" i="5"/>
  <c r="M184" i="5"/>
  <c r="M186" i="5"/>
  <c r="AC186" i="5" s="1"/>
  <c r="M298" i="5"/>
  <c r="N309" i="5"/>
  <c r="N312" i="5"/>
  <c r="N358" i="5"/>
  <c r="N360" i="5"/>
  <c r="N369" i="5"/>
  <c r="N398" i="5"/>
  <c r="Z398" i="5" s="1"/>
  <c r="M401" i="5"/>
  <c r="Y401" i="5" s="1"/>
  <c r="N425" i="5"/>
  <c r="M428" i="5"/>
  <c r="N445" i="5"/>
  <c r="M463" i="5"/>
  <c r="N511" i="5"/>
  <c r="AA511" i="5" s="1"/>
  <c r="X106" i="5"/>
  <c r="M120" i="5"/>
  <c r="M137" i="5"/>
  <c r="Z144" i="5"/>
  <c r="M166" i="5"/>
  <c r="N186" i="5"/>
  <c r="M286" i="5"/>
  <c r="M326" i="5"/>
  <c r="M332" i="5"/>
  <c r="M352" i="5"/>
  <c r="Y352" i="5" s="1"/>
  <c r="M456" i="5"/>
  <c r="X456" i="5" s="1"/>
  <c r="M462" i="5"/>
  <c r="N487" i="5"/>
  <c r="M499" i="5"/>
  <c r="M54" i="5"/>
  <c r="Y54" i="5" s="1"/>
  <c r="N86" i="5"/>
  <c r="AA86" i="5" s="1"/>
  <c r="N106" i="5"/>
  <c r="Z106" i="5" s="1"/>
  <c r="N152" i="5"/>
  <c r="N163" i="5"/>
  <c r="M204" i="5"/>
  <c r="N251" i="5"/>
  <c r="AA251" i="5" s="1"/>
  <c r="M254" i="5"/>
  <c r="N292" i="5"/>
  <c r="M320" i="5"/>
  <c r="M323" i="5"/>
  <c r="M377" i="5"/>
  <c r="AC377" i="5" s="1"/>
  <c r="N383" i="5"/>
  <c r="Z383" i="5" s="1"/>
  <c r="N395" i="5"/>
  <c r="AA395" i="5" s="1"/>
  <c r="M415" i="5"/>
  <c r="M433" i="5"/>
  <c r="N462" i="5"/>
  <c r="N465" i="5"/>
  <c r="Z465" i="5" s="1"/>
  <c r="N490" i="5"/>
  <c r="AA490" i="5" s="1"/>
  <c r="N15" i="5"/>
  <c r="N10" i="5"/>
  <c r="AA10" i="5" s="1"/>
  <c r="N12" i="5"/>
  <c r="M20" i="5"/>
  <c r="N54" i="5"/>
  <c r="AA54" i="5" s="1"/>
  <c r="M77" i="5"/>
  <c r="N83" i="5"/>
  <c r="N100" i="5"/>
  <c r="AA100" i="5" s="1"/>
  <c r="N103" i="5"/>
  <c r="AA103" i="5" s="1"/>
  <c r="N149" i="5"/>
  <c r="AA149" i="5" s="1"/>
  <c r="M209" i="5"/>
  <c r="X209" i="5" s="1"/>
  <c r="N218" i="5"/>
  <c r="N224" i="5"/>
  <c r="N227" i="5"/>
  <c r="Z227" i="5" s="1"/>
  <c r="N280" i="5"/>
  <c r="AA280" i="5" s="1"/>
  <c r="M292" i="5"/>
  <c r="M303" i="5"/>
  <c r="M311" i="5"/>
  <c r="N320" i="5"/>
  <c r="N323" i="5"/>
  <c r="Z323" i="5" s="1"/>
  <c r="N389" i="5"/>
  <c r="M412" i="5"/>
  <c r="M418" i="5"/>
  <c r="N450" i="5"/>
  <c r="Z450" i="5" s="1"/>
  <c r="Z472" i="5"/>
  <c r="M474" i="5"/>
  <c r="X474" i="5" s="1"/>
  <c r="N477" i="5"/>
  <c r="AC494" i="5"/>
  <c r="N496" i="5"/>
  <c r="N74" i="5"/>
  <c r="AA74" i="5" s="1"/>
  <c r="N77" i="5"/>
  <c r="M91" i="5"/>
  <c r="Y91" i="5" s="1"/>
  <c r="N160" i="5"/>
  <c r="AA160" i="5" s="1"/>
  <c r="M197" i="5"/>
  <c r="M206" i="5"/>
  <c r="X225" i="5"/>
  <c r="M277" i="5"/>
  <c r="N283" i="5"/>
  <c r="N317" i="5"/>
  <c r="N354" i="5"/>
  <c r="AA354" i="5" s="1"/>
  <c r="N380" i="5"/>
  <c r="AA380" i="5" s="1"/>
  <c r="M427" i="5"/>
  <c r="N480" i="5"/>
  <c r="N51" i="5"/>
  <c r="M71" i="5"/>
  <c r="M191" i="5"/>
  <c r="Y191" i="5" s="1"/>
  <c r="N266" i="5"/>
  <c r="M308" i="5"/>
  <c r="M331" i="5"/>
  <c r="M354" i="5"/>
  <c r="N374" i="5"/>
  <c r="M397" i="5"/>
  <c r="Y397" i="5" s="1"/>
  <c r="N427" i="5"/>
  <c r="M436" i="5"/>
  <c r="M27" i="5"/>
  <c r="N39" i="5"/>
  <c r="AA39" i="5" s="1"/>
  <c r="M51" i="5"/>
  <c r="AC51" i="5" s="1"/>
  <c r="N57" i="5"/>
  <c r="M111" i="5"/>
  <c r="N117" i="5"/>
  <c r="M122" i="5"/>
  <c r="N171" i="5"/>
  <c r="AA171" i="5" s="1"/>
  <c r="M6" i="5"/>
  <c r="X6" i="5" s="1"/>
  <c r="M14" i="5"/>
  <c r="M25" i="5"/>
  <c r="M28" i="5"/>
  <c r="M36" i="5"/>
  <c r="M39" i="5"/>
  <c r="N45" i="5"/>
  <c r="M59" i="5"/>
  <c r="N68" i="5"/>
  <c r="AA68" i="5" s="1"/>
  <c r="N71" i="5"/>
  <c r="N108" i="5"/>
  <c r="Z108" i="5" s="1"/>
  <c r="M148" i="5"/>
  <c r="M154" i="5"/>
  <c r="N166" i="5"/>
  <c r="AA166" i="5" s="1"/>
  <c r="N168" i="5"/>
  <c r="N191" i="5"/>
  <c r="AA191" i="5" s="1"/>
  <c r="M241" i="5"/>
  <c r="M305" i="5"/>
  <c r="M325" i="5"/>
  <c r="AC325" i="5" s="1"/>
  <c r="N331" i="5"/>
  <c r="M343" i="5"/>
  <c r="M345" i="5"/>
  <c r="N348" i="5"/>
  <c r="N359" i="5"/>
  <c r="N400" i="5"/>
  <c r="X407" i="5"/>
  <c r="N409" i="5"/>
  <c r="Z409" i="5" s="1"/>
  <c r="N412" i="5"/>
  <c r="N439" i="5"/>
  <c r="Z439" i="5" s="1"/>
  <c r="M447" i="5"/>
  <c r="M492" i="5"/>
  <c r="AC492" i="5" s="1"/>
  <c r="N507" i="5"/>
  <c r="AA507" i="5" s="1"/>
  <c r="N510" i="5"/>
  <c r="AA510" i="5" s="1"/>
  <c r="M522" i="5"/>
  <c r="N3" i="5"/>
  <c r="Z3" i="5" s="1"/>
  <c r="N25" i="5"/>
  <c r="AA25" i="5" s="1"/>
  <c r="M44" i="5"/>
  <c r="M56" i="5"/>
  <c r="N59" i="5"/>
  <c r="AA59" i="5" s="1"/>
  <c r="N85" i="5"/>
  <c r="M108" i="5"/>
  <c r="M119" i="5"/>
  <c r="Y119" i="5" s="1"/>
  <c r="N142" i="5"/>
  <c r="AA142" i="5" s="1"/>
  <c r="X166" i="5"/>
  <c r="M182" i="5"/>
  <c r="AC182" i="5" s="1"/>
  <c r="N188" i="5"/>
  <c r="M229" i="5"/>
  <c r="M238" i="5"/>
  <c r="Y238" i="5" s="1"/>
  <c r="N277" i="5"/>
  <c r="M322" i="5"/>
  <c r="Y322" i="5" s="1"/>
  <c r="N328" i="5"/>
  <c r="AA328" i="5" s="1"/>
  <c r="M342" i="5"/>
  <c r="N345" i="5"/>
  <c r="AA345" i="5" s="1"/>
  <c r="M356" i="5"/>
  <c r="M382" i="5"/>
  <c r="M385" i="5"/>
  <c r="Y385" i="5" s="1"/>
  <c r="N391" i="5"/>
  <c r="M420" i="5"/>
  <c r="AC420" i="5" s="1"/>
  <c r="M458" i="5"/>
  <c r="AC458" i="5" s="1"/>
  <c r="M461" i="5"/>
  <c r="M473" i="5"/>
  <c r="N486" i="5"/>
  <c r="N498" i="5"/>
  <c r="AA498" i="5" s="1"/>
  <c r="M518" i="5"/>
  <c r="AC518" i="5" s="1"/>
  <c r="Z361" i="5"/>
  <c r="AA361" i="5"/>
  <c r="AA372" i="5"/>
  <c r="Z372" i="5"/>
  <c r="AC30" i="5"/>
  <c r="Y30" i="5"/>
  <c r="AA296" i="5"/>
  <c r="Z296" i="5"/>
  <c r="AA101" i="5"/>
  <c r="Z101" i="5"/>
  <c r="Z169" i="5"/>
  <c r="AA169" i="5"/>
  <c r="AA69" i="5"/>
  <c r="Z69" i="5"/>
  <c r="AC112" i="5"/>
  <c r="Y112" i="5"/>
  <c r="Z133" i="5"/>
  <c r="AA133" i="5"/>
  <c r="AA5" i="5"/>
  <c r="Z5" i="5"/>
  <c r="AC20" i="5"/>
  <c r="AC144" i="5"/>
  <c r="Y144" i="5"/>
  <c r="AA117" i="5"/>
  <c r="Z117" i="5"/>
  <c r="AC14" i="5"/>
  <c r="Y14" i="5"/>
  <c r="AC36" i="5"/>
  <c r="AC59" i="5"/>
  <c r="X59" i="5"/>
  <c r="AA3" i="5"/>
  <c r="AA439" i="5"/>
  <c r="Z463" i="5"/>
  <c r="AA463" i="5"/>
  <c r="Y489" i="5"/>
  <c r="X489" i="5"/>
  <c r="AA19" i="5"/>
  <c r="AA176" i="5"/>
  <c r="Z176" i="5"/>
  <c r="N27" i="5"/>
  <c r="AA27" i="5" s="1"/>
  <c r="Z54" i="5"/>
  <c r="N65" i="5"/>
  <c r="AA65" i="5" s="1"/>
  <c r="N88" i="5"/>
  <c r="AA88" i="5" s="1"/>
  <c r="N116" i="5"/>
  <c r="N127" i="5"/>
  <c r="AA127" i="5" s="1"/>
  <c r="N135" i="5"/>
  <c r="M138" i="5"/>
  <c r="AC138" i="5" s="1"/>
  <c r="M151" i="5"/>
  <c r="N158" i="5"/>
  <c r="N165" i="5"/>
  <c r="N173" i="5"/>
  <c r="M183" i="5"/>
  <c r="M187" i="5"/>
  <c r="Y187" i="5" s="1"/>
  <c r="Z192" i="5"/>
  <c r="N207" i="5"/>
  <c r="M220" i="5"/>
  <c r="N221" i="5"/>
  <c r="N230" i="5"/>
  <c r="AA230" i="5" s="1"/>
  <c r="M249" i="5"/>
  <c r="N252" i="5"/>
  <c r="M258" i="5"/>
  <c r="Y258" i="5" s="1"/>
  <c r="N262" i="5"/>
  <c r="AA312" i="5"/>
  <c r="N386" i="5"/>
  <c r="N417" i="5"/>
  <c r="AA417" i="5" s="1"/>
  <c r="N6" i="5"/>
  <c r="M12" i="5"/>
  <c r="N16" i="5"/>
  <c r="M29" i="5"/>
  <c r="M47" i="5"/>
  <c r="X47" i="5" s="1"/>
  <c r="M78" i="5"/>
  <c r="X78" i="5" s="1"/>
  <c r="M98" i="5"/>
  <c r="N99" i="5"/>
  <c r="N112" i="5"/>
  <c r="M116" i="5"/>
  <c r="N138" i="5"/>
  <c r="AA138" i="5" s="1"/>
  <c r="N183" i="5"/>
  <c r="AA187" i="5"/>
  <c r="M221" i="5"/>
  <c r="M223" i="5"/>
  <c r="Y223" i="5" s="1"/>
  <c r="M237" i="5"/>
  <c r="M280" i="5"/>
  <c r="Y280" i="5" s="1"/>
  <c r="AA284" i="5"/>
  <c r="Z284" i="5"/>
  <c r="AC349" i="5"/>
  <c r="N9" i="5"/>
  <c r="AA9" i="5" s="1"/>
  <c r="N29" i="5"/>
  <c r="M33" i="5"/>
  <c r="AC53" i="5"/>
  <c r="M57" i="5"/>
  <c r="N81" i="5"/>
  <c r="AA81" i="5" s="1"/>
  <c r="N84" i="5"/>
  <c r="Z84" i="5" s="1"/>
  <c r="AC123" i="5"/>
  <c r="X177" i="5"/>
  <c r="AA462" i="5"/>
  <c r="M40" i="5"/>
  <c r="N50" i="5"/>
  <c r="AA50" i="5" s="1"/>
  <c r="N72" i="5"/>
  <c r="AA72" i="5" s="1"/>
  <c r="N80" i="5"/>
  <c r="AA80" i="5" s="1"/>
  <c r="M84" i="5"/>
  <c r="X84" i="5" s="1"/>
  <c r="N87" i="5"/>
  <c r="M90" i="5"/>
  <c r="M101" i="5"/>
  <c r="X101" i="5" s="1"/>
  <c r="N102" i="5"/>
  <c r="M109" i="5"/>
  <c r="AC109" i="5" s="1"/>
  <c r="N123" i="5"/>
  <c r="M130" i="5"/>
  <c r="M134" i="5"/>
  <c r="X134" i="5" s="1"/>
  <c r="N150" i="5"/>
  <c r="M168" i="5"/>
  <c r="N175" i="5"/>
  <c r="AA175" i="5" s="1"/>
  <c r="M179" i="5"/>
  <c r="X179" i="5" s="1"/>
  <c r="N203" i="5"/>
  <c r="M213" i="5"/>
  <c r="X229" i="5"/>
  <c r="N239" i="5"/>
  <c r="Z239" i="5" s="1"/>
  <c r="M242" i="5"/>
  <c r="M245" i="5"/>
  <c r="X245" i="5" s="1"/>
  <c r="M255" i="5"/>
  <c r="N287" i="5"/>
  <c r="N324" i="5"/>
  <c r="AA324" i="5" s="1"/>
  <c r="N343" i="5"/>
  <c r="M395" i="5"/>
  <c r="N438" i="5"/>
  <c r="N8" i="5"/>
  <c r="N18" i="5"/>
  <c r="Z18" i="5" s="1"/>
  <c r="X30" i="5"/>
  <c r="N36" i="5"/>
  <c r="M53" i="5"/>
  <c r="Y53" i="5" s="1"/>
  <c r="M75" i="5"/>
  <c r="N90" i="5"/>
  <c r="AA90" i="5" s="1"/>
  <c r="N94" i="5"/>
  <c r="AA94" i="5" s="1"/>
  <c r="Z95" i="5"/>
  <c r="N131" i="5"/>
  <c r="N134" i="5"/>
  <c r="M145" i="5"/>
  <c r="M210" i="5"/>
  <c r="AC210" i="5" s="1"/>
  <c r="N213" i="5"/>
  <c r="N229" i="5"/>
  <c r="N245" i="5"/>
  <c r="N306" i="5"/>
  <c r="M324" i="5"/>
  <c r="AC324" i="5" s="1"/>
  <c r="AA366" i="5"/>
  <c r="N382" i="5"/>
  <c r="AA382" i="5" s="1"/>
  <c r="N401" i="5"/>
  <c r="AC514" i="5"/>
  <c r="Y514" i="5"/>
  <c r="N22" i="5"/>
  <c r="AA22" i="5" s="1"/>
  <c r="AC54" i="5"/>
  <c r="Z75" i="5"/>
  <c r="N14" i="5"/>
  <c r="M22" i="5"/>
  <c r="AA35" i="5"/>
  <c r="N46" i="5"/>
  <c r="M60" i="5"/>
  <c r="AC60" i="5" s="1"/>
  <c r="M97" i="5"/>
  <c r="AC97" i="5" s="1"/>
  <c r="N98" i="5"/>
  <c r="N105" i="5"/>
  <c r="N111" i="5"/>
  <c r="AA111" i="5" s="1"/>
  <c r="N122" i="5"/>
  <c r="N126" i="5"/>
  <c r="M150" i="5"/>
  <c r="N153" i="5"/>
  <c r="Z153" i="5" s="1"/>
  <c r="M157" i="5"/>
  <c r="AC157" i="5" s="1"/>
  <c r="M171" i="5"/>
  <c r="N196" i="5"/>
  <c r="Z196" i="5" s="1"/>
  <c r="N206" i="5"/>
  <c r="M216" i="5"/>
  <c r="Z320" i="5"/>
  <c r="AA320" i="5"/>
  <c r="Y446" i="5"/>
  <c r="Z494" i="5"/>
  <c r="AA494" i="5"/>
  <c r="Z19" i="5"/>
  <c r="M24" i="5"/>
  <c r="N28" i="5"/>
  <c r="M42" i="5"/>
  <c r="M46" i="5"/>
  <c r="N60" i="5"/>
  <c r="AA60" i="5" s="1"/>
  <c r="M74" i="5"/>
  <c r="M83" i="5"/>
  <c r="Y83" i="5" s="1"/>
  <c r="M94" i="5"/>
  <c r="AA144" i="5"/>
  <c r="N145" i="5"/>
  <c r="AA145" i="5" s="1"/>
  <c r="N216" i="5"/>
  <c r="AA216" i="5" s="1"/>
  <c r="M219" i="5"/>
  <c r="M232" i="5"/>
  <c r="N274" i="5"/>
  <c r="Z274" i="5" s="1"/>
  <c r="AC279" i="5"/>
  <c r="Y279" i="5"/>
  <c r="AA338" i="5"/>
  <c r="X352" i="5"/>
  <c r="N363" i="5"/>
  <c r="AA363" i="5" s="1"/>
  <c r="AA446" i="5"/>
  <c r="AC5" i="5"/>
  <c r="Y5" i="5"/>
  <c r="Z74" i="5"/>
  <c r="X80" i="5"/>
  <c r="AC107" i="5"/>
  <c r="Y128" i="5"/>
  <c r="Z187" i="5"/>
  <c r="AC209" i="5"/>
  <c r="Y273" i="5"/>
  <c r="AC273" i="5"/>
  <c r="N305" i="5"/>
  <c r="Z305" i="5" s="1"/>
  <c r="AA342" i="5"/>
  <c r="M357" i="5"/>
  <c r="AC357" i="5" s="1"/>
  <c r="Z376" i="5"/>
  <c r="M391" i="5"/>
  <c r="M10" i="5"/>
  <c r="N11" i="5"/>
  <c r="N32" i="5"/>
  <c r="N97" i="5"/>
  <c r="AA97" i="5" s="1"/>
  <c r="N107" i="5"/>
  <c r="M126" i="5"/>
  <c r="Y126" i="5" s="1"/>
  <c r="M152" i="5"/>
  <c r="M155" i="5"/>
  <c r="AC155" i="5" s="1"/>
  <c r="M163" i="5"/>
  <c r="M192" i="5"/>
  <c r="N202" i="5"/>
  <c r="N210" i="5"/>
  <c r="N212" i="5"/>
  <c r="Z212" i="5" s="1"/>
  <c r="N228" i="5"/>
  <c r="AA228" i="5" s="1"/>
  <c r="N244" i="5"/>
  <c r="AA244" i="5" s="1"/>
  <c r="N270" i="5"/>
  <c r="AA270" i="5" s="1"/>
  <c r="M317" i="5"/>
  <c r="M335" i="5"/>
  <c r="M387" i="5"/>
  <c r="M406" i="5"/>
  <c r="X406" i="5" s="1"/>
  <c r="N428" i="5"/>
  <c r="AA428" i="5" s="1"/>
  <c r="M13" i="5"/>
  <c r="M17" i="5"/>
  <c r="M31" i="5"/>
  <c r="N42" i="5"/>
  <c r="M70" i="5"/>
  <c r="M82" i="5"/>
  <c r="AC82" i="5" s="1"/>
  <c r="M114" i="5"/>
  <c r="N115" i="5"/>
  <c r="M118" i="5"/>
  <c r="X118" i="5" s="1"/>
  <c r="M121" i="5"/>
  <c r="AC121" i="5" s="1"/>
  <c r="N129" i="5"/>
  <c r="N132" i="5"/>
  <c r="Z132" i="5" s="1"/>
  <c r="M140" i="5"/>
  <c r="N155" i="5"/>
  <c r="AC166" i="5"/>
  <c r="M170" i="5"/>
  <c r="N185" i="5"/>
  <c r="Z185" i="5" s="1"/>
  <c r="N192" i="5"/>
  <c r="AA192" i="5" s="1"/>
  <c r="M212" i="5"/>
  <c r="Z223" i="5"/>
  <c r="N291" i="5"/>
  <c r="Z291" i="5" s="1"/>
  <c r="X332" i="5"/>
  <c r="N335" i="5"/>
  <c r="M351" i="5"/>
  <c r="X351" i="5" s="1"/>
  <c r="AC356" i="5"/>
  <c r="M371" i="5"/>
  <c r="AC390" i="5"/>
  <c r="M394" i="5"/>
  <c r="N406" i="5"/>
  <c r="M470" i="5"/>
  <c r="AC470" i="5" s="1"/>
  <c r="N519" i="5"/>
  <c r="AA77" i="5"/>
  <c r="AC4" i="5"/>
  <c r="N13" i="5"/>
  <c r="N17" i="5"/>
  <c r="N20" i="5"/>
  <c r="N31" i="5"/>
  <c r="M34" i="5"/>
  <c r="M38" i="5"/>
  <c r="AC38" i="5" s="1"/>
  <c r="N56" i="5"/>
  <c r="Z56" i="5" s="1"/>
  <c r="N62" i="5"/>
  <c r="AA62" i="5" s="1"/>
  <c r="N89" i="5"/>
  <c r="N118" i="5"/>
  <c r="N128" i="5"/>
  <c r="AA128" i="5" s="1"/>
  <c r="M132" i="5"/>
  <c r="M139" i="5"/>
  <c r="M143" i="5"/>
  <c r="AC143" i="5" s="1"/>
  <c r="X186" i="5"/>
  <c r="N273" i="5"/>
  <c r="N316" i="5"/>
  <c r="M353" i="5"/>
  <c r="M425" i="5"/>
  <c r="Z35" i="5"/>
  <c r="X14" i="5"/>
  <c r="M23" i="5"/>
  <c r="Y23" i="5" s="1"/>
  <c r="N34" i="5"/>
  <c r="Z34" i="5" s="1"/>
  <c r="M41" i="5"/>
  <c r="N55" i="5"/>
  <c r="AA55" i="5" s="1"/>
  <c r="M69" i="5"/>
  <c r="M117" i="5"/>
  <c r="X117" i="5" s="1"/>
  <c r="N139" i="5"/>
  <c r="AA139" i="5" s="1"/>
  <c r="N143" i="5"/>
  <c r="AA143" i="5" s="1"/>
  <c r="N178" i="5"/>
  <c r="Y186" i="5"/>
  <c r="N189" i="5"/>
  <c r="X193" i="5"/>
  <c r="M198" i="5"/>
  <c r="M208" i="5"/>
  <c r="N234" i="5"/>
  <c r="N250" i="5"/>
  <c r="N267" i="5"/>
  <c r="AA267" i="5" s="1"/>
  <c r="M285" i="5"/>
  <c r="X285" i="5" s="1"/>
  <c r="M350" i="5"/>
  <c r="Y350" i="5" s="1"/>
  <c r="AA367" i="5"/>
  <c r="N421" i="5"/>
  <c r="M476" i="5"/>
  <c r="AC48" i="5"/>
  <c r="AA387" i="5"/>
  <c r="Z387" i="5"/>
  <c r="M3" i="5"/>
  <c r="M9" i="5"/>
  <c r="N23" i="5"/>
  <c r="AA23" i="5" s="1"/>
  <c r="N41" i="5"/>
  <c r="Z41" i="5" s="1"/>
  <c r="M45" i="5"/>
  <c r="Y45" i="5" s="1"/>
  <c r="M55" i="5"/>
  <c r="M58" i="5"/>
  <c r="X58" i="5" s="1"/>
  <c r="M85" i="5"/>
  <c r="AC85" i="5" s="1"/>
  <c r="M92" i="5"/>
  <c r="M95" i="5"/>
  <c r="AC95" i="5" s="1"/>
  <c r="N121" i="5"/>
  <c r="Y122" i="5"/>
  <c r="N136" i="5"/>
  <c r="N151" i="5"/>
  <c r="M169" i="5"/>
  <c r="AC169" i="5" s="1"/>
  <c r="Y182" i="5"/>
  <c r="M195" i="5"/>
  <c r="N198" i="5"/>
  <c r="AA198" i="5" s="1"/>
  <c r="M201" i="5"/>
  <c r="M224" i="5"/>
  <c r="Y224" i="5" s="1"/>
  <c r="AC225" i="5"/>
  <c r="Z264" i="5"/>
  <c r="M272" i="5"/>
  <c r="AC275" i="5"/>
  <c r="M328" i="5"/>
  <c r="M334" i="5"/>
  <c r="X334" i="5" s="1"/>
  <c r="N350" i="5"/>
  <c r="M368" i="5"/>
  <c r="X368" i="5" s="1"/>
  <c r="M383" i="5"/>
  <c r="N384" i="5"/>
  <c r="Z407" i="5"/>
  <c r="N508" i="5"/>
  <c r="M512" i="5"/>
  <c r="X384" i="5"/>
  <c r="M410" i="5"/>
  <c r="X410" i="5" s="1"/>
  <c r="N413" i="5"/>
  <c r="Z413" i="5" s="1"/>
  <c r="N416" i="5"/>
  <c r="Z416" i="5" s="1"/>
  <c r="N424" i="5"/>
  <c r="M431" i="5"/>
  <c r="AC431" i="5" s="1"/>
  <c r="N434" i="5"/>
  <c r="AA434" i="5" s="1"/>
  <c r="N458" i="5"/>
  <c r="M480" i="5"/>
  <c r="Y480" i="5" s="1"/>
  <c r="M483" i="5"/>
  <c r="M487" i="5"/>
  <c r="X487" i="5" s="1"/>
  <c r="N503" i="5"/>
  <c r="M507" i="5"/>
  <c r="N514" i="5"/>
  <c r="N518" i="5"/>
  <c r="M525" i="5"/>
  <c r="N529" i="5"/>
  <c r="N313" i="5"/>
  <c r="M316" i="5"/>
  <c r="X316" i="5" s="1"/>
  <c r="N357" i="5"/>
  <c r="AA357" i="5" s="1"/>
  <c r="Y382" i="5"/>
  <c r="Y405" i="5"/>
  <c r="M416" i="5"/>
  <c r="Y416" i="5" s="1"/>
  <c r="N475" i="5"/>
  <c r="N484" i="5"/>
  <c r="Z484" i="5" s="1"/>
  <c r="N522" i="5"/>
  <c r="N525" i="5"/>
  <c r="N500" i="5"/>
  <c r="M510" i="5"/>
  <c r="N219" i="5"/>
  <c r="M230" i="5"/>
  <c r="N242" i="5"/>
  <c r="N248" i="5"/>
  <c r="N269" i="5"/>
  <c r="AA269" i="5" s="1"/>
  <c r="N272" i="5"/>
  <c r="M283" i="5"/>
  <c r="Y283" i="5" s="1"/>
  <c r="M287" i="5"/>
  <c r="X287" i="5" s="1"/>
  <c r="N298" i="5"/>
  <c r="N302" i="5"/>
  <c r="M337" i="5"/>
  <c r="AC337" i="5" s="1"/>
  <c r="M341" i="5"/>
  <c r="AC341" i="5" s="1"/>
  <c r="M346" i="5"/>
  <c r="X346" i="5" s="1"/>
  <c r="M359" i="5"/>
  <c r="N364" i="5"/>
  <c r="M386" i="5"/>
  <c r="N397" i="5"/>
  <c r="N420" i="5"/>
  <c r="M445" i="5"/>
  <c r="AC445" i="5" s="1"/>
  <c r="M452" i="5"/>
  <c r="N453" i="5"/>
  <c r="N457" i="5"/>
  <c r="AA457" i="5" s="1"/>
  <c r="N461" i="5"/>
  <c r="Z461" i="5" s="1"/>
  <c r="M465" i="5"/>
  <c r="AC465" i="5" s="1"/>
  <c r="M491" i="5"/>
  <c r="N499" i="5"/>
  <c r="AC500" i="5"/>
  <c r="M506" i="5"/>
  <c r="AC506" i="5" s="1"/>
  <c r="AA473" i="5"/>
  <c r="AA495" i="5"/>
  <c r="M165" i="5"/>
  <c r="X165" i="5" s="1"/>
  <c r="N170" i="5"/>
  <c r="Z170" i="5" s="1"/>
  <c r="M178" i="5"/>
  <c r="M181" i="5"/>
  <c r="N197" i="5"/>
  <c r="N201" i="5"/>
  <c r="Z201" i="5" s="1"/>
  <c r="N205" i="5"/>
  <c r="N208" i="5"/>
  <c r="AA208" i="5" s="1"/>
  <c r="M244" i="5"/>
  <c r="Y244" i="5" s="1"/>
  <c r="N254" i="5"/>
  <c r="Z254" i="5" s="1"/>
  <c r="M257" i="5"/>
  <c r="M276" i="5"/>
  <c r="AC280" i="5"/>
  <c r="N293" i="5"/>
  <c r="AA293" i="5" s="1"/>
  <c r="N301" i="5"/>
  <c r="N304" i="5"/>
  <c r="Z304" i="5" s="1"/>
  <c r="N308" i="5"/>
  <c r="N311" i="5"/>
  <c r="N315" i="5"/>
  <c r="N319" i="5"/>
  <c r="N326" i="5"/>
  <c r="N330" i="5"/>
  <c r="N334" i="5"/>
  <c r="AA334" i="5" s="1"/>
  <c r="M370" i="5"/>
  <c r="Y370" i="5" s="1"/>
  <c r="M404" i="5"/>
  <c r="Y404" i="5" s="1"/>
  <c r="M423" i="5"/>
  <c r="Y423" i="5" s="1"/>
  <c r="N437" i="5"/>
  <c r="N456" i="5"/>
  <c r="AA477" i="5"/>
  <c r="M496" i="5"/>
  <c r="X496" i="5" s="1"/>
  <c r="N502" i="5"/>
  <c r="M513" i="5"/>
  <c r="M524" i="5"/>
  <c r="M528" i="5"/>
  <c r="N181" i="5"/>
  <c r="AA181" i="5" s="1"/>
  <c r="M205" i="5"/>
  <c r="M218" i="5"/>
  <c r="M222" i="5"/>
  <c r="M226" i="5"/>
  <c r="AC226" i="5" s="1"/>
  <c r="M233" i="5"/>
  <c r="AC233" i="5" s="1"/>
  <c r="M240" i="5"/>
  <c r="AC240" i="5" s="1"/>
  <c r="N257" i="5"/>
  <c r="N275" i="5"/>
  <c r="N286" i="5"/>
  <c r="N290" i="5"/>
  <c r="Z290" i="5" s="1"/>
  <c r="M301" i="5"/>
  <c r="M330" i="5"/>
  <c r="N337" i="5"/>
  <c r="M348" i="5"/>
  <c r="N352" i="5"/>
  <c r="M389" i="5"/>
  <c r="AC389" i="5" s="1"/>
  <c r="N393" i="5"/>
  <c r="Z393" i="5" s="1"/>
  <c r="N404" i="5"/>
  <c r="N441" i="5"/>
  <c r="AA441" i="5" s="1"/>
  <c r="M442" i="5"/>
  <c r="Y442" i="5" s="1"/>
  <c r="AC446" i="5"/>
  <c r="M468" i="5"/>
  <c r="N491" i="5"/>
  <c r="M498" i="5"/>
  <c r="Y498" i="5" s="1"/>
  <c r="M502" i="5"/>
  <c r="M509" i="5"/>
  <c r="N513" i="5"/>
  <c r="N521" i="5"/>
  <c r="N524" i="5"/>
  <c r="Z524" i="5" s="1"/>
  <c r="X258" i="5"/>
  <c r="Z333" i="5"/>
  <c r="Z477" i="5"/>
  <c r="M321" i="5"/>
  <c r="X321" i="5" s="1"/>
  <c r="N336" i="5"/>
  <c r="N355" i="5"/>
  <c r="AA355" i="5" s="1"/>
  <c r="M358" i="5"/>
  <c r="N377" i="5"/>
  <c r="N378" i="5"/>
  <c r="N396" i="5"/>
  <c r="M403" i="5"/>
  <c r="N418" i="5"/>
  <c r="N429" i="5"/>
  <c r="N430" i="5"/>
  <c r="M440" i="5"/>
  <c r="AC440" i="5" s="1"/>
  <c r="M444" i="5"/>
  <c r="N448" i="5"/>
  <c r="M451" i="5"/>
  <c r="AC451" i="5" s="1"/>
  <c r="N452" i="5"/>
  <c r="N464" i="5"/>
  <c r="AA464" i="5" s="1"/>
  <c r="N489" i="5"/>
  <c r="AA489" i="5" s="1"/>
  <c r="M501" i="5"/>
  <c r="AC501" i="5" s="1"/>
  <c r="N505" i="5"/>
  <c r="M200" i="5"/>
  <c r="M203" i="5"/>
  <c r="M211" i="5"/>
  <c r="X211" i="5" s="1"/>
  <c r="M214" i="5"/>
  <c r="N233" i="5"/>
  <c r="Z233" i="5" s="1"/>
  <c r="N237" i="5"/>
  <c r="N243" i="5"/>
  <c r="M271" i="5"/>
  <c r="N289" i="5"/>
  <c r="AA289" i="5" s="1"/>
  <c r="M297" i="5"/>
  <c r="Y297" i="5" s="1"/>
  <c r="M310" i="5"/>
  <c r="AC310" i="5" s="1"/>
  <c r="N314" i="5"/>
  <c r="N322" i="5"/>
  <c r="AA322" i="5" s="1"/>
  <c r="N365" i="5"/>
  <c r="AA365" i="5" s="1"/>
  <c r="N403" i="5"/>
  <c r="N415" i="5"/>
  <c r="AA415" i="5" s="1"/>
  <c r="N440" i="5"/>
  <c r="Z440" i="5" s="1"/>
  <c r="M448" i="5"/>
  <c r="N451" i="5"/>
  <c r="AA451" i="5" s="1"/>
  <c r="M495" i="5"/>
  <c r="AC495" i="5" s="1"/>
  <c r="M516" i="5"/>
  <c r="M520" i="5"/>
  <c r="M253" i="5"/>
  <c r="N271" i="5"/>
  <c r="AA271" i="5" s="1"/>
  <c r="M295" i="5"/>
  <c r="Y295" i="5" s="1"/>
  <c r="N297" i="5"/>
  <c r="N300" i="5"/>
  <c r="AA300" i="5" s="1"/>
  <c r="N310" i="5"/>
  <c r="AA310" i="5" s="1"/>
  <c r="M333" i="5"/>
  <c r="AC333" i="5" s="1"/>
  <c r="N340" i="5"/>
  <c r="M361" i="5"/>
  <c r="Y361" i="5" s="1"/>
  <c r="M362" i="5"/>
  <c r="M369" i="5"/>
  <c r="M381" i="5"/>
  <c r="Y381" i="5" s="1"/>
  <c r="Z390" i="5"/>
  <c r="N408" i="5"/>
  <c r="N411" i="5"/>
  <c r="M414" i="5"/>
  <c r="Y414" i="5" s="1"/>
  <c r="N422" i="5"/>
  <c r="M435" i="5"/>
  <c r="AC435" i="5" s="1"/>
  <c r="N436" i="5"/>
  <c r="M467" i="5"/>
  <c r="M493" i="5"/>
  <c r="N517" i="5"/>
  <c r="AA517" i="5" s="1"/>
  <c r="N520" i="5"/>
  <c r="Z520" i="5" s="1"/>
  <c r="N530" i="5"/>
  <c r="M160" i="5"/>
  <c r="Y160" i="5" s="1"/>
  <c r="M164" i="5"/>
  <c r="M176" i="5"/>
  <c r="Y176" i="5" s="1"/>
  <c r="M180" i="5"/>
  <c r="Y180" i="5" s="1"/>
  <c r="M196" i="5"/>
  <c r="M217" i="5"/>
  <c r="N226" i="5"/>
  <c r="Z230" i="5"/>
  <c r="M239" i="5"/>
  <c r="N246" i="5"/>
  <c r="N249" i="5"/>
  <c r="M256" i="5"/>
  <c r="M259" i="5"/>
  <c r="N285" i="5"/>
  <c r="AA285" i="5" s="1"/>
  <c r="M288" i="5"/>
  <c r="Y288" i="5" s="1"/>
  <c r="M300" i="5"/>
  <c r="N318" i="5"/>
  <c r="AA318" i="5" s="1"/>
  <c r="N321" i="5"/>
  <c r="AA321" i="5" s="1"/>
  <c r="N332" i="5"/>
  <c r="M340" i="5"/>
  <c r="X340" i="5" s="1"/>
  <c r="N347" i="5"/>
  <c r="M355" i="5"/>
  <c r="N362" i="5"/>
  <c r="M376" i="5"/>
  <c r="M380" i="5"/>
  <c r="AC380" i="5" s="1"/>
  <c r="N392" i="5"/>
  <c r="M411" i="5"/>
  <c r="Z415" i="5"/>
  <c r="N432" i="5"/>
  <c r="N435" i="5"/>
  <c r="Z435" i="5" s="1"/>
  <c r="M454" i="5"/>
  <c r="Y454" i="5" s="1"/>
  <c r="N467" i="5"/>
  <c r="N468" i="5"/>
  <c r="M471" i="5"/>
  <c r="X471" i="5" s="1"/>
  <c r="N488" i="5"/>
  <c r="AA488" i="5" s="1"/>
  <c r="N493" i="5"/>
  <c r="Z493" i="5" s="1"/>
  <c r="M497" i="5"/>
  <c r="M504" i="5"/>
  <c r="M519" i="5"/>
  <c r="N523" i="5"/>
  <c r="M530" i="5"/>
  <c r="Y530" i="5" s="1"/>
  <c r="M402" i="5"/>
  <c r="M417" i="5"/>
  <c r="M432" i="5"/>
  <c r="M450" i="5"/>
  <c r="AC450" i="5" s="1"/>
  <c r="N454" i="5"/>
  <c r="Z454" i="5" s="1"/>
  <c r="M459" i="5"/>
  <c r="X459" i="5" s="1"/>
  <c r="N471" i="5"/>
  <c r="M484" i="5"/>
  <c r="N497" i="5"/>
  <c r="N504" i="5"/>
  <c r="X521" i="5"/>
  <c r="M523" i="5"/>
  <c r="AC22" i="5"/>
  <c r="Y22" i="5"/>
  <c r="X22" i="5"/>
  <c r="AC46" i="5"/>
  <c r="Y46" i="5"/>
  <c r="X46" i="5"/>
  <c r="AA53" i="5"/>
  <c r="Z53" i="5"/>
  <c r="Y52" i="5"/>
  <c r="X52" i="5"/>
  <c r="AC52" i="5"/>
  <c r="AA52" i="5"/>
  <c r="Z52" i="5"/>
  <c r="Y13" i="5"/>
  <c r="X13" i="5"/>
  <c r="AC13" i="5"/>
  <c r="AC17" i="5"/>
  <c r="Y17" i="5"/>
  <c r="X17" i="5"/>
  <c r="AC31" i="5"/>
  <c r="Y31" i="5"/>
  <c r="X31" i="5"/>
  <c r="AA42" i="5"/>
  <c r="Z42" i="5"/>
  <c r="Z57" i="5"/>
  <c r="AA57" i="5"/>
  <c r="AC93" i="5"/>
  <c r="Y93" i="5"/>
  <c r="X93" i="5"/>
  <c r="AA46" i="5"/>
  <c r="Z46" i="5"/>
  <c r="AA28" i="5"/>
  <c r="Z28" i="5"/>
  <c r="AC39" i="5"/>
  <c r="Y39" i="5"/>
  <c r="X39" i="5"/>
  <c r="AA11" i="5"/>
  <c r="Z11" i="5"/>
  <c r="AA17" i="5"/>
  <c r="Z17" i="5"/>
  <c r="Y41" i="5"/>
  <c r="X41" i="5"/>
  <c r="AC41" i="5"/>
  <c r="Z55" i="5"/>
  <c r="Y7" i="5"/>
  <c r="X7" i="5"/>
  <c r="AC7" i="5"/>
  <c r="AC55" i="5"/>
  <c r="X55" i="5"/>
  <c r="Y55" i="5"/>
  <c r="AC125" i="5"/>
  <c r="Y125" i="5"/>
  <c r="X125" i="5"/>
  <c r="AA98" i="5"/>
  <c r="Z98" i="5"/>
  <c r="X24" i="5"/>
  <c r="Y24" i="5"/>
  <c r="AC24" i="5"/>
  <c r="AA7" i="5"/>
  <c r="Z7" i="5"/>
  <c r="X9" i="5"/>
  <c r="AC9" i="5"/>
  <c r="Y9" i="5"/>
  <c r="AC6" i="5"/>
  <c r="Y6" i="5"/>
  <c r="AA30" i="5"/>
  <c r="Z30" i="5"/>
  <c r="AA38" i="5"/>
  <c r="Z38" i="5"/>
  <c r="Z45" i="5"/>
  <c r="AA45" i="5"/>
  <c r="AA51" i="5"/>
  <c r="Z51" i="5"/>
  <c r="AC62" i="5"/>
  <c r="Y62" i="5"/>
  <c r="X62" i="5"/>
  <c r="AA78" i="5"/>
  <c r="Z78" i="5"/>
  <c r="AA85" i="5"/>
  <c r="Z85" i="5"/>
  <c r="AC42" i="5"/>
  <c r="Y42" i="5"/>
  <c r="X42" i="5"/>
  <c r="Z4" i="5"/>
  <c r="AA20" i="5"/>
  <c r="Z20" i="5"/>
  <c r="AC19" i="5"/>
  <c r="X19" i="5"/>
  <c r="Y19" i="5"/>
  <c r="AC27" i="5"/>
  <c r="Y27" i="5"/>
  <c r="X27" i="5"/>
  <c r="Y61" i="5"/>
  <c r="X61" i="5"/>
  <c r="AC61" i="5"/>
  <c r="AA114" i="5"/>
  <c r="Z114" i="5"/>
  <c r="X147" i="5"/>
  <c r="AC147" i="5"/>
  <c r="Y147" i="5"/>
  <c r="AC28" i="5"/>
  <c r="Y28" i="5"/>
  <c r="X28" i="5"/>
  <c r="Z12" i="5"/>
  <c r="AA12" i="5"/>
  <c r="Z158" i="5"/>
  <c r="AA158" i="5"/>
  <c r="AA24" i="5"/>
  <c r="Z24" i="5"/>
  <c r="AA31" i="5"/>
  <c r="Z31" i="5"/>
  <c r="AA41" i="5"/>
  <c r="AA6" i="5"/>
  <c r="Z6" i="5"/>
  <c r="AC12" i="5"/>
  <c r="Y12" i="5"/>
  <c r="X12" i="5"/>
  <c r="AA16" i="5"/>
  <c r="Z16" i="5"/>
  <c r="Y29" i="5"/>
  <c r="X29" i="5"/>
  <c r="AC29" i="5"/>
  <c r="AA32" i="5"/>
  <c r="Z32" i="5"/>
  <c r="Y34" i="5"/>
  <c r="X34" i="5"/>
  <c r="AC34" i="5"/>
  <c r="X2" i="5"/>
  <c r="Y2" i="5"/>
  <c r="AC15" i="5"/>
  <c r="Y15" i="5"/>
  <c r="X15" i="5"/>
  <c r="Z29" i="5"/>
  <c r="AA29" i="5"/>
  <c r="AC33" i="5"/>
  <c r="Y33" i="5"/>
  <c r="X33" i="5"/>
  <c r="Z40" i="5"/>
  <c r="AA40" i="5"/>
  <c r="AC43" i="5"/>
  <c r="Y43" i="5"/>
  <c r="X43" i="5"/>
  <c r="AC50" i="5"/>
  <c r="Y50" i="5"/>
  <c r="X50" i="5"/>
  <c r="Y57" i="5"/>
  <c r="AC57" i="5"/>
  <c r="X57" i="5"/>
  <c r="X35" i="5"/>
  <c r="AC35" i="5"/>
  <c r="Y35" i="5"/>
  <c r="AC11" i="5"/>
  <c r="X11" i="5"/>
  <c r="Y11" i="5"/>
  <c r="AC10" i="5"/>
  <c r="Y10" i="5"/>
  <c r="X10" i="5"/>
  <c r="Z13" i="5"/>
  <c r="AA13" i="5"/>
  <c r="Z23" i="5"/>
  <c r="X8" i="5"/>
  <c r="Y8" i="5"/>
  <c r="AC8" i="5"/>
  <c r="AC25" i="5"/>
  <c r="X25" i="5"/>
  <c r="Y25" i="5"/>
  <c r="AA33" i="5"/>
  <c r="Z33" i="5"/>
  <c r="AC40" i="5"/>
  <c r="Y40" i="5"/>
  <c r="X40" i="5"/>
  <c r="Z14" i="5"/>
  <c r="AA14" i="5"/>
  <c r="X4" i="5"/>
  <c r="Y4" i="5"/>
  <c r="AC26" i="5"/>
  <c r="Y26" i="5"/>
  <c r="X26" i="5"/>
  <c r="Z15" i="5"/>
  <c r="AA15" i="5"/>
  <c r="Y18" i="5"/>
  <c r="X18" i="5"/>
  <c r="AC18" i="5"/>
  <c r="AA8" i="5"/>
  <c r="Z8" i="5"/>
  <c r="AA36" i="5"/>
  <c r="Z36" i="5"/>
  <c r="AA134" i="5"/>
  <c r="Z134" i="5"/>
  <c r="Y73" i="5"/>
  <c r="X73" i="5"/>
  <c r="AC87" i="5"/>
  <c r="Y87" i="5"/>
  <c r="X87" i="5"/>
  <c r="AC99" i="5"/>
  <c r="Y99" i="5"/>
  <c r="X99" i="5"/>
  <c r="AA107" i="5"/>
  <c r="Z107" i="5"/>
  <c r="AC129" i="5"/>
  <c r="Y129" i="5"/>
  <c r="X129" i="5"/>
  <c r="AC135" i="5"/>
  <c r="Y135" i="5"/>
  <c r="X135" i="5"/>
  <c r="Y137" i="5"/>
  <c r="X137" i="5"/>
  <c r="AC148" i="5"/>
  <c r="Y148" i="5"/>
  <c r="X148" i="5"/>
  <c r="AA151" i="5"/>
  <c r="Z151" i="5"/>
  <c r="AC163" i="5"/>
  <c r="Y163" i="5"/>
  <c r="X163" i="5"/>
  <c r="AA168" i="5"/>
  <c r="Z168" i="5"/>
  <c r="AA236" i="5"/>
  <c r="Z236" i="5"/>
  <c r="AC338" i="5"/>
  <c r="Y338" i="5"/>
  <c r="X338" i="5"/>
  <c r="Y526" i="5"/>
  <c r="X526" i="5"/>
  <c r="AC526" i="5"/>
  <c r="AA66" i="5"/>
  <c r="Z66" i="5"/>
  <c r="Y89" i="5"/>
  <c r="X89" i="5"/>
  <c r="AC104" i="5"/>
  <c r="Y104" i="5"/>
  <c r="X104" i="5"/>
  <c r="AC146" i="5"/>
  <c r="Y146" i="5"/>
  <c r="X146" i="5"/>
  <c r="AA148" i="5"/>
  <c r="Z148" i="5"/>
  <c r="AC154" i="5"/>
  <c r="Y154" i="5"/>
  <c r="X154" i="5"/>
  <c r="AC198" i="5"/>
  <c r="Y198" i="5"/>
  <c r="X198" i="5"/>
  <c r="AA299" i="5"/>
  <c r="Z299" i="5"/>
  <c r="AC171" i="5"/>
  <c r="Y171" i="5"/>
  <c r="X171" i="5"/>
  <c r="X36" i="5"/>
  <c r="AA71" i="5"/>
  <c r="Z71" i="5"/>
  <c r="AC98" i="5"/>
  <c r="Y98" i="5"/>
  <c r="X98" i="5"/>
  <c r="AC199" i="5"/>
  <c r="Y199" i="5"/>
  <c r="X199" i="5"/>
  <c r="AC234" i="5"/>
  <c r="Y234" i="5"/>
  <c r="X234" i="5"/>
  <c r="Y312" i="5"/>
  <c r="X312" i="5"/>
  <c r="AC312" i="5"/>
  <c r="AC44" i="5"/>
  <c r="X111" i="5"/>
  <c r="Y111" i="5"/>
  <c r="Y20" i="5"/>
  <c r="Z25" i="5"/>
  <c r="Y36" i="5"/>
  <c r="AC70" i="5"/>
  <c r="Y70" i="5"/>
  <c r="Z96" i="5"/>
  <c r="AA99" i="5"/>
  <c r="Z99" i="5"/>
  <c r="AA120" i="5"/>
  <c r="Z120" i="5"/>
  <c r="AC124" i="5"/>
  <c r="Y124" i="5"/>
  <c r="X124" i="5"/>
  <c r="AA129" i="5"/>
  <c r="Z129" i="5"/>
  <c r="Z137" i="5"/>
  <c r="AA137" i="5"/>
  <c r="Y142" i="5"/>
  <c r="X142" i="5"/>
  <c r="AC142" i="5"/>
  <c r="AC151" i="5"/>
  <c r="Y151" i="5"/>
  <c r="X151" i="5"/>
  <c r="Y201" i="5"/>
  <c r="X201" i="5"/>
  <c r="AC201" i="5"/>
  <c r="AA234" i="5"/>
  <c r="Z234" i="5"/>
  <c r="AC133" i="5"/>
  <c r="Y133" i="5"/>
  <c r="AA189" i="5"/>
  <c r="Z189" i="5"/>
  <c r="Z67" i="5"/>
  <c r="AC69" i="5"/>
  <c r="Y69" i="5"/>
  <c r="N70" i="5"/>
  <c r="AC72" i="5"/>
  <c r="Y72" i="5"/>
  <c r="X72" i="5"/>
  <c r="AC73" i="5"/>
  <c r="Z89" i="5"/>
  <c r="AA89" i="5"/>
  <c r="Y94" i="5"/>
  <c r="X94" i="5"/>
  <c r="AC94" i="5"/>
  <c r="AC102" i="5"/>
  <c r="Y102" i="5"/>
  <c r="AA125" i="5"/>
  <c r="Z125" i="5"/>
  <c r="X127" i="5"/>
  <c r="Y127" i="5"/>
  <c r="Y132" i="5"/>
  <c r="X132" i="5"/>
  <c r="AC132" i="5"/>
  <c r="Y138" i="5"/>
  <c r="Z147" i="5"/>
  <c r="AA147" i="5"/>
  <c r="AC230" i="5"/>
  <c r="Y230" i="5"/>
  <c r="X230" i="5"/>
  <c r="Y272" i="5"/>
  <c r="X272" i="5"/>
  <c r="AC272" i="5"/>
  <c r="X44" i="5"/>
  <c r="Y80" i="5"/>
  <c r="AC101" i="5"/>
  <c r="Y101" i="5"/>
  <c r="AA102" i="5"/>
  <c r="Z102" i="5"/>
  <c r="M115" i="5"/>
  <c r="AA123" i="5"/>
  <c r="Z123" i="5"/>
  <c r="AC145" i="5"/>
  <c r="Y145" i="5"/>
  <c r="X145" i="5"/>
  <c r="AC167" i="5"/>
  <c r="X167" i="5"/>
  <c r="Y167" i="5"/>
  <c r="AC178" i="5"/>
  <c r="Y178" i="5"/>
  <c r="X178" i="5"/>
  <c r="AC197" i="5"/>
  <c r="Y197" i="5"/>
  <c r="X197" i="5"/>
  <c r="AC219" i="5"/>
  <c r="Y219" i="5"/>
  <c r="X219" i="5"/>
  <c r="AA220" i="5"/>
  <c r="Z220" i="5"/>
  <c r="AC231" i="5"/>
  <c r="Y231" i="5"/>
  <c r="X231" i="5"/>
  <c r="Y116" i="5"/>
  <c r="X116" i="5"/>
  <c r="AC116" i="5"/>
  <c r="X37" i="5"/>
  <c r="Z10" i="5"/>
  <c r="X16" i="5"/>
  <c r="Z26" i="5"/>
  <c r="Y37" i="5"/>
  <c r="Y44" i="5"/>
  <c r="Z61" i="5"/>
  <c r="Y64" i="5"/>
  <c r="AC76" i="5"/>
  <c r="AC103" i="5"/>
  <c r="Y103" i="5"/>
  <c r="X103" i="5"/>
  <c r="M105" i="5"/>
  <c r="N110" i="5"/>
  <c r="AA119" i="5"/>
  <c r="Z119" i="5"/>
  <c r="AC120" i="5"/>
  <c r="Y120" i="5"/>
  <c r="X120" i="5"/>
  <c r="AA150" i="5"/>
  <c r="Z150" i="5"/>
  <c r="M153" i="5"/>
  <c r="Z197" i="5"/>
  <c r="AA197" i="5"/>
  <c r="Y254" i="5"/>
  <c r="AC254" i="5"/>
  <c r="X254" i="5"/>
  <c r="AA261" i="5"/>
  <c r="Z261" i="5"/>
  <c r="X5" i="5"/>
  <c r="Y16" i="5"/>
  <c r="Z21" i="5"/>
  <c r="Z37" i="5"/>
  <c r="X38" i="5"/>
  <c r="Z44" i="5"/>
  <c r="X48" i="5"/>
  <c r="Z64" i="5"/>
  <c r="AC71" i="5"/>
  <c r="Y71" i="5"/>
  <c r="Z72" i="5"/>
  <c r="AC80" i="5"/>
  <c r="AC114" i="5"/>
  <c r="Y114" i="5"/>
  <c r="X114" i="5"/>
  <c r="AA124" i="5"/>
  <c r="Z124" i="5"/>
  <c r="AC128" i="5"/>
  <c r="AA146" i="5"/>
  <c r="Z146" i="5"/>
  <c r="AA165" i="5"/>
  <c r="Z165" i="5"/>
  <c r="AC218" i="5"/>
  <c r="Y218" i="5"/>
  <c r="X218" i="5"/>
  <c r="Y222" i="5"/>
  <c r="X222" i="5"/>
  <c r="AC222" i="5"/>
  <c r="AA184" i="5"/>
  <c r="Z184" i="5"/>
  <c r="Y38" i="5"/>
  <c r="N43" i="5"/>
  <c r="Y48" i="5"/>
  <c r="Z68" i="5"/>
  <c r="AC77" i="5"/>
  <c r="Y77" i="5"/>
  <c r="X77" i="5"/>
  <c r="Y82" i="5"/>
  <c r="X82" i="5"/>
  <c r="AC83" i="5"/>
  <c r="X83" i="5"/>
  <c r="X107" i="5"/>
  <c r="Z111" i="5"/>
  <c r="AA115" i="5"/>
  <c r="Z115" i="5"/>
  <c r="AA136" i="5"/>
  <c r="Z136" i="5"/>
  <c r="AC140" i="5"/>
  <c r="Y140" i="5"/>
  <c r="X140" i="5"/>
  <c r="AC141" i="5"/>
  <c r="Y141" i="5"/>
  <c r="X141" i="5"/>
  <c r="AA157" i="5"/>
  <c r="Z157" i="5"/>
  <c r="AA162" i="5"/>
  <c r="Z162" i="5"/>
  <c r="AA190" i="5"/>
  <c r="Z190" i="5"/>
  <c r="AA222" i="5"/>
  <c r="Z222" i="5"/>
  <c r="AA257" i="5"/>
  <c r="Z257" i="5"/>
  <c r="AA206" i="5"/>
  <c r="Z206" i="5"/>
  <c r="Z48" i="5"/>
  <c r="AC56" i="5"/>
  <c r="Y56" i="5"/>
  <c r="X56" i="5"/>
  <c r="Y58" i="5"/>
  <c r="Y59" i="5"/>
  <c r="AC64" i="5"/>
  <c r="M68" i="5"/>
  <c r="Z77" i="5"/>
  <c r="AC92" i="5"/>
  <c r="Y92" i="5"/>
  <c r="X92" i="5"/>
  <c r="Z105" i="5"/>
  <c r="AA105" i="5"/>
  <c r="Y107" i="5"/>
  <c r="Y110" i="5"/>
  <c r="X110" i="5"/>
  <c r="AC110" i="5"/>
  <c r="AC111" i="5"/>
  <c r="AC118" i="5"/>
  <c r="X133" i="5"/>
  <c r="AC137" i="5"/>
  <c r="X143" i="5"/>
  <c r="Y143" i="5"/>
  <c r="AC150" i="5"/>
  <c r="Y150" i="5"/>
  <c r="X150" i="5"/>
  <c r="AA153" i="5"/>
  <c r="AC67" i="5"/>
  <c r="X67" i="5"/>
  <c r="AA58" i="5"/>
  <c r="Z59" i="5"/>
  <c r="X60" i="5"/>
  <c r="AA76" i="5"/>
  <c r="Z76" i="5"/>
  <c r="AC81" i="5"/>
  <c r="X81" i="5"/>
  <c r="AC89" i="5"/>
  <c r="AC91" i="5"/>
  <c r="AA93" i="5"/>
  <c r="Z93" i="5"/>
  <c r="Y100" i="5"/>
  <c r="X100" i="5"/>
  <c r="AC100" i="5"/>
  <c r="Y106" i="5"/>
  <c r="AA118" i="5"/>
  <c r="Z118" i="5"/>
  <c r="M131" i="5"/>
  <c r="Y164" i="5"/>
  <c r="X164" i="5"/>
  <c r="AC164" i="5"/>
  <c r="AA178" i="5"/>
  <c r="Z178" i="5"/>
  <c r="Z250" i="5"/>
  <c r="AA250" i="5"/>
  <c r="X53" i="5"/>
  <c r="AC58" i="5"/>
  <c r="Y60" i="5"/>
  <c r="AA61" i="5"/>
  <c r="X71" i="5"/>
  <c r="AA87" i="5"/>
  <c r="Z87" i="5"/>
  <c r="AC88" i="5"/>
  <c r="Y88" i="5"/>
  <c r="X88" i="5"/>
  <c r="N91" i="5"/>
  <c r="AA106" i="5"/>
  <c r="AC113" i="5"/>
  <c r="Y113" i="5"/>
  <c r="X113" i="5"/>
  <c r="AC119" i="5"/>
  <c r="AA126" i="5"/>
  <c r="Z126" i="5"/>
  <c r="AA135" i="5"/>
  <c r="Z135" i="5"/>
  <c r="AC136" i="5"/>
  <c r="Y136" i="5"/>
  <c r="X136" i="5"/>
  <c r="AA152" i="5"/>
  <c r="Z152" i="5"/>
  <c r="AA173" i="5"/>
  <c r="Z173" i="5"/>
  <c r="AC215" i="5"/>
  <c r="Y215" i="5"/>
  <c r="X215" i="5"/>
  <c r="AC243" i="5"/>
  <c r="Y243" i="5"/>
  <c r="X243" i="5"/>
  <c r="N47" i="5"/>
  <c r="X54" i="5"/>
  <c r="M65" i="5"/>
  <c r="X70" i="5"/>
  <c r="AA83" i="5"/>
  <c r="Z83" i="5"/>
  <c r="AA84" i="5"/>
  <c r="AC106" i="5"/>
  <c r="AC130" i="5"/>
  <c r="Y130" i="5"/>
  <c r="X130" i="5"/>
  <c r="AA132" i="5"/>
  <c r="X138" i="5"/>
  <c r="AA140" i="5"/>
  <c r="Z140" i="5"/>
  <c r="AC152" i="5"/>
  <c r="Y152" i="5"/>
  <c r="X152" i="5"/>
  <c r="AC168" i="5"/>
  <c r="Y168" i="5"/>
  <c r="X168" i="5"/>
  <c r="AC173" i="5"/>
  <c r="Y173" i="5"/>
  <c r="X173" i="5"/>
  <c r="AA204" i="5"/>
  <c r="Z204" i="5"/>
  <c r="Y217" i="5"/>
  <c r="X217" i="5"/>
  <c r="AC217" i="5"/>
  <c r="AC246" i="5"/>
  <c r="Y246" i="5"/>
  <c r="X246" i="5"/>
  <c r="AC247" i="5"/>
  <c r="Y247" i="5"/>
  <c r="X247" i="5"/>
  <c r="M63" i="5"/>
  <c r="N73" i="5"/>
  <c r="M79" i="5"/>
  <c r="X90" i="5"/>
  <c r="AA92" i="5"/>
  <c r="Z92" i="5"/>
  <c r="AC96" i="5"/>
  <c r="X102" i="5"/>
  <c r="X123" i="5"/>
  <c r="Z128" i="5"/>
  <c r="AA131" i="5"/>
  <c r="Z131" i="5"/>
  <c r="AA155" i="5"/>
  <c r="Z155" i="5"/>
  <c r="AA109" i="5"/>
  <c r="Z109" i="5"/>
  <c r="M49" i="5"/>
  <c r="N63" i="5"/>
  <c r="X69" i="5"/>
  <c r="X76" i="5"/>
  <c r="N79" i="5"/>
  <c r="M86" i="5"/>
  <c r="Z88" i="5"/>
  <c r="N104" i="5"/>
  <c r="AC108" i="5"/>
  <c r="Y108" i="5"/>
  <c r="X108" i="5"/>
  <c r="Z113" i="5"/>
  <c r="Z121" i="5"/>
  <c r="AA121" i="5"/>
  <c r="Y123" i="5"/>
  <c r="AC127" i="5"/>
  <c r="AC134" i="5"/>
  <c r="Y134" i="5"/>
  <c r="Z149" i="5"/>
  <c r="AC202" i="5"/>
  <c r="Y202" i="5"/>
  <c r="X202" i="5"/>
  <c r="Y206" i="5"/>
  <c r="X206" i="5"/>
  <c r="AC206" i="5"/>
  <c r="X210" i="5"/>
  <c r="AC235" i="5"/>
  <c r="Y235" i="5"/>
  <c r="X235" i="5"/>
  <c r="AA170" i="5"/>
  <c r="N179" i="5"/>
  <c r="X182" i="5"/>
  <c r="M190" i="5"/>
  <c r="AA196" i="5"/>
  <c r="AA203" i="5"/>
  <c r="Z203" i="5"/>
  <c r="AC204" i="5"/>
  <c r="Y204" i="5"/>
  <c r="X204" i="5"/>
  <c r="AC211" i="5"/>
  <c r="Y211" i="5"/>
  <c r="AA219" i="5"/>
  <c r="Z219" i="5"/>
  <c r="AC220" i="5"/>
  <c r="Y220" i="5"/>
  <c r="X220" i="5"/>
  <c r="AC227" i="5"/>
  <c r="Y227" i="5"/>
  <c r="X227" i="5"/>
  <c r="X239" i="5"/>
  <c r="AC239" i="5"/>
  <c r="AA243" i="5"/>
  <c r="Z243" i="5"/>
  <c r="AC250" i="5"/>
  <c r="Y250" i="5"/>
  <c r="X250" i="5"/>
  <c r="X96" i="5"/>
  <c r="X112" i="5"/>
  <c r="X128" i="5"/>
  <c r="X144" i="5"/>
  <c r="N154" i="5"/>
  <c r="Z175" i="5"/>
  <c r="X181" i="5"/>
  <c r="M194" i="5"/>
  <c r="AA202" i="5"/>
  <c r="Z202" i="5"/>
  <c r="AC214" i="5"/>
  <c r="Y214" i="5"/>
  <c r="X214" i="5"/>
  <c r="AA218" i="5"/>
  <c r="Z218" i="5"/>
  <c r="AA235" i="5"/>
  <c r="Z235" i="5"/>
  <c r="AC236" i="5"/>
  <c r="Y236" i="5"/>
  <c r="X236" i="5"/>
  <c r="AA254" i="5"/>
  <c r="AA255" i="5"/>
  <c r="Z255" i="5"/>
  <c r="AC257" i="5"/>
  <c r="Y257" i="5"/>
  <c r="X257" i="5"/>
  <c r="X262" i="5"/>
  <c r="AC262" i="5"/>
  <c r="Y262" i="5"/>
  <c r="Z273" i="5"/>
  <c r="AA273" i="5"/>
  <c r="AA309" i="5"/>
  <c r="Z309" i="5"/>
  <c r="AA399" i="5"/>
  <c r="Z399" i="5"/>
  <c r="AC413" i="5"/>
  <c r="Y413" i="5"/>
  <c r="X413" i="5"/>
  <c r="AC425" i="5"/>
  <c r="Y425" i="5"/>
  <c r="X425" i="5"/>
  <c r="AA246" i="5"/>
  <c r="Z246" i="5"/>
  <c r="AA249" i="5"/>
  <c r="Z249" i="5"/>
  <c r="X265" i="5"/>
  <c r="AC265" i="5"/>
  <c r="Y265" i="5"/>
  <c r="AA276" i="5"/>
  <c r="Z276" i="5"/>
  <c r="Y287" i="5"/>
  <c r="AA313" i="5"/>
  <c r="Z313" i="5"/>
  <c r="Z159" i="5"/>
  <c r="AA163" i="5"/>
  <c r="Z163" i="5"/>
  <c r="AA183" i="5"/>
  <c r="Z183" i="5"/>
  <c r="AC213" i="5"/>
  <c r="Y213" i="5"/>
  <c r="X238" i="5"/>
  <c r="AC242" i="5"/>
  <c r="Y242" i="5"/>
  <c r="X242" i="5"/>
  <c r="X249" i="5"/>
  <c r="AC249" i="5"/>
  <c r="Y249" i="5"/>
  <c r="Z265" i="5"/>
  <c r="AA265" i="5"/>
  <c r="AC276" i="5"/>
  <c r="Y276" i="5"/>
  <c r="X276" i="5"/>
  <c r="AA283" i="5"/>
  <c r="Z283" i="5"/>
  <c r="AA287" i="5"/>
  <c r="Z287" i="5"/>
  <c r="AA298" i="5"/>
  <c r="Z298" i="5"/>
  <c r="AA302" i="5"/>
  <c r="Z302" i="5"/>
  <c r="AC156" i="5"/>
  <c r="X156" i="5"/>
  <c r="AC176" i="5"/>
  <c r="X176" i="5"/>
  <c r="AC184" i="5"/>
  <c r="Y184" i="5"/>
  <c r="X184" i="5"/>
  <c r="AA185" i="5"/>
  <c r="AA213" i="5"/>
  <c r="Z213" i="5"/>
  <c r="AC229" i="5"/>
  <c r="Y229" i="5"/>
  <c r="X233" i="5"/>
  <c r="AA238" i="5"/>
  <c r="Z238" i="5"/>
  <c r="AC253" i="5"/>
  <c r="Y253" i="5"/>
  <c r="Y261" i="5"/>
  <c r="AC261" i="5"/>
  <c r="X261" i="5"/>
  <c r="Z275" i="5"/>
  <c r="AA275" i="5"/>
  <c r="X294" i="5"/>
  <c r="AC294" i="5"/>
  <c r="Y294" i="5"/>
  <c r="AC302" i="5"/>
  <c r="Y302" i="5"/>
  <c r="X302" i="5"/>
  <c r="Z364" i="5"/>
  <c r="AA364" i="5"/>
  <c r="Y169" i="5"/>
  <c r="X169" i="5"/>
  <c r="AA194" i="5"/>
  <c r="Z194" i="5"/>
  <c r="AA229" i="5"/>
  <c r="Z229" i="5"/>
  <c r="AC245" i="5"/>
  <c r="Y245" i="5"/>
  <c r="AC271" i="5"/>
  <c r="X271" i="5"/>
  <c r="X278" i="5"/>
  <c r="AC278" i="5"/>
  <c r="Y278" i="5"/>
  <c r="AA286" i="5"/>
  <c r="Z286" i="5"/>
  <c r="Z301" i="5"/>
  <c r="AA301" i="5"/>
  <c r="Y304" i="5"/>
  <c r="X304" i="5"/>
  <c r="AC304" i="5"/>
  <c r="AC319" i="5"/>
  <c r="Y319" i="5"/>
  <c r="X319" i="5"/>
  <c r="M162" i="5"/>
  <c r="AC172" i="5"/>
  <c r="Y172" i="5"/>
  <c r="X172" i="5"/>
  <c r="AC189" i="5"/>
  <c r="Y189" i="5"/>
  <c r="X189" i="5"/>
  <c r="AC192" i="5"/>
  <c r="Y192" i="5"/>
  <c r="X192" i="5"/>
  <c r="Y196" i="5"/>
  <c r="X196" i="5"/>
  <c r="AC196" i="5"/>
  <c r="AA245" i="5"/>
  <c r="Z245" i="5"/>
  <c r="Y256" i="5"/>
  <c r="X256" i="5"/>
  <c r="AC256" i="5"/>
  <c r="AC259" i="5"/>
  <c r="Y259" i="5"/>
  <c r="X259" i="5"/>
  <c r="AC268" i="5"/>
  <c r="Y268" i="5"/>
  <c r="X268" i="5"/>
  <c r="AA278" i="5"/>
  <c r="Z278" i="5"/>
  <c r="AC301" i="5"/>
  <c r="Y301" i="5"/>
  <c r="X301" i="5"/>
  <c r="AA315" i="5"/>
  <c r="Z315" i="5"/>
  <c r="AA319" i="5"/>
  <c r="Z319" i="5"/>
  <c r="AA331" i="5"/>
  <c r="Z331" i="5"/>
  <c r="X155" i="5"/>
  <c r="AA172" i="5"/>
  <c r="Z172" i="5"/>
  <c r="Z181" i="5"/>
  <c r="AC187" i="5"/>
  <c r="X187" i="5"/>
  <c r="AA210" i="5"/>
  <c r="Z210" i="5"/>
  <c r="AA226" i="5"/>
  <c r="Z226" i="5"/>
  <c r="Y239" i="5"/>
  <c r="AC241" i="5"/>
  <c r="Y241" i="5"/>
  <c r="X241" i="5"/>
  <c r="AC260" i="5"/>
  <c r="Y260" i="5"/>
  <c r="X260" i="5"/>
  <c r="AA268" i="5"/>
  <c r="Z268" i="5"/>
  <c r="AC330" i="5"/>
  <c r="Y330" i="5"/>
  <c r="X330" i="5"/>
  <c r="Y155" i="5"/>
  <c r="Z164" i="5"/>
  <c r="AC183" i="5"/>
  <c r="Y183" i="5"/>
  <c r="X183" i="5"/>
  <c r="Y212" i="5"/>
  <c r="X212" i="5"/>
  <c r="AC212" i="5"/>
  <c r="AA242" i="5"/>
  <c r="Z242" i="5"/>
  <c r="AA260" i="5"/>
  <c r="Z260" i="5"/>
  <c r="Y270" i="5"/>
  <c r="AC270" i="5"/>
  <c r="X270" i="5"/>
  <c r="Y336" i="5"/>
  <c r="X336" i="5"/>
  <c r="M159" i="5"/>
  <c r="AC160" i="5"/>
  <c r="X160" i="5"/>
  <c r="AC177" i="5"/>
  <c r="N180" i="5"/>
  <c r="AA186" i="5"/>
  <c r="Z186" i="5"/>
  <c r="X191" i="5"/>
  <c r="AC193" i="5"/>
  <c r="AC200" i="5"/>
  <c r="Y200" i="5"/>
  <c r="X200" i="5"/>
  <c r="AA205" i="5"/>
  <c r="Z205" i="5"/>
  <c r="AC208" i="5"/>
  <c r="Y208" i="5"/>
  <c r="X208" i="5"/>
  <c r="AC216" i="5"/>
  <c r="Y216" i="5"/>
  <c r="X216" i="5"/>
  <c r="AA221" i="5"/>
  <c r="Z221" i="5"/>
  <c r="AC224" i="5"/>
  <c r="Y228" i="5"/>
  <c r="X228" i="5"/>
  <c r="AC228" i="5"/>
  <c r="Z251" i="5"/>
  <c r="AC308" i="5"/>
  <c r="Y308" i="5"/>
  <c r="X308" i="5"/>
  <c r="AA177" i="5"/>
  <c r="Z177" i="5"/>
  <c r="AC188" i="5"/>
  <c r="Y188" i="5"/>
  <c r="X188" i="5"/>
  <c r="AA193" i="5"/>
  <c r="Z193" i="5"/>
  <c r="AA200" i="5"/>
  <c r="Z200" i="5"/>
  <c r="AC205" i="5"/>
  <c r="Y205" i="5"/>
  <c r="X205" i="5"/>
  <c r="AC221" i="5"/>
  <c r="Y221" i="5"/>
  <c r="X221" i="5"/>
  <c r="AA224" i="5"/>
  <c r="Z224" i="5"/>
  <c r="AC232" i="5"/>
  <c r="Y232" i="5"/>
  <c r="X232" i="5"/>
  <c r="AA248" i="5"/>
  <c r="Z248" i="5"/>
  <c r="AC258" i="5"/>
  <c r="Y277" i="5"/>
  <c r="X277" i="5"/>
  <c r="AC277" i="5"/>
  <c r="AA297" i="5"/>
  <c r="Z297" i="5"/>
  <c r="X310" i="5"/>
  <c r="Y310" i="5"/>
  <c r="Z156" i="5"/>
  <c r="M174" i="5"/>
  <c r="M185" i="5"/>
  <c r="AA188" i="5"/>
  <c r="Z188" i="5"/>
  <c r="N195" i="5"/>
  <c r="AA201" i="5"/>
  <c r="AA217" i="5"/>
  <c r="AA232" i="5"/>
  <c r="Z232" i="5"/>
  <c r="AA237" i="5"/>
  <c r="Z237" i="5"/>
  <c r="AC238" i="5"/>
  <c r="AA262" i="5"/>
  <c r="Z262" i="5"/>
  <c r="AC263" i="5"/>
  <c r="Y263" i="5"/>
  <c r="X263" i="5"/>
  <c r="X326" i="5"/>
  <c r="AC326" i="5"/>
  <c r="Y326" i="5"/>
  <c r="M158" i="5"/>
  <c r="AC161" i="5"/>
  <c r="Y165" i="5"/>
  <c r="N167" i="5"/>
  <c r="N174" i="5"/>
  <c r="AC195" i="5"/>
  <c r="Y195" i="5"/>
  <c r="X195" i="5"/>
  <c r="N199" i="5"/>
  <c r="X207" i="5"/>
  <c r="AC207" i="5"/>
  <c r="AA209" i="5"/>
  <c r="Z209" i="5"/>
  <c r="N215" i="5"/>
  <c r="X223" i="5"/>
  <c r="AC223" i="5"/>
  <c r="AA225" i="5"/>
  <c r="Z225" i="5"/>
  <c r="AC237" i="5"/>
  <c r="Y237" i="5"/>
  <c r="X237" i="5"/>
  <c r="AA240" i="5"/>
  <c r="Z240" i="5"/>
  <c r="N247" i="5"/>
  <c r="X253" i="5"/>
  <c r="AC255" i="5"/>
  <c r="Y255" i="5"/>
  <c r="X255" i="5"/>
  <c r="Z259" i="5"/>
  <c r="AA259" i="5"/>
  <c r="Y271" i="5"/>
  <c r="M149" i="5"/>
  <c r="AC203" i="5"/>
  <c r="Y203" i="5"/>
  <c r="X203" i="5"/>
  <c r="AA211" i="5"/>
  <c r="Z211" i="5"/>
  <c r="X213" i="5"/>
  <c r="AA227" i="5"/>
  <c r="N231" i="5"/>
  <c r="AA233" i="5"/>
  <c r="AA241" i="5"/>
  <c r="Z241" i="5"/>
  <c r="AA277" i="5"/>
  <c r="Z277" i="5"/>
  <c r="AC292" i="5"/>
  <c r="Y292" i="5"/>
  <c r="X292" i="5"/>
  <c r="Y320" i="5"/>
  <c r="X320" i="5"/>
  <c r="AC320" i="5"/>
  <c r="AC305" i="5"/>
  <c r="AC307" i="5"/>
  <c r="X307" i="5"/>
  <c r="AA343" i="5"/>
  <c r="Z343" i="5"/>
  <c r="AA347" i="5"/>
  <c r="Z347" i="5"/>
  <c r="Y358" i="5"/>
  <c r="X358" i="5"/>
  <c r="AC358" i="5"/>
  <c r="AC367" i="5"/>
  <c r="X367" i="5"/>
  <c r="AC391" i="5"/>
  <c r="X391" i="5"/>
  <c r="Y391" i="5"/>
  <c r="AC447" i="5"/>
  <c r="X447" i="5"/>
  <c r="Y447" i="5"/>
  <c r="M251" i="5"/>
  <c r="AA266" i="5"/>
  <c r="Z266" i="5"/>
  <c r="M274" i="5"/>
  <c r="AA281" i="5"/>
  <c r="Z281" i="5"/>
  <c r="AC311" i="5"/>
  <c r="X311" i="5"/>
  <c r="AC313" i="5"/>
  <c r="X313" i="5"/>
  <c r="AA325" i="5"/>
  <c r="Z325" i="5"/>
  <c r="Y328" i="5"/>
  <c r="X328" i="5"/>
  <c r="AC339" i="5"/>
  <c r="Y339" i="5"/>
  <c r="X339" i="5"/>
  <c r="Y347" i="5"/>
  <c r="AC347" i="5"/>
  <c r="X347" i="5"/>
  <c r="Y299" i="5"/>
  <c r="X299" i="5"/>
  <c r="AC299" i="5"/>
  <c r="AC300" i="5"/>
  <c r="Y300" i="5"/>
  <c r="AA306" i="5"/>
  <c r="Z306" i="5"/>
  <c r="AA311" i="5"/>
  <c r="Z311" i="5"/>
  <c r="AC334" i="5"/>
  <c r="Y334" i="5"/>
  <c r="AC355" i="5"/>
  <c r="Y355" i="5"/>
  <c r="X355" i="5"/>
  <c r="AC370" i="5"/>
  <c r="AA375" i="5"/>
  <c r="Z375" i="5"/>
  <c r="AA420" i="5"/>
  <c r="Z420" i="5"/>
  <c r="AA449" i="5"/>
  <c r="Z449" i="5"/>
  <c r="AA292" i="5"/>
  <c r="Z292" i="5"/>
  <c r="Y293" i="5"/>
  <c r="X293" i="5"/>
  <c r="Z317" i="5"/>
  <c r="AC329" i="5"/>
  <c r="X329" i="5"/>
  <c r="AC343" i="5"/>
  <c r="Y343" i="5"/>
  <c r="AC394" i="5"/>
  <c r="Y394" i="5"/>
  <c r="X394" i="5"/>
  <c r="AA405" i="5"/>
  <c r="Z405" i="5"/>
  <c r="X415" i="5"/>
  <c r="AC415" i="5"/>
  <c r="Y415" i="5"/>
  <c r="X420" i="5"/>
  <c r="X452" i="5"/>
  <c r="AC452" i="5"/>
  <c r="Y452" i="5"/>
  <c r="X465" i="5"/>
  <c r="Y161" i="5"/>
  <c r="Z166" i="5"/>
  <c r="Y177" i="5"/>
  <c r="Z182" i="5"/>
  <c r="Y193" i="5"/>
  <c r="Z198" i="5"/>
  <c r="Y209" i="5"/>
  <c r="Z214" i="5"/>
  <c r="Y225" i="5"/>
  <c r="AC286" i="5"/>
  <c r="Y286" i="5"/>
  <c r="AC318" i="5"/>
  <c r="Y318" i="5"/>
  <c r="AA329" i="5"/>
  <c r="Z329" i="5"/>
  <c r="AA351" i="5"/>
  <c r="Z351" i="5"/>
  <c r="AC362" i="5"/>
  <c r="Y362" i="5"/>
  <c r="AC374" i="5"/>
  <c r="Y374" i="5"/>
  <c r="X374" i="5"/>
  <c r="AA385" i="5"/>
  <c r="Y433" i="5"/>
  <c r="AC433" i="5"/>
  <c r="X433" i="5"/>
  <c r="AA465" i="5"/>
  <c r="AC479" i="5"/>
  <c r="Y479" i="5"/>
  <c r="X479" i="5"/>
  <c r="X482" i="5"/>
  <c r="AC482" i="5"/>
  <c r="Y482" i="5"/>
  <c r="Z486" i="5"/>
  <c r="AA486" i="5"/>
  <c r="Y491" i="5"/>
  <c r="X491" i="5"/>
  <c r="AC491" i="5"/>
  <c r="N253" i="5"/>
  <c r="M289" i="5"/>
  <c r="AC323" i="5"/>
  <c r="X323" i="5"/>
  <c r="AC327" i="5"/>
  <c r="Y327" i="5"/>
  <c r="X327" i="5"/>
  <c r="AA337" i="5"/>
  <c r="Z337" i="5"/>
  <c r="Y349" i="5"/>
  <c r="X349" i="5"/>
  <c r="AA362" i="5"/>
  <c r="Z362" i="5"/>
  <c r="Y367" i="5"/>
  <c r="AA374" i="5"/>
  <c r="Z374" i="5"/>
  <c r="AA377" i="5"/>
  <c r="Z377" i="5"/>
  <c r="AA378" i="5"/>
  <c r="Z378" i="5"/>
  <c r="Y393" i="5"/>
  <c r="X393" i="5"/>
  <c r="Z404" i="5"/>
  <c r="AA404" i="5"/>
  <c r="AC284" i="5"/>
  <c r="Y284" i="5"/>
  <c r="Y309" i="5"/>
  <c r="X309" i="5"/>
  <c r="AC317" i="5"/>
  <c r="Y317" i="5"/>
  <c r="X317" i="5"/>
  <c r="AA327" i="5"/>
  <c r="Z327" i="5"/>
  <c r="AA332" i="5"/>
  <c r="Z332" i="5"/>
  <c r="AA339" i="5"/>
  <c r="AA341" i="5"/>
  <c r="Z341" i="5"/>
  <c r="Y353" i="5"/>
  <c r="AC353" i="5"/>
  <c r="X353" i="5"/>
  <c r="AA358" i="5"/>
  <c r="Z358" i="5"/>
  <c r="Y418" i="5"/>
  <c r="X418" i="5"/>
  <c r="AC418" i="5"/>
  <c r="AA427" i="5"/>
  <c r="Z427" i="5"/>
  <c r="Z280" i="5"/>
  <c r="X296" i="5"/>
  <c r="AC298" i="5"/>
  <c r="Y298" i="5"/>
  <c r="X298" i="5"/>
  <c r="Y315" i="5"/>
  <c r="X315" i="5"/>
  <c r="AC315" i="5"/>
  <c r="AC332" i="5"/>
  <c r="Y332" i="5"/>
  <c r="Z334" i="5"/>
  <c r="X342" i="5"/>
  <c r="Y342" i="5"/>
  <c r="AC342" i="5"/>
  <c r="AA346" i="5"/>
  <c r="Z346" i="5"/>
  <c r="Y354" i="5"/>
  <c r="X354" i="5"/>
  <c r="AA360" i="5"/>
  <c r="Y369" i="5"/>
  <c r="X369" i="5"/>
  <c r="AC369" i="5"/>
  <c r="AC381" i="5"/>
  <c r="X403" i="5"/>
  <c r="Y403" i="5"/>
  <c r="AC403" i="5"/>
  <c r="N256" i="5"/>
  <c r="X286" i="5"/>
  <c r="N288" i="5"/>
  <c r="Z289" i="5"/>
  <c r="AC293" i="5"/>
  <c r="X305" i="5"/>
  <c r="Y313" i="5"/>
  <c r="X318" i="5"/>
  <c r="Z321" i="5"/>
  <c r="Y331" i="5"/>
  <c r="X331" i="5"/>
  <c r="AC331" i="5"/>
  <c r="X343" i="5"/>
  <c r="AC346" i="5"/>
  <c r="Y346" i="5"/>
  <c r="AC376" i="5"/>
  <c r="Y376" i="5"/>
  <c r="X376" i="5"/>
  <c r="Y380" i="5"/>
  <c r="X380" i="5"/>
  <c r="X295" i="5"/>
  <c r="X300" i="5"/>
  <c r="AC303" i="5"/>
  <c r="Y303" i="5"/>
  <c r="X303" i="5"/>
  <c r="Y305" i="5"/>
  <c r="Z312" i="5"/>
  <c r="Z318" i="5"/>
  <c r="Y329" i="5"/>
  <c r="AA333" i="5"/>
  <c r="X362" i="5"/>
  <c r="Y364" i="5"/>
  <c r="X364" i="5"/>
  <c r="AC364" i="5"/>
  <c r="X372" i="5"/>
  <c r="AC372" i="5"/>
  <c r="Y372" i="5"/>
  <c r="AA408" i="5"/>
  <c r="Z408" i="5"/>
  <c r="N258" i="5"/>
  <c r="N263" i="5"/>
  <c r="M264" i="5"/>
  <c r="M267" i="5"/>
  <c r="M269" i="5"/>
  <c r="N295" i="5"/>
  <c r="Z300" i="5"/>
  <c r="N303" i="5"/>
  <c r="AA305" i="5"/>
  <c r="Y323" i="5"/>
  <c r="AC373" i="5"/>
  <c r="AA388" i="5"/>
  <c r="Z388" i="5"/>
  <c r="AA436" i="5"/>
  <c r="Z436" i="5"/>
  <c r="X273" i="5"/>
  <c r="X275" i="5"/>
  <c r="X280" i="5"/>
  <c r="M281" i="5"/>
  <c r="M282" i="5"/>
  <c r="X290" i="5"/>
  <c r="X291" i="5"/>
  <c r="AC297" i="5"/>
  <c r="X297" i="5"/>
  <c r="Y311" i="5"/>
  <c r="AA317" i="5"/>
  <c r="X322" i="5"/>
  <c r="AA323" i="5"/>
  <c r="Y325" i="5"/>
  <c r="X325" i="5"/>
  <c r="Z328" i="5"/>
  <c r="X337" i="5"/>
  <c r="Z342" i="5"/>
  <c r="X348" i="5"/>
  <c r="AC348" i="5"/>
  <c r="Y348" i="5"/>
  <c r="AC354" i="5"/>
  <c r="X359" i="5"/>
  <c r="AC359" i="5"/>
  <c r="Y359" i="5"/>
  <c r="AA373" i="5"/>
  <c r="Z373" i="5"/>
  <c r="Z384" i="5"/>
  <c r="AA384" i="5"/>
  <c r="Y402" i="5"/>
  <c r="X402" i="5"/>
  <c r="AC402" i="5"/>
  <c r="Z432" i="5"/>
  <c r="AA432" i="5"/>
  <c r="X436" i="5"/>
  <c r="AC436" i="5"/>
  <c r="Y436" i="5"/>
  <c r="M248" i="5"/>
  <c r="AA274" i="5"/>
  <c r="Y275" i="5"/>
  <c r="X279" i="5"/>
  <c r="Y291" i="5"/>
  <c r="N294" i="5"/>
  <c r="AA304" i="5"/>
  <c r="AA308" i="5"/>
  <c r="Z308" i="5"/>
  <c r="AA314" i="5"/>
  <c r="Z314" i="5"/>
  <c r="AC322" i="5"/>
  <c r="AC328" i="5"/>
  <c r="AC335" i="5"/>
  <c r="Y335" i="5"/>
  <c r="X335" i="5"/>
  <c r="Y337" i="5"/>
  <c r="AA340" i="5"/>
  <c r="Z340" i="5"/>
  <c r="AC345" i="5"/>
  <c r="Y345" i="5"/>
  <c r="X345" i="5"/>
  <c r="AA348" i="5"/>
  <c r="Z348" i="5"/>
  <c r="Z352" i="5"/>
  <c r="AA352" i="5"/>
  <c r="AA359" i="5"/>
  <c r="Z359" i="5"/>
  <c r="AC393" i="5"/>
  <c r="AA421" i="5"/>
  <c r="Z421" i="5"/>
  <c r="AC432" i="5"/>
  <c r="Y432" i="5"/>
  <c r="X432" i="5"/>
  <c r="M266" i="5"/>
  <c r="N279" i="5"/>
  <c r="X284" i="5"/>
  <c r="AC290" i="5"/>
  <c r="AA291" i="5"/>
  <c r="M306" i="5"/>
  <c r="M314" i="5"/>
  <c r="AA330" i="5"/>
  <c r="Z330" i="5"/>
  <c r="AA335" i="5"/>
  <c r="Z335" i="5"/>
  <c r="Z345" i="5"/>
  <c r="AC368" i="5"/>
  <c r="Y368" i="5"/>
  <c r="AC371" i="5"/>
  <c r="Y371" i="5"/>
  <c r="X371" i="5"/>
  <c r="X428" i="5"/>
  <c r="AC428" i="5"/>
  <c r="Y428" i="5"/>
  <c r="Y438" i="5"/>
  <c r="X438" i="5"/>
  <c r="N349" i="5"/>
  <c r="AC350" i="5"/>
  <c r="M360" i="5"/>
  <c r="AC361" i="5"/>
  <c r="M365" i="5"/>
  <c r="M366" i="5"/>
  <c r="N370" i="5"/>
  <c r="N371" i="5"/>
  <c r="AA418" i="5"/>
  <c r="Z418" i="5"/>
  <c r="AA424" i="5"/>
  <c r="Z424" i="5"/>
  <c r="Y449" i="5"/>
  <c r="X449" i="5"/>
  <c r="AC449" i="5"/>
  <c r="Y529" i="5"/>
  <c r="X529" i="5"/>
  <c r="AC529" i="5"/>
  <c r="AA392" i="5"/>
  <c r="Z392" i="5"/>
  <c r="AC399" i="5"/>
  <c r="X399" i="5"/>
  <c r="AC410" i="5"/>
  <c r="Y410" i="5"/>
  <c r="AA425" i="5"/>
  <c r="Z425" i="5"/>
  <c r="Y427" i="5"/>
  <c r="X427" i="5"/>
  <c r="AC427" i="5"/>
  <c r="Z445" i="5"/>
  <c r="AA445" i="5"/>
  <c r="AC468" i="5"/>
  <c r="Y468" i="5"/>
  <c r="X468" i="5"/>
  <c r="AA496" i="5"/>
  <c r="Z496" i="5"/>
  <c r="AA503" i="5"/>
  <c r="Z503" i="5"/>
  <c r="AA514" i="5"/>
  <c r="Z514" i="5"/>
  <c r="AA518" i="5"/>
  <c r="Z518" i="5"/>
  <c r="AC525" i="5"/>
  <c r="Y525" i="5"/>
  <c r="X525" i="5"/>
  <c r="AA386" i="5"/>
  <c r="Z386" i="5"/>
  <c r="AA397" i="5"/>
  <c r="Z397" i="5"/>
  <c r="X419" i="5"/>
  <c r="AC419" i="5"/>
  <c r="Y419" i="5"/>
  <c r="AC434" i="5"/>
  <c r="Y434" i="5"/>
  <c r="X434" i="5"/>
  <c r="Y486" i="5"/>
  <c r="AA491" i="5"/>
  <c r="Z491" i="5"/>
  <c r="AA500" i="5"/>
  <c r="Z500" i="5"/>
  <c r="AA522" i="5"/>
  <c r="Z522" i="5"/>
  <c r="X382" i="5"/>
  <c r="AC386" i="5"/>
  <c r="Y386" i="5"/>
  <c r="X386" i="5"/>
  <c r="Y417" i="5"/>
  <c r="AC417" i="5"/>
  <c r="X417" i="5"/>
  <c r="Z464" i="5"/>
  <c r="AA478" i="5"/>
  <c r="Z478" i="5"/>
  <c r="AA499" i="5"/>
  <c r="Y510" i="5"/>
  <c r="X510" i="5"/>
  <c r="AC510" i="5"/>
  <c r="AC409" i="5"/>
  <c r="Y409" i="5"/>
  <c r="AC423" i="5"/>
  <c r="Y494" i="5"/>
  <c r="AC496" i="5"/>
  <c r="M379" i="5"/>
  <c r="Z382" i="5"/>
  <c r="M396" i="5"/>
  <c r="AA398" i="5"/>
  <c r="X412" i="5"/>
  <c r="AC412" i="5"/>
  <c r="Y412" i="5"/>
  <c r="N423" i="5"/>
  <c r="Z438" i="5"/>
  <c r="AA438" i="5"/>
  <c r="X444" i="5"/>
  <c r="AC444" i="5"/>
  <c r="Y444" i="5"/>
  <c r="X467" i="5"/>
  <c r="AC467" i="5"/>
  <c r="Y467" i="5"/>
  <c r="AA506" i="5"/>
  <c r="M344" i="5"/>
  <c r="N379" i="5"/>
  <c r="AA467" i="5"/>
  <c r="Z467" i="5"/>
  <c r="AA468" i="5"/>
  <c r="Z468" i="5"/>
  <c r="AC471" i="5"/>
  <c r="Y471" i="5"/>
  <c r="AC498" i="5"/>
  <c r="Z502" i="5"/>
  <c r="AA502" i="5"/>
  <c r="AA448" i="5"/>
  <c r="Z448" i="5"/>
  <c r="AA453" i="5"/>
  <c r="Z453" i="5"/>
  <c r="AA471" i="5"/>
  <c r="Z471" i="5"/>
  <c r="AC484" i="5"/>
  <c r="Y484" i="5"/>
  <c r="X484" i="5"/>
  <c r="AC502" i="5"/>
  <c r="Y502" i="5"/>
  <c r="X502" i="5"/>
  <c r="X356" i="5"/>
  <c r="M375" i="5"/>
  <c r="AC383" i="5"/>
  <c r="Y383" i="5"/>
  <c r="X383" i="5"/>
  <c r="Y406" i="5"/>
  <c r="AC416" i="5"/>
  <c r="X416" i="5"/>
  <c r="N433" i="5"/>
  <c r="AC448" i="5"/>
  <c r="Y448" i="5"/>
  <c r="X448" i="5"/>
  <c r="AC464" i="5"/>
  <c r="Y464" i="5"/>
  <c r="X464" i="5"/>
  <c r="Y481" i="5"/>
  <c r="X481" i="5"/>
  <c r="AC481" i="5"/>
  <c r="AA485" i="5"/>
  <c r="Z485" i="5"/>
  <c r="Y356" i="5"/>
  <c r="AA369" i="5"/>
  <c r="Z369" i="5"/>
  <c r="AC382" i="5"/>
  <c r="Y389" i="5"/>
  <c r="X389" i="5"/>
  <c r="AA391" i="5"/>
  <c r="Z391" i="5"/>
  <c r="Z406" i="5"/>
  <c r="AA406" i="5"/>
  <c r="Y407" i="5"/>
  <c r="X409" i="5"/>
  <c r="Z422" i="5"/>
  <c r="AA422" i="5"/>
  <c r="Z429" i="5"/>
  <c r="AA429" i="5"/>
  <c r="X451" i="5"/>
  <c r="Y451" i="5"/>
  <c r="Z455" i="5"/>
  <c r="AC462" i="5"/>
  <c r="Y462" i="5"/>
  <c r="X462" i="5"/>
  <c r="AC463" i="5"/>
  <c r="Y463" i="5"/>
  <c r="X463" i="5"/>
  <c r="X466" i="5"/>
  <c r="AC466" i="5"/>
  <c r="Y466" i="5"/>
  <c r="Z470" i="5"/>
  <c r="AA470" i="5"/>
  <c r="AA481" i="5"/>
  <c r="Z481" i="5"/>
  <c r="AA505" i="5"/>
  <c r="Z505" i="5"/>
  <c r="Z356" i="5"/>
  <c r="AC363" i="5"/>
  <c r="Y363" i="5"/>
  <c r="X363" i="5"/>
  <c r="AA368" i="5"/>
  <c r="Z368" i="5"/>
  <c r="AC378" i="5"/>
  <c r="Y378" i="5"/>
  <c r="AC385" i="5"/>
  <c r="X385" i="5"/>
  <c r="AA389" i="5"/>
  <c r="Z389" i="5"/>
  <c r="Y395" i="5"/>
  <c r="AC395" i="5"/>
  <c r="X395" i="5"/>
  <c r="X422" i="5"/>
  <c r="AC422" i="5"/>
  <c r="AA430" i="5"/>
  <c r="Z430" i="5"/>
  <c r="Y443" i="5"/>
  <c r="X443" i="5"/>
  <c r="AC443" i="5"/>
  <c r="N459" i="5"/>
  <c r="AA466" i="5"/>
  <c r="Z466" i="5"/>
  <c r="AA487" i="5"/>
  <c r="Z487" i="5"/>
  <c r="M388" i="5"/>
  <c r="X390" i="5"/>
  <c r="Y390" i="5"/>
  <c r="N394" i="5"/>
  <c r="X397" i="5"/>
  <c r="Z400" i="5"/>
  <c r="AA400" i="5"/>
  <c r="AA401" i="5"/>
  <c r="Z401" i="5"/>
  <c r="AC405" i="5"/>
  <c r="X405" i="5"/>
  <c r="AA411" i="5"/>
  <c r="Z411" i="5"/>
  <c r="AA412" i="5"/>
  <c r="Z412" i="5"/>
  <c r="AA437" i="5"/>
  <c r="Z437" i="5"/>
  <c r="N443" i="5"/>
  <c r="X476" i="5"/>
  <c r="AC476" i="5"/>
  <c r="Y476" i="5"/>
  <c r="X480" i="5"/>
  <c r="X483" i="5"/>
  <c r="AC483" i="5"/>
  <c r="Y483" i="5"/>
  <c r="X492" i="5"/>
  <c r="Y492" i="5"/>
  <c r="Y497" i="5"/>
  <c r="X497" i="5"/>
  <c r="AC497" i="5"/>
  <c r="X350" i="5"/>
  <c r="AC352" i="5"/>
  <c r="Z360" i="5"/>
  <c r="X361" i="5"/>
  <c r="Z366" i="5"/>
  <c r="AC384" i="5"/>
  <c r="Y384" i="5"/>
  <c r="Y387" i="5"/>
  <c r="X387" i="5"/>
  <c r="AC387" i="5"/>
  <c r="AC397" i="5"/>
  <c r="M400" i="5"/>
  <c r="Y411" i="5"/>
  <c r="AC411" i="5"/>
  <c r="X411" i="5"/>
  <c r="Z417" i="5"/>
  <c r="AC426" i="5"/>
  <c r="Y426" i="5"/>
  <c r="X426" i="5"/>
  <c r="Y450" i="5"/>
  <c r="X450" i="5"/>
  <c r="AA475" i="5"/>
  <c r="Z475" i="5"/>
  <c r="AA484" i="5"/>
  <c r="X495" i="5"/>
  <c r="AA497" i="5"/>
  <c r="Z497" i="5"/>
  <c r="Y504" i="5"/>
  <c r="AC504" i="5"/>
  <c r="X504" i="5"/>
  <c r="N414" i="5"/>
  <c r="X435" i="5"/>
  <c r="Y435" i="5"/>
  <c r="Z447" i="5"/>
  <c r="AC461" i="5"/>
  <c r="Y461" i="5"/>
  <c r="X461" i="5"/>
  <c r="AC469" i="5"/>
  <c r="X469" i="5"/>
  <c r="Y469" i="5"/>
  <c r="Y495" i="5"/>
  <c r="Y500" i="5"/>
  <c r="AA504" i="5"/>
  <c r="Z504" i="5"/>
  <c r="Z479" i="5"/>
  <c r="X499" i="5"/>
  <c r="M503" i="5"/>
  <c r="AA525" i="5"/>
  <c r="Z525" i="5"/>
  <c r="AA529" i="5"/>
  <c r="Z529" i="5"/>
  <c r="Y475" i="5"/>
  <c r="X475" i="5"/>
  <c r="AA480" i="5"/>
  <c r="Z480" i="5"/>
  <c r="X511" i="5"/>
  <c r="AC511" i="5"/>
  <c r="Y511" i="5"/>
  <c r="N381" i="5"/>
  <c r="Y440" i="5"/>
  <c r="Y456" i="5"/>
  <c r="AC474" i="5"/>
  <c r="Y474" i="5"/>
  <c r="AC509" i="5"/>
  <c r="Y509" i="5"/>
  <c r="Y513" i="5"/>
  <c r="X513" i="5"/>
  <c r="AC522" i="5"/>
  <c r="Y522" i="5"/>
  <c r="X522" i="5"/>
  <c r="M437" i="5"/>
  <c r="M439" i="5"/>
  <c r="N444" i="5"/>
  <c r="M453" i="5"/>
  <c r="M455" i="5"/>
  <c r="N460" i="5"/>
  <c r="AA509" i="5"/>
  <c r="AA513" i="5"/>
  <c r="Z513" i="5"/>
  <c r="M517" i="5"/>
  <c r="AC524" i="5"/>
  <c r="Y524" i="5"/>
  <c r="X524" i="5"/>
  <c r="N442" i="5"/>
  <c r="AC505" i="5"/>
  <c r="Z521" i="5"/>
  <c r="AA521" i="5"/>
  <c r="Z431" i="5"/>
  <c r="AA469" i="5"/>
  <c r="Z469" i="5"/>
  <c r="M488" i="5"/>
  <c r="N492" i="5"/>
  <c r="AC528" i="5"/>
  <c r="Y528" i="5"/>
  <c r="X528" i="5"/>
  <c r="X473" i="5"/>
  <c r="AC475" i="5"/>
  <c r="M508" i="5"/>
  <c r="AC531" i="5"/>
  <c r="Y531" i="5"/>
  <c r="X531" i="5"/>
  <c r="AC487" i="5"/>
  <c r="Y487" i="5"/>
  <c r="AA501" i="5"/>
  <c r="Z501" i="5"/>
  <c r="Y516" i="5"/>
  <c r="X516" i="5"/>
  <c r="AC516" i="5"/>
  <c r="AC520" i="5"/>
  <c r="Y520" i="5"/>
  <c r="X520" i="5"/>
  <c r="AA531" i="5"/>
  <c r="Z531" i="5"/>
  <c r="M398" i="5"/>
  <c r="Z428" i="5"/>
  <c r="AC441" i="5"/>
  <c r="Z473" i="5"/>
  <c r="M477" i="5"/>
  <c r="M478" i="5"/>
  <c r="N482" i="5"/>
  <c r="N483" i="5"/>
  <c r="M485" i="5"/>
  <c r="X505" i="5"/>
  <c r="AA528" i="5"/>
  <c r="Z528" i="5"/>
  <c r="M408" i="5"/>
  <c r="N419" i="5"/>
  <c r="Z495" i="5"/>
  <c r="Y505" i="5"/>
  <c r="AC519" i="5"/>
  <c r="Y519" i="5"/>
  <c r="X519" i="5"/>
  <c r="AA523" i="5"/>
  <c r="Z523" i="5"/>
  <c r="X414" i="5"/>
  <c r="X445" i="5"/>
  <c r="X446" i="5"/>
  <c r="Y499" i="5"/>
  <c r="AC513" i="5"/>
  <c r="AC523" i="5"/>
  <c r="Y523" i="5"/>
  <c r="X523" i="5"/>
  <c r="M421" i="5"/>
  <c r="Z426" i="5"/>
  <c r="Y445" i="5"/>
  <c r="Z462" i="5"/>
  <c r="AC489" i="5"/>
  <c r="AC490" i="5"/>
  <c r="Y490" i="5"/>
  <c r="X493" i="5"/>
  <c r="X494" i="5"/>
  <c r="Z499" i="5"/>
  <c r="X500" i="5"/>
  <c r="AA512" i="5"/>
  <c r="Z512" i="5"/>
  <c r="AC515" i="5"/>
  <c r="Y515" i="5"/>
  <c r="X515" i="5"/>
  <c r="AA530" i="5"/>
  <c r="Z530" i="5"/>
  <c r="AA431" i="5"/>
  <c r="Z434" i="5"/>
  <c r="X440" i="5"/>
  <c r="Z446" i="5"/>
  <c r="Z451" i="5"/>
  <c r="M472" i="5"/>
  <c r="N476" i="5"/>
  <c r="Z498" i="5"/>
  <c r="Y501" i="5"/>
  <c r="AC507" i="5"/>
  <c r="Y507" i="5"/>
  <c r="X507" i="5"/>
  <c r="X509" i="5"/>
  <c r="AA515" i="5"/>
  <c r="Z515" i="5"/>
  <c r="AA524" i="5"/>
  <c r="AC530" i="5"/>
  <c r="X530" i="5"/>
  <c r="M392" i="5"/>
  <c r="AC407" i="5"/>
  <c r="N410" i="5"/>
  <c r="M424" i="5"/>
  <c r="M429" i="5"/>
  <c r="M430" i="5"/>
  <c r="X441" i="5"/>
  <c r="N474" i="5"/>
  <c r="AC499" i="5"/>
  <c r="AA516" i="5"/>
  <c r="Z516" i="5"/>
  <c r="Y518" i="5"/>
  <c r="X518" i="5"/>
  <c r="X527" i="5"/>
  <c r="AC527" i="5"/>
  <c r="Y527" i="5"/>
  <c r="AC521" i="5"/>
  <c r="Z527" i="5"/>
  <c r="X514" i="5"/>
  <c r="Z510" i="5"/>
  <c r="Z526" i="5"/>
  <c r="D20" i="3"/>
  <c r="D3" i="3"/>
  <c r="D4" i="3"/>
  <c r="AC456" i="5" l="1"/>
  <c r="Z441" i="5"/>
  <c r="X498" i="5"/>
  <c r="AC486" i="5"/>
  <c r="X357" i="5"/>
  <c r="Z380" i="5"/>
  <c r="X381" i="5"/>
  <c r="Z322" i="5"/>
  <c r="Y420" i="5"/>
  <c r="X370" i="5"/>
  <c r="X244" i="5"/>
  <c r="Z293" i="5"/>
  <c r="Z282" i="5"/>
  <c r="X157" i="5"/>
  <c r="AA108" i="5"/>
  <c r="AA49" i="5"/>
  <c r="AA383" i="5"/>
  <c r="AC66" i="5"/>
  <c r="X122" i="5"/>
  <c r="AC122" i="5"/>
  <c r="AC442" i="5"/>
  <c r="AC244" i="5"/>
  <c r="Y460" i="5"/>
  <c r="AC454" i="5"/>
  <c r="Y357" i="5"/>
  <c r="Y95" i="5"/>
  <c r="Y157" i="5"/>
  <c r="Z145" i="5"/>
  <c r="Z80" i="5"/>
  <c r="Z100" i="5"/>
  <c r="Z511" i="5"/>
  <c r="AC480" i="5"/>
  <c r="Z517" i="5"/>
  <c r="Z507" i="5"/>
  <c r="AA450" i="5"/>
  <c r="AC460" i="5"/>
  <c r="Z353" i="5"/>
  <c r="X454" i="5"/>
  <c r="Y316" i="5"/>
  <c r="X224" i="5"/>
  <c r="X95" i="5"/>
  <c r="AA416" i="5"/>
  <c r="Z86" i="5"/>
  <c r="AA56" i="5"/>
  <c r="X458" i="5"/>
  <c r="AC473" i="5"/>
  <c r="Y473" i="5"/>
  <c r="AA409" i="5"/>
  <c r="Y496" i="5"/>
  <c r="Z310" i="5"/>
  <c r="AC316" i="5"/>
  <c r="AA307" i="5"/>
  <c r="AC191" i="5"/>
  <c r="AC32" i="5"/>
  <c r="Z363" i="5"/>
  <c r="Y210" i="5"/>
  <c r="AA239" i="5"/>
  <c r="Y84" i="5"/>
  <c r="Z142" i="5"/>
  <c r="AC78" i="5"/>
  <c r="Z60" i="5"/>
  <c r="AC84" i="5"/>
  <c r="AC406" i="5"/>
  <c r="Y285" i="5"/>
  <c r="AC288" i="5"/>
  <c r="AC404" i="5"/>
  <c r="Y459" i="5"/>
  <c r="Z457" i="5"/>
  <c r="Z402" i="5"/>
  <c r="X283" i="5"/>
  <c r="AC285" i="5"/>
  <c r="X180" i="5"/>
  <c r="Z97" i="5"/>
  <c r="X32" i="5"/>
  <c r="Y78" i="5"/>
  <c r="Z82" i="5"/>
  <c r="AA440" i="5"/>
  <c r="AC283" i="5"/>
  <c r="AC180" i="5"/>
  <c r="X442" i="5"/>
  <c r="Z285" i="5"/>
  <c r="X341" i="5"/>
  <c r="Z139" i="5"/>
  <c r="Y47" i="5"/>
  <c r="AA34" i="5"/>
  <c r="Y233" i="5"/>
  <c r="Z357" i="5"/>
  <c r="Y341" i="5"/>
  <c r="Z324" i="5"/>
  <c r="AC252" i="5"/>
  <c r="Z191" i="5"/>
  <c r="Z138" i="5"/>
  <c r="Y21" i="5"/>
  <c r="Z22" i="5"/>
  <c r="Z160" i="5"/>
  <c r="Z489" i="5"/>
  <c r="X506" i="5"/>
  <c r="AA461" i="5"/>
  <c r="Y506" i="5"/>
  <c r="X377" i="5"/>
  <c r="Z354" i="5"/>
  <c r="Y351" i="5"/>
  <c r="Z267" i="5"/>
  <c r="Z208" i="5"/>
  <c r="X252" i="5"/>
  <c r="Z141" i="5"/>
  <c r="Z103" i="5"/>
  <c r="Z27" i="5"/>
  <c r="AC23" i="5"/>
  <c r="AA161" i="5"/>
  <c r="AC459" i="5"/>
  <c r="AA413" i="5"/>
  <c r="X470" i="5"/>
  <c r="AC457" i="5"/>
  <c r="Y377" i="5"/>
  <c r="Y340" i="5"/>
  <c r="Z344" i="5"/>
  <c r="AC351" i="5"/>
  <c r="Z171" i="5"/>
  <c r="Z90" i="5"/>
  <c r="X121" i="5"/>
  <c r="X66" i="5"/>
  <c r="X21" i="5"/>
  <c r="X23" i="5"/>
  <c r="Z62" i="5"/>
  <c r="X175" i="5"/>
  <c r="Z395" i="5"/>
  <c r="AC340" i="5"/>
  <c r="Y121" i="5"/>
  <c r="X226" i="5"/>
  <c r="Z94" i="5"/>
  <c r="X109" i="5"/>
  <c r="Z9" i="5"/>
  <c r="Y51" i="5"/>
  <c r="X45" i="5"/>
  <c r="AC401" i="5"/>
  <c r="Y373" i="5"/>
  <c r="Z127" i="5"/>
  <c r="X119" i="5"/>
  <c r="Y226" i="5"/>
  <c r="Z130" i="5"/>
  <c r="Y109" i="5"/>
  <c r="X51" i="5"/>
  <c r="AC45" i="5"/>
  <c r="Z39" i="5"/>
  <c r="AC175" i="5"/>
  <c r="AA212" i="5"/>
  <c r="Y458" i="5"/>
  <c r="X401" i="5"/>
  <c r="AA290" i="5"/>
  <c r="AA493" i="5"/>
  <c r="Y118" i="5"/>
  <c r="X457" i="5"/>
  <c r="Z490" i="5"/>
  <c r="X91" i="5"/>
  <c r="Y170" i="5"/>
  <c r="AC170" i="5"/>
  <c r="Y470" i="5"/>
  <c r="Y465" i="5"/>
  <c r="X288" i="5"/>
  <c r="AC287" i="5"/>
  <c r="Y117" i="5"/>
  <c r="Y179" i="5"/>
  <c r="AC47" i="5"/>
  <c r="Z336" i="5"/>
  <c r="AA336" i="5"/>
  <c r="Y139" i="5"/>
  <c r="X139" i="5"/>
  <c r="AC117" i="5"/>
  <c r="AC139" i="5"/>
  <c r="X324" i="5"/>
  <c r="AC179" i="5"/>
  <c r="AA18" i="5"/>
  <c r="Y493" i="5"/>
  <c r="AC493" i="5"/>
  <c r="AC321" i="5"/>
  <c r="Y321" i="5"/>
  <c r="Z272" i="5"/>
  <c r="AA272" i="5"/>
  <c r="Z244" i="5"/>
  <c r="AC126" i="5"/>
  <c r="X85" i="5"/>
  <c r="Y324" i="5"/>
  <c r="AA452" i="5"/>
  <c r="Z452" i="5"/>
  <c r="AC414" i="5"/>
  <c r="AA393" i="5"/>
  <c r="AA520" i="5"/>
  <c r="X126" i="5"/>
  <c r="X404" i="5"/>
  <c r="AA207" i="5"/>
  <c r="Z207" i="5"/>
  <c r="Z50" i="5"/>
  <c r="AA326" i="5"/>
  <c r="Z326" i="5"/>
  <c r="Z143" i="5"/>
  <c r="Z270" i="5"/>
  <c r="Z81" i="5"/>
  <c r="Y181" i="5"/>
  <c r="AC181" i="5"/>
  <c r="Z488" i="5"/>
  <c r="Z216" i="5"/>
  <c r="Y85" i="5"/>
  <c r="AA435" i="5"/>
  <c r="Z269" i="5"/>
  <c r="AC512" i="5"/>
  <c r="Y512" i="5"/>
  <c r="X512" i="5"/>
  <c r="Y3" i="5"/>
  <c r="X3" i="5"/>
  <c r="Z508" i="5"/>
  <c r="AA508" i="5"/>
  <c r="Z355" i="5"/>
  <c r="X74" i="5"/>
  <c r="Y74" i="5"/>
  <c r="AC74" i="5"/>
  <c r="AC295" i="5"/>
  <c r="AA454" i="5"/>
  <c r="AA316" i="5"/>
  <c r="Z316" i="5"/>
  <c r="X431" i="5"/>
  <c r="AC90" i="5"/>
  <c r="Y90" i="5"/>
  <c r="AA252" i="5"/>
  <c r="Z252" i="5"/>
  <c r="X423" i="5"/>
  <c r="Y431" i="5"/>
  <c r="X240" i="5"/>
  <c r="X97" i="5"/>
  <c r="AA396" i="5"/>
  <c r="Z396" i="5"/>
  <c r="Z122" i="5"/>
  <c r="AA122" i="5"/>
  <c r="X75" i="5"/>
  <c r="Y75" i="5"/>
  <c r="AC75" i="5"/>
  <c r="AA112" i="5"/>
  <c r="Z112" i="5"/>
  <c r="X501" i="5"/>
  <c r="Z365" i="5"/>
  <c r="X333" i="5"/>
  <c r="Y240" i="5"/>
  <c r="Y97" i="5"/>
  <c r="AA458" i="5"/>
  <c r="Z458" i="5"/>
  <c r="AA350" i="5"/>
  <c r="Z350" i="5"/>
  <c r="Z271" i="5"/>
  <c r="Y333" i="5"/>
  <c r="Z456" i="5"/>
  <c r="AA456" i="5"/>
  <c r="AC165" i="5"/>
  <c r="Z116" i="5"/>
  <c r="AA116" i="5"/>
  <c r="X170" i="5"/>
  <c r="Z65" i="5"/>
  <c r="Z403" i="5"/>
  <c r="AA403" i="5"/>
  <c r="AA519" i="5"/>
  <c r="Z519" i="5"/>
  <c r="Z228" i="5"/>
  <c r="AA79" i="5"/>
  <c r="Z79" i="5"/>
  <c r="AC392" i="5"/>
  <c r="Y392" i="5"/>
  <c r="X392" i="5"/>
  <c r="Y472" i="5"/>
  <c r="AC472" i="5"/>
  <c r="X472" i="5"/>
  <c r="AC517" i="5"/>
  <c r="Y517" i="5"/>
  <c r="X517" i="5"/>
  <c r="Y306" i="5"/>
  <c r="AC306" i="5"/>
  <c r="X306" i="5"/>
  <c r="Y149" i="5"/>
  <c r="AC149" i="5"/>
  <c r="X149" i="5"/>
  <c r="Y158" i="5"/>
  <c r="X158" i="5"/>
  <c r="AC158" i="5"/>
  <c r="AC162" i="5"/>
  <c r="Y162" i="5"/>
  <c r="X162" i="5"/>
  <c r="Y375" i="5"/>
  <c r="X375" i="5"/>
  <c r="AC375" i="5"/>
  <c r="Y398" i="5"/>
  <c r="X398" i="5"/>
  <c r="AC398" i="5"/>
  <c r="AA459" i="5"/>
  <c r="Z459" i="5"/>
  <c r="AC282" i="5"/>
  <c r="Y282" i="5"/>
  <c r="X282" i="5"/>
  <c r="AC289" i="5"/>
  <c r="X289" i="5"/>
  <c r="Y289" i="5"/>
  <c r="AA215" i="5"/>
  <c r="Z215" i="5"/>
  <c r="AA180" i="5"/>
  <c r="Z180" i="5"/>
  <c r="AA63" i="5"/>
  <c r="Z63" i="5"/>
  <c r="Y68" i="5"/>
  <c r="X68" i="5"/>
  <c r="AC68" i="5"/>
  <c r="AC508" i="5"/>
  <c r="Y508" i="5"/>
  <c r="X508" i="5"/>
  <c r="AC314" i="5"/>
  <c r="Y314" i="5"/>
  <c r="X314" i="5"/>
  <c r="AC86" i="5"/>
  <c r="Y86" i="5"/>
  <c r="X86" i="5"/>
  <c r="AC344" i="5"/>
  <c r="Y344" i="5"/>
  <c r="X344" i="5"/>
  <c r="AC281" i="5"/>
  <c r="X281" i="5"/>
  <c r="Y281" i="5"/>
  <c r="AA303" i="5"/>
  <c r="Z303" i="5"/>
  <c r="AA253" i="5"/>
  <c r="Z253" i="5"/>
  <c r="AA195" i="5"/>
  <c r="Z195" i="5"/>
  <c r="AC49" i="5"/>
  <c r="Y49" i="5"/>
  <c r="X49" i="5"/>
  <c r="AC115" i="5"/>
  <c r="Y115" i="5"/>
  <c r="X115" i="5"/>
  <c r="AC400" i="5"/>
  <c r="Y400" i="5"/>
  <c r="X400" i="5"/>
  <c r="Z492" i="5"/>
  <c r="AA492" i="5"/>
  <c r="AA371" i="5"/>
  <c r="Z371" i="5"/>
  <c r="AA279" i="5"/>
  <c r="Z279" i="5"/>
  <c r="AC274" i="5"/>
  <c r="Y274" i="5"/>
  <c r="X274" i="5"/>
  <c r="AC266" i="5"/>
  <c r="Y266" i="5"/>
  <c r="X266" i="5"/>
  <c r="AA231" i="5"/>
  <c r="Z231" i="5"/>
  <c r="X79" i="5"/>
  <c r="Y79" i="5"/>
  <c r="AC79" i="5"/>
  <c r="AA91" i="5"/>
  <c r="Z91" i="5"/>
  <c r="AA110" i="5"/>
  <c r="Z110" i="5"/>
  <c r="AC455" i="5"/>
  <c r="Y455" i="5"/>
  <c r="X455" i="5"/>
  <c r="AC503" i="5"/>
  <c r="Y503" i="5"/>
  <c r="X503" i="5"/>
  <c r="Z394" i="5"/>
  <c r="AA394" i="5"/>
  <c r="X396" i="5"/>
  <c r="AC396" i="5"/>
  <c r="Y396" i="5"/>
  <c r="Y366" i="5"/>
  <c r="X366" i="5"/>
  <c r="AC366" i="5"/>
  <c r="AA294" i="5"/>
  <c r="Z294" i="5"/>
  <c r="Y185" i="5"/>
  <c r="X185" i="5"/>
  <c r="AC185" i="5"/>
  <c r="AC159" i="5"/>
  <c r="Y159" i="5"/>
  <c r="X159" i="5"/>
  <c r="Z73" i="5"/>
  <c r="AA73" i="5"/>
  <c r="Y105" i="5"/>
  <c r="X105" i="5"/>
  <c r="AC105" i="5"/>
  <c r="Y488" i="5"/>
  <c r="AC488" i="5"/>
  <c r="X488" i="5"/>
  <c r="AA483" i="5"/>
  <c r="Z483" i="5"/>
  <c r="AA381" i="5"/>
  <c r="Z381" i="5"/>
  <c r="AA482" i="5"/>
  <c r="Z482" i="5"/>
  <c r="AC453" i="5"/>
  <c r="X453" i="5"/>
  <c r="Y453" i="5"/>
  <c r="AC365" i="5"/>
  <c r="Y365" i="5"/>
  <c r="X365" i="5"/>
  <c r="AC269" i="5"/>
  <c r="Y269" i="5"/>
  <c r="X269" i="5"/>
  <c r="Z288" i="5"/>
  <c r="AA288" i="5"/>
  <c r="Y251" i="5"/>
  <c r="X251" i="5"/>
  <c r="AC251" i="5"/>
  <c r="AA199" i="5"/>
  <c r="Z199" i="5"/>
  <c r="Y174" i="5"/>
  <c r="X174" i="5"/>
  <c r="AC174" i="5"/>
  <c r="X63" i="5"/>
  <c r="Y63" i="5"/>
  <c r="AC63" i="5"/>
  <c r="AA370" i="5"/>
  <c r="Z370" i="5"/>
  <c r="Y267" i="5"/>
  <c r="X267" i="5"/>
  <c r="AC267" i="5"/>
  <c r="AA247" i="5"/>
  <c r="Z247" i="5"/>
  <c r="AC65" i="5"/>
  <c r="Y65" i="5"/>
  <c r="X65" i="5"/>
  <c r="AA70" i="5"/>
  <c r="Z70" i="5"/>
  <c r="Z476" i="5"/>
  <c r="AA476" i="5"/>
  <c r="Z460" i="5"/>
  <c r="AA460" i="5"/>
  <c r="AC478" i="5"/>
  <c r="Y478" i="5"/>
  <c r="X478" i="5"/>
  <c r="AC388" i="5"/>
  <c r="Y388" i="5"/>
  <c r="X388" i="5"/>
  <c r="Y360" i="5"/>
  <c r="X360" i="5"/>
  <c r="AC360" i="5"/>
  <c r="X264" i="5"/>
  <c r="AC264" i="5"/>
  <c r="Y264" i="5"/>
  <c r="Z256" i="5"/>
  <c r="AA256" i="5"/>
  <c r="AA295" i="5"/>
  <c r="Z295" i="5"/>
  <c r="AC439" i="5"/>
  <c r="Y439" i="5"/>
  <c r="X439" i="5"/>
  <c r="AC437" i="5"/>
  <c r="X437" i="5"/>
  <c r="Y437" i="5"/>
  <c r="AA263" i="5"/>
  <c r="Z263" i="5"/>
  <c r="AC194" i="5"/>
  <c r="Y194" i="5"/>
  <c r="X194" i="5"/>
  <c r="Y190" i="5"/>
  <c r="X190" i="5"/>
  <c r="AC190" i="5"/>
  <c r="AA47" i="5"/>
  <c r="Z47" i="5"/>
  <c r="AA410" i="5"/>
  <c r="Z410" i="5"/>
  <c r="AA379" i="5"/>
  <c r="Z379" i="5"/>
  <c r="AA443" i="5"/>
  <c r="Z443" i="5"/>
  <c r="AA433" i="5"/>
  <c r="Z433" i="5"/>
  <c r="AA474" i="5"/>
  <c r="Z474" i="5"/>
  <c r="AC477" i="5"/>
  <c r="Y477" i="5"/>
  <c r="X477" i="5"/>
  <c r="X421" i="5"/>
  <c r="AC421" i="5"/>
  <c r="Y421" i="5"/>
  <c r="AC430" i="5"/>
  <c r="Y430" i="5"/>
  <c r="X430" i="5"/>
  <c r="AA349" i="5"/>
  <c r="Z349" i="5"/>
  <c r="Z258" i="5"/>
  <c r="AA258" i="5"/>
  <c r="AA174" i="5"/>
  <c r="Z174" i="5"/>
  <c r="AA104" i="5"/>
  <c r="Z104" i="5"/>
  <c r="AC131" i="5"/>
  <c r="Y131" i="5"/>
  <c r="X131" i="5"/>
  <c r="AA423" i="5"/>
  <c r="Z423" i="5"/>
  <c r="AA43" i="5"/>
  <c r="Z43" i="5"/>
  <c r="AA414" i="5"/>
  <c r="Z414" i="5"/>
  <c r="AC379" i="5"/>
  <c r="Y379" i="5"/>
  <c r="X379" i="5"/>
  <c r="Z419" i="5"/>
  <c r="AA419" i="5"/>
  <c r="AA442" i="5"/>
  <c r="Z442" i="5"/>
  <c r="AC248" i="5"/>
  <c r="Y248" i="5"/>
  <c r="X248" i="5"/>
  <c r="AA179" i="5"/>
  <c r="Z179" i="5"/>
  <c r="AC485" i="5"/>
  <c r="X485" i="5"/>
  <c r="Y485" i="5"/>
  <c r="AA444" i="5"/>
  <c r="Z444" i="5"/>
  <c r="AC429" i="5"/>
  <c r="Y429" i="5"/>
  <c r="X429" i="5"/>
  <c r="Y424" i="5"/>
  <c r="AC424" i="5"/>
  <c r="X424" i="5"/>
  <c r="Y408" i="5"/>
  <c r="X408" i="5"/>
  <c r="AC408" i="5"/>
  <c r="AA167" i="5"/>
  <c r="Z167" i="5"/>
  <c r="Z154" i="5"/>
  <c r="AA154" i="5"/>
  <c r="Y153" i="5"/>
  <c r="X153" i="5"/>
  <c r="AC153" i="5"/>
  <c r="B2" i="4"/>
  <c r="Q2" i="4" l="1"/>
  <c r="L531" i="4"/>
  <c r="K531" i="4"/>
  <c r="I531" i="4"/>
  <c r="H531" i="4"/>
  <c r="F531" i="4"/>
  <c r="E531" i="4"/>
  <c r="L530" i="4"/>
  <c r="K530" i="4"/>
  <c r="I530" i="4"/>
  <c r="H530" i="4"/>
  <c r="F530" i="4"/>
  <c r="E530" i="4"/>
  <c r="L529" i="4"/>
  <c r="K529" i="4"/>
  <c r="I529" i="4"/>
  <c r="H529" i="4"/>
  <c r="F529" i="4"/>
  <c r="E529" i="4"/>
  <c r="L528" i="4"/>
  <c r="K528" i="4"/>
  <c r="I528" i="4"/>
  <c r="H528" i="4"/>
  <c r="F528" i="4"/>
  <c r="E528" i="4"/>
  <c r="L527" i="4"/>
  <c r="K527" i="4"/>
  <c r="I527" i="4"/>
  <c r="H527" i="4"/>
  <c r="L526" i="4"/>
  <c r="K526" i="4"/>
  <c r="I526" i="4"/>
  <c r="H526" i="4"/>
  <c r="F526" i="4"/>
  <c r="E526" i="4"/>
  <c r="L525" i="4"/>
  <c r="K525" i="4"/>
  <c r="I525" i="4"/>
  <c r="H525" i="4"/>
  <c r="F525" i="4"/>
  <c r="E525" i="4"/>
  <c r="L524" i="4"/>
  <c r="K524" i="4"/>
  <c r="I524" i="4"/>
  <c r="H524" i="4"/>
  <c r="L523" i="4"/>
  <c r="K523" i="4"/>
  <c r="I523" i="4"/>
  <c r="H523" i="4"/>
  <c r="F523" i="4"/>
  <c r="E523" i="4"/>
  <c r="L522" i="4"/>
  <c r="K522" i="4"/>
  <c r="I522" i="4"/>
  <c r="H522" i="4"/>
  <c r="F522" i="4"/>
  <c r="E522" i="4"/>
  <c r="L521" i="4"/>
  <c r="K521" i="4"/>
  <c r="I521" i="4"/>
  <c r="H521" i="4"/>
  <c r="F521" i="4"/>
  <c r="E521" i="4"/>
  <c r="L520" i="4"/>
  <c r="K520" i="4"/>
  <c r="I520" i="4"/>
  <c r="H520" i="4"/>
  <c r="L519" i="4"/>
  <c r="K519" i="4"/>
  <c r="I519" i="4"/>
  <c r="H519" i="4"/>
  <c r="L518" i="4"/>
  <c r="K518" i="4"/>
  <c r="I518" i="4"/>
  <c r="H518" i="4"/>
  <c r="F518" i="4"/>
  <c r="E518" i="4"/>
  <c r="L517" i="4"/>
  <c r="K517" i="4"/>
  <c r="L516" i="4"/>
  <c r="K516" i="4"/>
  <c r="I516" i="4"/>
  <c r="H516" i="4"/>
  <c r="F516" i="4"/>
  <c r="E516" i="4"/>
  <c r="L514" i="4"/>
  <c r="K514" i="4"/>
  <c r="L513" i="4"/>
  <c r="K513" i="4"/>
  <c r="I513" i="4"/>
  <c r="H513" i="4"/>
  <c r="F513" i="4"/>
  <c r="E513" i="4"/>
  <c r="L512" i="4"/>
  <c r="K512" i="4"/>
  <c r="I512" i="4"/>
  <c r="H512" i="4"/>
  <c r="L511" i="4"/>
  <c r="K511" i="4"/>
  <c r="I511" i="4"/>
  <c r="H511" i="4"/>
  <c r="F511" i="4"/>
  <c r="E511" i="4"/>
  <c r="L510" i="4"/>
  <c r="K510" i="4"/>
  <c r="L509" i="4"/>
  <c r="K509" i="4"/>
  <c r="I509" i="4"/>
  <c r="H509" i="4"/>
  <c r="F509" i="4"/>
  <c r="E509" i="4"/>
  <c r="L508" i="4"/>
  <c r="K508" i="4"/>
  <c r="L507" i="4"/>
  <c r="K507" i="4"/>
  <c r="I507" i="4"/>
  <c r="H507" i="4"/>
  <c r="L506" i="4"/>
  <c r="K506" i="4"/>
  <c r="I506" i="4"/>
  <c r="H506" i="4"/>
  <c r="L505" i="4"/>
  <c r="K505" i="4"/>
  <c r="I505" i="4"/>
  <c r="H505" i="4"/>
  <c r="F505" i="4"/>
  <c r="E505" i="4"/>
  <c r="L504" i="4"/>
  <c r="K504" i="4"/>
  <c r="I504" i="4"/>
  <c r="H504" i="4"/>
  <c r="L503" i="4"/>
  <c r="K503" i="4"/>
  <c r="L502" i="4"/>
  <c r="K502" i="4"/>
  <c r="I502" i="4"/>
  <c r="H502" i="4"/>
  <c r="L501" i="4"/>
  <c r="K501" i="4"/>
  <c r="I501" i="4"/>
  <c r="H501" i="4"/>
  <c r="F501" i="4"/>
  <c r="E501" i="4"/>
  <c r="L500" i="4"/>
  <c r="K500" i="4"/>
  <c r="L499" i="4"/>
  <c r="K499" i="4"/>
  <c r="I499" i="4"/>
  <c r="H499" i="4"/>
  <c r="F499" i="4"/>
  <c r="E499" i="4"/>
  <c r="L498" i="4"/>
  <c r="K498" i="4"/>
  <c r="I498" i="4"/>
  <c r="H498" i="4"/>
  <c r="F498" i="4"/>
  <c r="E498" i="4"/>
  <c r="L497" i="4"/>
  <c r="K497" i="4"/>
  <c r="I497" i="4"/>
  <c r="H497" i="4"/>
  <c r="L496" i="4"/>
  <c r="K496" i="4"/>
  <c r="I496" i="4"/>
  <c r="H496" i="4"/>
  <c r="L495" i="4"/>
  <c r="K495" i="4"/>
  <c r="I495" i="4"/>
  <c r="H495" i="4"/>
  <c r="L494" i="4"/>
  <c r="K494" i="4"/>
  <c r="I494" i="4"/>
  <c r="H494" i="4"/>
  <c r="F494" i="4"/>
  <c r="E494" i="4"/>
  <c r="L493" i="4"/>
  <c r="K493" i="4"/>
  <c r="I493" i="4"/>
  <c r="H493" i="4"/>
  <c r="F493" i="4"/>
  <c r="E493" i="4"/>
  <c r="L492" i="4"/>
  <c r="K492" i="4"/>
  <c r="L491" i="4"/>
  <c r="K491" i="4"/>
  <c r="I491" i="4"/>
  <c r="H491" i="4"/>
  <c r="F491" i="4"/>
  <c r="E491" i="4"/>
  <c r="L490" i="4"/>
  <c r="K490" i="4"/>
  <c r="L489" i="4"/>
  <c r="K489" i="4"/>
  <c r="I489" i="4"/>
  <c r="H489" i="4"/>
  <c r="L486" i="4"/>
  <c r="K486" i="4"/>
  <c r="I486" i="4"/>
  <c r="H486" i="4"/>
  <c r="L485" i="4"/>
  <c r="K485" i="4"/>
  <c r="L484" i="4"/>
  <c r="K484" i="4"/>
  <c r="I484" i="4"/>
  <c r="H484" i="4"/>
  <c r="L483" i="4"/>
  <c r="K483" i="4"/>
  <c r="I483" i="4"/>
  <c r="H483" i="4"/>
  <c r="F483" i="4"/>
  <c r="E483" i="4"/>
  <c r="L482" i="4"/>
  <c r="K482" i="4"/>
  <c r="I482" i="4"/>
  <c r="H482" i="4"/>
  <c r="F482" i="4"/>
  <c r="E482" i="4"/>
  <c r="L481" i="4"/>
  <c r="K481" i="4"/>
  <c r="I481" i="4"/>
  <c r="H481" i="4"/>
  <c r="L480" i="4"/>
  <c r="K480" i="4"/>
  <c r="I480" i="4"/>
  <c r="H480" i="4"/>
  <c r="F480" i="4"/>
  <c r="E480" i="4"/>
  <c r="L479" i="4"/>
  <c r="K479" i="4"/>
  <c r="L478" i="4"/>
  <c r="K478" i="4"/>
  <c r="I478" i="4"/>
  <c r="H478" i="4"/>
  <c r="F478" i="4"/>
  <c r="E478" i="4"/>
  <c r="L477" i="4"/>
  <c r="K477" i="4"/>
  <c r="L476" i="4"/>
  <c r="K476" i="4"/>
  <c r="I476" i="4"/>
  <c r="H476" i="4"/>
  <c r="F476" i="4"/>
  <c r="E476" i="4"/>
  <c r="L475" i="4"/>
  <c r="K475" i="4"/>
  <c r="I475" i="4"/>
  <c r="H475" i="4"/>
  <c r="F475" i="4"/>
  <c r="E475" i="4"/>
  <c r="L474" i="4"/>
  <c r="K474" i="4"/>
  <c r="I474" i="4"/>
  <c r="H474" i="4"/>
  <c r="F474" i="4"/>
  <c r="E474" i="4"/>
  <c r="L473" i="4"/>
  <c r="K473" i="4"/>
  <c r="I473" i="4"/>
  <c r="H473" i="4"/>
  <c r="F473" i="4"/>
  <c r="E473" i="4"/>
  <c r="L472" i="4"/>
  <c r="K472" i="4"/>
  <c r="L470" i="4"/>
  <c r="K470" i="4"/>
  <c r="I470" i="4"/>
  <c r="H470" i="4"/>
  <c r="L469" i="4"/>
  <c r="K469" i="4"/>
  <c r="I469" i="4"/>
  <c r="H469" i="4"/>
  <c r="L468" i="4"/>
  <c r="K468" i="4"/>
  <c r="I468" i="4"/>
  <c r="H468" i="4"/>
  <c r="F468" i="4"/>
  <c r="E468" i="4"/>
  <c r="L466" i="4"/>
  <c r="K466" i="4"/>
  <c r="L465" i="4"/>
  <c r="K465" i="4"/>
  <c r="I465" i="4"/>
  <c r="H465" i="4"/>
  <c r="L464" i="4"/>
  <c r="K464" i="4"/>
  <c r="I464" i="4"/>
  <c r="H464" i="4"/>
  <c r="F464" i="4"/>
  <c r="E464" i="4"/>
  <c r="L463" i="4"/>
  <c r="K463" i="4"/>
  <c r="I463" i="4"/>
  <c r="H463" i="4"/>
  <c r="F463" i="4"/>
  <c r="E463" i="4"/>
  <c r="L462" i="4"/>
  <c r="K462" i="4"/>
  <c r="L461" i="4"/>
  <c r="K461" i="4"/>
  <c r="L460" i="4"/>
  <c r="K460" i="4"/>
  <c r="L459" i="4"/>
  <c r="K459" i="4"/>
  <c r="I459" i="4"/>
  <c r="H459" i="4"/>
  <c r="L458" i="4"/>
  <c r="K458" i="4"/>
  <c r="L457" i="4"/>
  <c r="K457" i="4"/>
  <c r="L456" i="4"/>
  <c r="K456" i="4"/>
  <c r="I456" i="4"/>
  <c r="H456" i="4"/>
  <c r="F456" i="4"/>
  <c r="E456" i="4"/>
  <c r="L455" i="4"/>
  <c r="K455" i="4"/>
  <c r="I455" i="4"/>
  <c r="H455" i="4"/>
  <c r="L454" i="4"/>
  <c r="K454" i="4"/>
  <c r="I454" i="4"/>
  <c r="H454" i="4"/>
  <c r="L453" i="4"/>
  <c r="K453" i="4"/>
  <c r="I453" i="4"/>
  <c r="H453" i="4"/>
  <c r="F453" i="4"/>
  <c r="E453" i="4"/>
  <c r="L452" i="4"/>
  <c r="K452" i="4"/>
  <c r="I452" i="4"/>
  <c r="H452" i="4"/>
  <c r="F452" i="4"/>
  <c r="E452" i="4"/>
  <c r="L451" i="4"/>
  <c r="K451" i="4"/>
  <c r="I451" i="4"/>
  <c r="H451" i="4"/>
  <c r="F451" i="4"/>
  <c r="E451" i="4"/>
  <c r="L450" i="4"/>
  <c r="K450" i="4"/>
  <c r="L449" i="4"/>
  <c r="K449" i="4"/>
  <c r="I449" i="4"/>
  <c r="H449" i="4"/>
  <c r="F449" i="4"/>
  <c r="E449" i="4"/>
  <c r="L448" i="4"/>
  <c r="K448" i="4"/>
  <c r="I448" i="4"/>
  <c r="H448" i="4"/>
  <c r="L447" i="4"/>
  <c r="K447" i="4"/>
  <c r="I447" i="4"/>
  <c r="H447" i="4"/>
  <c r="F447" i="4"/>
  <c r="E447" i="4"/>
  <c r="L446" i="4"/>
  <c r="K446" i="4"/>
  <c r="L445" i="4"/>
  <c r="K445" i="4"/>
  <c r="L444" i="4"/>
  <c r="K444" i="4"/>
  <c r="I444" i="4"/>
  <c r="H444" i="4"/>
  <c r="F444" i="4"/>
  <c r="E444" i="4"/>
  <c r="L443" i="4"/>
  <c r="K443" i="4"/>
  <c r="I443" i="4"/>
  <c r="H443" i="4"/>
  <c r="F443" i="4"/>
  <c r="E443" i="4"/>
  <c r="L441" i="4"/>
  <c r="K441" i="4"/>
  <c r="I441" i="4"/>
  <c r="H441" i="4"/>
  <c r="F441" i="4"/>
  <c r="E441" i="4"/>
  <c r="L440" i="4"/>
  <c r="K440" i="4"/>
  <c r="I440" i="4"/>
  <c r="H440" i="4"/>
  <c r="F440" i="4"/>
  <c r="E440" i="4"/>
  <c r="L439" i="4"/>
  <c r="K439" i="4"/>
  <c r="I439" i="4"/>
  <c r="H439" i="4"/>
  <c r="L438" i="4"/>
  <c r="K438" i="4"/>
  <c r="I438" i="4"/>
  <c r="H438" i="4"/>
  <c r="F438" i="4"/>
  <c r="E438" i="4"/>
  <c r="L437" i="4"/>
  <c r="K437" i="4"/>
  <c r="L435" i="4"/>
  <c r="K435" i="4"/>
  <c r="I435" i="4"/>
  <c r="H435" i="4"/>
  <c r="F435" i="4"/>
  <c r="E435" i="4"/>
  <c r="L434" i="4"/>
  <c r="K434" i="4"/>
  <c r="I434" i="4"/>
  <c r="H434" i="4"/>
  <c r="F434" i="4"/>
  <c r="E434" i="4"/>
  <c r="L433" i="4"/>
  <c r="K433" i="4"/>
  <c r="L432" i="4"/>
  <c r="K432" i="4"/>
  <c r="I432" i="4"/>
  <c r="H432" i="4"/>
  <c r="L431" i="4"/>
  <c r="K431" i="4"/>
  <c r="I431" i="4"/>
  <c r="H431" i="4"/>
  <c r="L430" i="4"/>
  <c r="K430" i="4"/>
  <c r="I430" i="4"/>
  <c r="H430" i="4"/>
  <c r="F430" i="4"/>
  <c r="E430" i="4"/>
  <c r="L429" i="4"/>
  <c r="K429" i="4"/>
  <c r="I429" i="4"/>
  <c r="H429" i="4"/>
  <c r="F429" i="4"/>
  <c r="E429" i="4"/>
  <c r="L428" i="4"/>
  <c r="K428" i="4"/>
  <c r="L427" i="4"/>
  <c r="K427" i="4"/>
  <c r="I427" i="4"/>
  <c r="H427" i="4"/>
  <c r="F427" i="4"/>
  <c r="E427" i="4"/>
  <c r="L425" i="4"/>
  <c r="K425" i="4"/>
  <c r="I425" i="4"/>
  <c r="H425" i="4"/>
  <c r="F425" i="4"/>
  <c r="E425" i="4"/>
  <c r="L424" i="4"/>
  <c r="K424" i="4"/>
  <c r="I424" i="4"/>
  <c r="H424" i="4"/>
  <c r="F424" i="4"/>
  <c r="E424" i="4"/>
  <c r="L423" i="4"/>
  <c r="K423" i="4"/>
  <c r="I423" i="4"/>
  <c r="H423" i="4"/>
  <c r="F423" i="4"/>
  <c r="E423" i="4"/>
  <c r="L422" i="4"/>
  <c r="K422" i="4"/>
  <c r="I422" i="4"/>
  <c r="H422" i="4"/>
  <c r="F422" i="4"/>
  <c r="E422" i="4"/>
  <c r="L421" i="4"/>
  <c r="K421" i="4"/>
  <c r="I421" i="4"/>
  <c r="H421" i="4"/>
  <c r="L420" i="4"/>
  <c r="K420" i="4"/>
  <c r="I420" i="4"/>
  <c r="H420" i="4"/>
  <c r="F420" i="4"/>
  <c r="E420" i="4"/>
  <c r="L419" i="4"/>
  <c r="K419" i="4"/>
  <c r="I419" i="4"/>
  <c r="H419" i="4"/>
  <c r="L418" i="4"/>
  <c r="K418" i="4"/>
  <c r="L417" i="4"/>
  <c r="K417" i="4"/>
  <c r="I417" i="4"/>
  <c r="H417" i="4"/>
  <c r="F417" i="4"/>
  <c r="E417" i="4"/>
  <c r="L416" i="4"/>
  <c r="K416" i="4"/>
  <c r="I416" i="4"/>
  <c r="H416" i="4"/>
  <c r="F416" i="4"/>
  <c r="E416" i="4"/>
  <c r="L413" i="4"/>
  <c r="K413" i="4"/>
  <c r="I413" i="4"/>
  <c r="H413" i="4"/>
  <c r="F413" i="4"/>
  <c r="E413" i="4"/>
  <c r="L412" i="4"/>
  <c r="K412" i="4"/>
  <c r="I412" i="4"/>
  <c r="H412" i="4"/>
  <c r="F412" i="4"/>
  <c r="E412" i="4"/>
  <c r="L411" i="4"/>
  <c r="K411" i="4"/>
  <c r="L410" i="4"/>
  <c r="K410" i="4"/>
  <c r="L409" i="4"/>
  <c r="K409" i="4"/>
  <c r="I409" i="4"/>
  <c r="H409" i="4"/>
  <c r="L408" i="4"/>
  <c r="K408" i="4"/>
  <c r="L407" i="4"/>
  <c r="K407" i="4"/>
  <c r="I407" i="4"/>
  <c r="H407" i="4"/>
  <c r="F407" i="4"/>
  <c r="E407" i="4"/>
  <c r="L406" i="4"/>
  <c r="K406" i="4"/>
  <c r="I406" i="4"/>
  <c r="H406" i="4"/>
  <c r="F406" i="4"/>
  <c r="E406" i="4"/>
  <c r="L405" i="4"/>
  <c r="K405" i="4"/>
  <c r="I405" i="4"/>
  <c r="H405" i="4"/>
  <c r="F405" i="4"/>
  <c r="E405" i="4"/>
  <c r="L404" i="4"/>
  <c r="K404" i="4"/>
  <c r="L403" i="4"/>
  <c r="K403" i="4"/>
  <c r="I403" i="4"/>
  <c r="H403" i="4"/>
  <c r="F403" i="4"/>
  <c r="E403" i="4"/>
  <c r="L401" i="4"/>
  <c r="K401" i="4"/>
  <c r="I401" i="4"/>
  <c r="H401" i="4"/>
  <c r="F401" i="4"/>
  <c r="E401" i="4"/>
  <c r="L400" i="4"/>
  <c r="K400" i="4"/>
  <c r="I400" i="4"/>
  <c r="H400" i="4"/>
  <c r="L399" i="4"/>
  <c r="K399" i="4"/>
  <c r="I399" i="4"/>
  <c r="H399" i="4"/>
  <c r="F399" i="4"/>
  <c r="E399" i="4"/>
  <c r="L398" i="4"/>
  <c r="K398" i="4"/>
  <c r="I398" i="4"/>
  <c r="H398" i="4"/>
  <c r="F398" i="4"/>
  <c r="E398" i="4"/>
  <c r="L397" i="4"/>
  <c r="K397" i="4"/>
  <c r="I397" i="4"/>
  <c r="H397" i="4"/>
  <c r="L396" i="4"/>
  <c r="K396" i="4"/>
  <c r="I396" i="4"/>
  <c r="H396" i="4"/>
  <c r="L394" i="4"/>
  <c r="K394" i="4"/>
  <c r="I394" i="4"/>
  <c r="H394" i="4"/>
  <c r="F394" i="4"/>
  <c r="E394" i="4"/>
  <c r="L393" i="4"/>
  <c r="K393" i="4"/>
  <c r="I393" i="4"/>
  <c r="H393" i="4"/>
  <c r="F393" i="4"/>
  <c r="E393" i="4"/>
  <c r="L392" i="4"/>
  <c r="K392" i="4"/>
  <c r="I392" i="4"/>
  <c r="H392" i="4"/>
  <c r="F392" i="4"/>
  <c r="E392" i="4"/>
  <c r="L390" i="4"/>
  <c r="K390" i="4"/>
  <c r="L389" i="4"/>
  <c r="K389" i="4"/>
  <c r="I389" i="4"/>
  <c r="H389" i="4"/>
  <c r="F389" i="4"/>
  <c r="E389" i="4"/>
  <c r="L388" i="4"/>
  <c r="K388" i="4"/>
  <c r="I388" i="4"/>
  <c r="H388" i="4"/>
  <c r="F388" i="4"/>
  <c r="E388" i="4"/>
  <c r="L387" i="4"/>
  <c r="K387" i="4"/>
  <c r="I387" i="4"/>
  <c r="H387" i="4"/>
  <c r="F387" i="4"/>
  <c r="E387" i="4"/>
  <c r="L386" i="4"/>
  <c r="K386" i="4"/>
  <c r="I386" i="4"/>
  <c r="H386" i="4"/>
  <c r="F386" i="4"/>
  <c r="E386" i="4"/>
  <c r="L385" i="4"/>
  <c r="K385" i="4"/>
  <c r="I385" i="4"/>
  <c r="H385" i="4"/>
  <c r="F385" i="4"/>
  <c r="E385" i="4"/>
  <c r="L384" i="4"/>
  <c r="K384" i="4"/>
  <c r="I384" i="4"/>
  <c r="H384" i="4"/>
  <c r="F384" i="4"/>
  <c r="E384" i="4"/>
  <c r="L383" i="4"/>
  <c r="K383" i="4"/>
  <c r="I383" i="4"/>
  <c r="H383" i="4"/>
  <c r="F383" i="4"/>
  <c r="E383" i="4"/>
  <c r="L382" i="4"/>
  <c r="K382" i="4"/>
  <c r="I382" i="4"/>
  <c r="H382" i="4"/>
  <c r="F382" i="4"/>
  <c r="E382" i="4"/>
  <c r="L380" i="4"/>
  <c r="K380" i="4"/>
  <c r="I380" i="4"/>
  <c r="H380" i="4"/>
  <c r="F380" i="4"/>
  <c r="E380" i="4"/>
  <c r="L379" i="4"/>
  <c r="K379" i="4"/>
  <c r="I379" i="4"/>
  <c r="H379" i="4"/>
  <c r="L378" i="4"/>
  <c r="K378" i="4"/>
  <c r="I378" i="4"/>
  <c r="H378" i="4"/>
  <c r="L376" i="4"/>
  <c r="K376" i="4"/>
  <c r="I376" i="4"/>
  <c r="H376" i="4"/>
  <c r="F376" i="4"/>
  <c r="E376" i="4"/>
  <c r="L375" i="4"/>
  <c r="K375" i="4"/>
  <c r="I375" i="4"/>
  <c r="H375" i="4"/>
  <c r="F375" i="4"/>
  <c r="E375" i="4"/>
  <c r="L374" i="4"/>
  <c r="K374" i="4"/>
  <c r="I374" i="4"/>
  <c r="H374" i="4"/>
  <c r="F374" i="4"/>
  <c r="E374" i="4"/>
  <c r="L373" i="4"/>
  <c r="K373" i="4"/>
  <c r="L371" i="4"/>
  <c r="K371" i="4"/>
  <c r="I371" i="4"/>
  <c r="H371" i="4"/>
  <c r="F371" i="4"/>
  <c r="E371" i="4"/>
  <c r="L370" i="4"/>
  <c r="K370" i="4"/>
  <c r="L369" i="4"/>
  <c r="K369" i="4"/>
  <c r="I369" i="4"/>
  <c r="H369" i="4"/>
  <c r="L368" i="4"/>
  <c r="K368" i="4"/>
  <c r="L367" i="4"/>
  <c r="K367" i="4"/>
  <c r="I367" i="4"/>
  <c r="H367" i="4"/>
  <c r="F367" i="4"/>
  <c r="E367" i="4"/>
  <c r="L366" i="4"/>
  <c r="K366" i="4"/>
  <c r="I366" i="4"/>
  <c r="H366" i="4"/>
  <c r="L365" i="4"/>
  <c r="K365" i="4"/>
  <c r="L364" i="4"/>
  <c r="K364" i="4"/>
  <c r="I364" i="4"/>
  <c r="H364" i="4"/>
  <c r="F364" i="4"/>
  <c r="E364" i="4"/>
  <c r="L363" i="4"/>
  <c r="K363" i="4"/>
  <c r="I363" i="4"/>
  <c r="H363" i="4"/>
  <c r="L362" i="4"/>
  <c r="K362" i="4"/>
  <c r="I362" i="4"/>
  <c r="H362" i="4"/>
  <c r="L360" i="4"/>
  <c r="K360" i="4"/>
  <c r="I360" i="4"/>
  <c r="H360" i="4"/>
  <c r="F360" i="4"/>
  <c r="E360" i="4"/>
  <c r="L359" i="4"/>
  <c r="K359" i="4"/>
  <c r="I359" i="4"/>
  <c r="H359" i="4"/>
  <c r="F359" i="4"/>
  <c r="E359" i="4"/>
  <c r="L358" i="4"/>
  <c r="K358" i="4"/>
  <c r="I358" i="4"/>
  <c r="H358" i="4"/>
  <c r="F358" i="4"/>
  <c r="E358" i="4"/>
  <c r="L357" i="4"/>
  <c r="K357" i="4"/>
  <c r="L356" i="4"/>
  <c r="K356" i="4"/>
  <c r="I356" i="4"/>
  <c r="H356" i="4"/>
  <c r="F356" i="4"/>
  <c r="E356" i="4"/>
  <c r="L355" i="4"/>
  <c r="K355" i="4"/>
  <c r="I355" i="4"/>
  <c r="H355" i="4"/>
  <c r="F355" i="4"/>
  <c r="E355" i="4"/>
  <c r="L354" i="4"/>
  <c r="K354" i="4"/>
  <c r="L353" i="4"/>
  <c r="K353" i="4"/>
  <c r="I353" i="4"/>
  <c r="H353" i="4"/>
  <c r="F353" i="4"/>
  <c r="E353" i="4"/>
  <c r="L352" i="4"/>
  <c r="K352" i="4"/>
  <c r="I352" i="4"/>
  <c r="H352" i="4"/>
  <c r="F352" i="4"/>
  <c r="E352" i="4"/>
  <c r="L351" i="4"/>
  <c r="K351" i="4"/>
  <c r="I351" i="4"/>
  <c r="H351" i="4"/>
  <c r="L350" i="4"/>
  <c r="K350" i="4"/>
  <c r="L349" i="4"/>
  <c r="K349" i="4"/>
  <c r="I349" i="4"/>
  <c r="H349" i="4"/>
  <c r="F349" i="4"/>
  <c r="E349" i="4"/>
  <c r="L348" i="4"/>
  <c r="K348" i="4"/>
  <c r="I348" i="4"/>
  <c r="H348" i="4"/>
  <c r="L347" i="4"/>
  <c r="K347" i="4"/>
  <c r="I347" i="4"/>
  <c r="H347" i="4"/>
  <c r="F347" i="4"/>
  <c r="E347" i="4"/>
  <c r="L346" i="4"/>
  <c r="K346" i="4"/>
  <c r="I346" i="4"/>
  <c r="H346" i="4"/>
  <c r="F346" i="4"/>
  <c r="E346" i="4"/>
  <c r="L345" i="4"/>
  <c r="K345" i="4"/>
  <c r="I345" i="4"/>
  <c r="H345" i="4"/>
  <c r="F345" i="4"/>
  <c r="E345" i="4"/>
  <c r="L344" i="4"/>
  <c r="K344" i="4"/>
  <c r="I344" i="4"/>
  <c r="H344" i="4"/>
  <c r="F344" i="4"/>
  <c r="E344" i="4"/>
  <c r="L343" i="4"/>
  <c r="K343" i="4"/>
  <c r="I343" i="4"/>
  <c r="H343" i="4"/>
  <c r="F343" i="4"/>
  <c r="E343" i="4"/>
  <c r="L342" i="4"/>
  <c r="K342" i="4"/>
  <c r="I342" i="4"/>
  <c r="H342" i="4"/>
  <c r="F342" i="4"/>
  <c r="E342" i="4"/>
  <c r="L341" i="4"/>
  <c r="K341" i="4"/>
  <c r="I341" i="4"/>
  <c r="H341" i="4"/>
  <c r="F341" i="4"/>
  <c r="E341" i="4"/>
  <c r="L340" i="4"/>
  <c r="K340" i="4"/>
  <c r="I340" i="4"/>
  <c r="H340" i="4"/>
  <c r="L339" i="4"/>
  <c r="K339" i="4"/>
  <c r="L338" i="4"/>
  <c r="K338" i="4"/>
  <c r="I338" i="4"/>
  <c r="H338" i="4"/>
  <c r="F338" i="4"/>
  <c r="E338" i="4"/>
  <c r="L337" i="4"/>
  <c r="K337" i="4"/>
  <c r="I337" i="4"/>
  <c r="H337" i="4"/>
  <c r="L336" i="4"/>
  <c r="K336" i="4"/>
  <c r="I336" i="4"/>
  <c r="H336" i="4"/>
  <c r="L334" i="4"/>
  <c r="K334" i="4"/>
  <c r="I334" i="4"/>
  <c r="H334" i="4"/>
  <c r="F334" i="4"/>
  <c r="E334" i="4"/>
  <c r="L333" i="4"/>
  <c r="K333" i="4"/>
  <c r="I333" i="4"/>
  <c r="H333" i="4"/>
  <c r="F333" i="4"/>
  <c r="E333" i="4"/>
  <c r="L332" i="4"/>
  <c r="K332" i="4"/>
  <c r="I332" i="4"/>
  <c r="H332" i="4"/>
  <c r="F332" i="4"/>
  <c r="E332" i="4"/>
  <c r="L330" i="4"/>
  <c r="K330" i="4"/>
  <c r="I330" i="4"/>
  <c r="H330" i="4"/>
  <c r="L328" i="4"/>
  <c r="K328" i="4"/>
  <c r="I328" i="4"/>
  <c r="H328" i="4"/>
  <c r="F328" i="4"/>
  <c r="E328" i="4"/>
  <c r="L327" i="4"/>
  <c r="K327" i="4"/>
  <c r="L326" i="4"/>
  <c r="K326" i="4"/>
  <c r="I326" i="4"/>
  <c r="H326" i="4"/>
  <c r="L324" i="4"/>
  <c r="K324" i="4"/>
  <c r="I324" i="4"/>
  <c r="H324" i="4"/>
  <c r="L323" i="4"/>
  <c r="K323" i="4"/>
  <c r="I323" i="4"/>
  <c r="H323" i="4"/>
  <c r="F323" i="4"/>
  <c r="E323" i="4"/>
  <c r="L322" i="4"/>
  <c r="K322" i="4"/>
  <c r="I322" i="4"/>
  <c r="H322" i="4"/>
  <c r="L321" i="4"/>
  <c r="K321" i="4"/>
  <c r="I321" i="4"/>
  <c r="H321" i="4"/>
  <c r="F321" i="4"/>
  <c r="E321" i="4"/>
  <c r="L320" i="4"/>
  <c r="K320" i="4"/>
  <c r="I320" i="4"/>
  <c r="H320" i="4"/>
  <c r="F320" i="4"/>
  <c r="E320" i="4"/>
  <c r="L319" i="4"/>
  <c r="K319" i="4"/>
  <c r="I319" i="4"/>
  <c r="H319" i="4"/>
  <c r="F319" i="4"/>
  <c r="E319" i="4"/>
  <c r="L318" i="4"/>
  <c r="K318" i="4"/>
  <c r="I318" i="4"/>
  <c r="H318" i="4"/>
  <c r="F318" i="4"/>
  <c r="E318" i="4"/>
  <c r="L317" i="4"/>
  <c r="K317" i="4"/>
  <c r="I317" i="4"/>
  <c r="H317" i="4"/>
  <c r="F317" i="4"/>
  <c r="E317" i="4"/>
  <c r="L316" i="4"/>
  <c r="K316" i="4"/>
  <c r="I316" i="4"/>
  <c r="H316" i="4"/>
  <c r="F316" i="4"/>
  <c r="E316" i="4"/>
  <c r="L315" i="4"/>
  <c r="K315" i="4"/>
  <c r="L314" i="4"/>
  <c r="K314" i="4"/>
  <c r="I314" i="4"/>
  <c r="H314" i="4"/>
  <c r="F314" i="4"/>
  <c r="E314" i="4"/>
  <c r="L313" i="4"/>
  <c r="K313" i="4"/>
  <c r="L312" i="4"/>
  <c r="K312" i="4"/>
  <c r="I312" i="4"/>
  <c r="H312" i="4"/>
  <c r="F312" i="4"/>
  <c r="E312" i="4"/>
  <c r="L311" i="4"/>
  <c r="K311" i="4"/>
  <c r="I311" i="4"/>
  <c r="H311" i="4"/>
  <c r="L309" i="4"/>
  <c r="K309" i="4"/>
  <c r="I309" i="4"/>
  <c r="H309" i="4"/>
  <c r="L308" i="4"/>
  <c r="K308" i="4"/>
  <c r="I308" i="4"/>
  <c r="H308" i="4"/>
  <c r="F308" i="4"/>
  <c r="E308" i="4"/>
  <c r="L307" i="4"/>
  <c r="K307" i="4"/>
  <c r="I307" i="4"/>
  <c r="H307" i="4"/>
  <c r="F307" i="4"/>
  <c r="E307" i="4"/>
  <c r="L306" i="4"/>
  <c r="K306" i="4"/>
  <c r="L305" i="4"/>
  <c r="K305" i="4"/>
  <c r="I305" i="4"/>
  <c r="H305" i="4"/>
  <c r="L304" i="4"/>
  <c r="K304" i="4"/>
  <c r="L303" i="4"/>
  <c r="K303" i="4"/>
  <c r="I303" i="4"/>
  <c r="H303" i="4"/>
  <c r="F303" i="4"/>
  <c r="E303" i="4"/>
  <c r="L302" i="4"/>
  <c r="K302" i="4"/>
  <c r="I302" i="4"/>
  <c r="H302" i="4"/>
  <c r="F302" i="4"/>
  <c r="E302" i="4"/>
  <c r="L301" i="4"/>
  <c r="K301" i="4"/>
  <c r="I301" i="4"/>
  <c r="H301" i="4"/>
  <c r="L300" i="4"/>
  <c r="K300" i="4"/>
  <c r="I300" i="4"/>
  <c r="H300" i="4"/>
  <c r="L299" i="4"/>
  <c r="K299" i="4"/>
  <c r="I299" i="4"/>
  <c r="H299" i="4"/>
  <c r="F299" i="4"/>
  <c r="E299" i="4"/>
  <c r="L298" i="4"/>
  <c r="K298" i="4"/>
  <c r="I298" i="4"/>
  <c r="H298" i="4"/>
  <c r="L297" i="4"/>
  <c r="K297" i="4"/>
  <c r="I297" i="4"/>
  <c r="H297" i="4"/>
  <c r="F297" i="4"/>
  <c r="E297" i="4"/>
  <c r="L296" i="4"/>
  <c r="K296" i="4"/>
  <c r="I296" i="4"/>
  <c r="H296" i="4"/>
  <c r="F296" i="4"/>
  <c r="E296" i="4"/>
  <c r="L295" i="4"/>
  <c r="K295" i="4"/>
  <c r="I295" i="4"/>
  <c r="H295" i="4"/>
  <c r="L293" i="4"/>
  <c r="K293" i="4"/>
  <c r="I293" i="4"/>
  <c r="H293" i="4"/>
  <c r="F293" i="4"/>
  <c r="E293" i="4"/>
  <c r="L292" i="4"/>
  <c r="K292" i="4"/>
  <c r="I292" i="4"/>
  <c r="H292" i="4"/>
  <c r="L291" i="4"/>
  <c r="K291" i="4"/>
  <c r="I291" i="4"/>
  <c r="H291" i="4"/>
  <c r="F291" i="4"/>
  <c r="E291" i="4"/>
  <c r="L290" i="4"/>
  <c r="K290" i="4"/>
  <c r="I290" i="4"/>
  <c r="H290" i="4"/>
  <c r="F290" i="4"/>
  <c r="E290" i="4"/>
  <c r="L289" i="4"/>
  <c r="K289" i="4"/>
  <c r="I289" i="4"/>
  <c r="H289" i="4"/>
  <c r="F289" i="4"/>
  <c r="E289" i="4"/>
  <c r="L288" i="4"/>
  <c r="K288" i="4"/>
  <c r="L287" i="4"/>
  <c r="K287" i="4"/>
  <c r="I287" i="4"/>
  <c r="H287" i="4"/>
  <c r="F287" i="4"/>
  <c r="E287" i="4"/>
  <c r="L286" i="4"/>
  <c r="K286" i="4"/>
  <c r="I286" i="4"/>
  <c r="H286" i="4"/>
  <c r="F286" i="4"/>
  <c r="E286" i="4"/>
  <c r="L285" i="4"/>
  <c r="K285" i="4"/>
  <c r="I285" i="4"/>
  <c r="H285" i="4"/>
  <c r="F285" i="4"/>
  <c r="E285" i="4"/>
  <c r="L284" i="4"/>
  <c r="K284" i="4"/>
  <c r="I284" i="4"/>
  <c r="H284" i="4"/>
  <c r="F284" i="4"/>
  <c r="E284" i="4"/>
  <c r="L283" i="4"/>
  <c r="K283" i="4"/>
  <c r="L282" i="4"/>
  <c r="K282" i="4"/>
  <c r="I282" i="4"/>
  <c r="H282" i="4"/>
  <c r="F282" i="4"/>
  <c r="E282" i="4"/>
  <c r="L281" i="4"/>
  <c r="K281" i="4"/>
  <c r="I281" i="4"/>
  <c r="H281" i="4"/>
  <c r="F281" i="4"/>
  <c r="E281" i="4"/>
  <c r="L280" i="4"/>
  <c r="K280" i="4"/>
  <c r="I280" i="4"/>
  <c r="H280" i="4"/>
  <c r="F280" i="4"/>
  <c r="E280" i="4"/>
  <c r="L279" i="4"/>
  <c r="K279" i="4"/>
  <c r="L278" i="4"/>
  <c r="K278" i="4"/>
  <c r="I278" i="4"/>
  <c r="H278" i="4"/>
  <c r="F278" i="4"/>
  <c r="E278" i="4"/>
  <c r="L277" i="4"/>
  <c r="K277" i="4"/>
  <c r="I277" i="4"/>
  <c r="H277" i="4"/>
  <c r="L275" i="4"/>
  <c r="K275" i="4"/>
  <c r="I275" i="4"/>
  <c r="H275" i="4"/>
  <c r="F275" i="4"/>
  <c r="E275" i="4"/>
  <c r="L274" i="4"/>
  <c r="K274" i="4"/>
  <c r="I274" i="4"/>
  <c r="H274" i="4"/>
  <c r="F274" i="4"/>
  <c r="E274" i="4"/>
  <c r="L273" i="4"/>
  <c r="K273" i="4"/>
  <c r="I273" i="4"/>
  <c r="H273" i="4"/>
  <c r="F273" i="4"/>
  <c r="E273" i="4"/>
  <c r="L272" i="4"/>
  <c r="K272" i="4"/>
  <c r="L271" i="4"/>
  <c r="K271" i="4"/>
  <c r="I271" i="4"/>
  <c r="H271" i="4"/>
  <c r="L269" i="4"/>
  <c r="K269" i="4"/>
  <c r="I269" i="4"/>
  <c r="H269" i="4"/>
  <c r="F269" i="4"/>
  <c r="E269" i="4"/>
  <c r="L266" i="4"/>
  <c r="K266" i="4"/>
  <c r="I266" i="4"/>
  <c r="H266" i="4"/>
  <c r="F266" i="4"/>
  <c r="E266" i="4"/>
  <c r="L265" i="4"/>
  <c r="K265" i="4"/>
  <c r="I265" i="4"/>
  <c r="H265" i="4"/>
  <c r="L264" i="4"/>
  <c r="K264" i="4"/>
  <c r="I264" i="4"/>
  <c r="H264" i="4"/>
  <c r="F264" i="4"/>
  <c r="E264" i="4"/>
  <c r="L263" i="4"/>
  <c r="K263" i="4"/>
  <c r="I263" i="4"/>
  <c r="H263" i="4"/>
  <c r="F263" i="4"/>
  <c r="E263" i="4"/>
  <c r="L262" i="4"/>
  <c r="K262" i="4"/>
  <c r="I262" i="4"/>
  <c r="H262" i="4"/>
  <c r="F262" i="4"/>
  <c r="E262" i="4"/>
  <c r="L261" i="4"/>
  <c r="K261" i="4"/>
  <c r="I261" i="4"/>
  <c r="H261" i="4"/>
  <c r="F261" i="4"/>
  <c r="E261" i="4"/>
  <c r="L260" i="4"/>
  <c r="K260" i="4"/>
  <c r="L258" i="4"/>
  <c r="K258" i="4"/>
  <c r="I258" i="4"/>
  <c r="H258" i="4"/>
  <c r="F258" i="4"/>
  <c r="E258" i="4"/>
  <c r="L257" i="4"/>
  <c r="K257" i="4"/>
  <c r="I257" i="4"/>
  <c r="H257" i="4"/>
  <c r="F257" i="4"/>
  <c r="E257" i="4"/>
  <c r="L256" i="4"/>
  <c r="K256" i="4"/>
  <c r="I256" i="4"/>
  <c r="H256" i="4"/>
  <c r="F256" i="4"/>
  <c r="E256" i="4"/>
  <c r="L255" i="4"/>
  <c r="K255" i="4"/>
  <c r="I255" i="4"/>
  <c r="H255" i="4"/>
  <c r="F255" i="4"/>
  <c r="E255" i="4"/>
  <c r="L254" i="4"/>
  <c r="K254" i="4"/>
  <c r="I254" i="4"/>
  <c r="H254" i="4"/>
  <c r="L253" i="4"/>
  <c r="K253" i="4"/>
  <c r="L252" i="4"/>
  <c r="K252" i="4"/>
  <c r="I252" i="4"/>
  <c r="H252" i="4"/>
  <c r="F252" i="4"/>
  <c r="E252" i="4"/>
  <c r="L251" i="4"/>
  <c r="K251" i="4"/>
  <c r="L250" i="4"/>
  <c r="K250" i="4"/>
  <c r="I250" i="4"/>
  <c r="H250" i="4"/>
  <c r="F250" i="4"/>
  <c r="E250" i="4"/>
  <c r="L248" i="4"/>
  <c r="K248" i="4"/>
  <c r="I248" i="4"/>
  <c r="H248" i="4"/>
  <c r="L247" i="4"/>
  <c r="K247" i="4"/>
  <c r="I247" i="4"/>
  <c r="H247" i="4"/>
  <c r="F247" i="4"/>
  <c r="E247" i="4"/>
  <c r="L246" i="4"/>
  <c r="K246" i="4"/>
  <c r="I246" i="4"/>
  <c r="H246" i="4"/>
  <c r="L245" i="4"/>
  <c r="K245" i="4"/>
  <c r="L244" i="4"/>
  <c r="K244" i="4"/>
  <c r="I244" i="4"/>
  <c r="H244" i="4"/>
  <c r="F244" i="4"/>
  <c r="E244" i="4"/>
  <c r="L243" i="4"/>
  <c r="K243" i="4"/>
  <c r="I243" i="4"/>
  <c r="H243" i="4"/>
  <c r="L241" i="4"/>
  <c r="K241" i="4"/>
  <c r="I241" i="4"/>
  <c r="H241" i="4"/>
  <c r="F241" i="4"/>
  <c r="E241" i="4"/>
  <c r="L240" i="4"/>
  <c r="K240" i="4"/>
  <c r="I240" i="4"/>
  <c r="H240" i="4"/>
  <c r="F240" i="4"/>
  <c r="E240" i="4"/>
  <c r="L239" i="4"/>
  <c r="K239" i="4"/>
  <c r="I239" i="4"/>
  <c r="H239" i="4"/>
  <c r="F239" i="4"/>
  <c r="E239" i="4"/>
  <c r="L238" i="4"/>
  <c r="K238" i="4"/>
  <c r="L237" i="4"/>
  <c r="K237" i="4"/>
  <c r="I237" i="4"/>
  <c r="H237" i="4"/>
  <c r="F237" i="4"/>
  <c r="E237" i="4"/>
  <c r="L236" i="4"/>
  <c r="K236" i="4"/>
  <c r="I236" i="4"/>
  <c r="H236" i="4"/>
  <c r="L235" i="4"/>
  <c r="K235" i="4"/>
  <c r="I235" i="4"/>
  <c r="H235" i="4"/>
  <c r="L234" i="4"/>
  <c r="K234" i="4"/>
  <c r="I234" i="4"/>
  <c r="H234" i="4"/>
  <c r="L233" i="4"/>
  <c r="K233" i="4"/>
  <c r="I233" i="4"/>
  <c r="H233" i="4"/>
  <c r="F233" i="4"/>
  <c r="E233" i="4"/>
  <c r="L232" i="4"/>
  <c r="K232" i="4"/>
  <c r="I232" i="4"/>
  <c r="H232" i="4"/>
  <c r="F232" i="4"/>
  <c r="E232" i="4"/>
  <c r="L231" i="4"/>
  <c r="K231" i="4"/>
  <c r="L229" i="4"/>
  <c r="K229" i="4"/>
  <c r="I229" i="4"/>
  <c r="H229" i="4"/>
  <c r="L227" i="4"/>
  <c r="K227" i="4"/>
  <c r="I227" i="4"/>
  <c r="H227" i="4"/>
  <c r="F227" i="4"/>
  <c r="E227" i="4"/>
  <c r="L226" i="4"/>
  <c r="K226" i="4"/>
  <c r="I226" i="4"/>
  <c r="H226" i="4"/>
  <c r="F226" i="4"/>
  <c r="E226" i="4"/>
  <c r="L225" i="4"/>
  <c r="K225" i="4"/>
  <c r="I225" i="4"/>
  <c r="H225" i="4"/>
  <c r="F225" i="4"/>
  <c r="E225" i="4"/>
  <c r="L224" i="4"/>
  <c r="K224" i="4"/>
  <c r="L223" i="4"/>
  <c r="K223" i="4"/>
  <c r="I223" i="4"/>
  <c r="H223" i="4"/>
  <c r="F223" i="4"/>
  <c r="E223" i="4"/>
  <c r="L221" i="4"/>
  <c r="K221" i="4"/>
  <c r="L220" i="4"/>
  <c r="K220" i="4"/>
  <c r="I220" i="4"/>
  <c r="H220" i="4"/>
  <c r="L219" i="4"/>
  <c r="K219" i="4"/>
  <c r="L218" i="4"/>
  <c r="K218" i="4"/>
  <c r="I218" i="4"/>
  <c r="H218" i="4"/>
  <c r="F218" i="4"/>
  <c r="E218" i="4"/>
  <c r="L217" i="4"/>
  <c r="K217" i="4"/>
  <c r="L216" i="4"/>
  <c r="K216" i="4"/>
  <c r="I216" i="4"/>
  <c r="H216" i="4"/>
  <c r="F216" i="4"/>
  <c r="E216" i="4"/>
  <c r="L215" i="4"/>
  <c r="K215" i="4"/>
  <c r="I215" i="4"/>
  <c r="H215" i="4"/>
  <c r="L214" i="4"/>
  <c r="K214" i="4"/>
  <c r="I214" i="4"/>
  <c r="H214" i="4"/>
  <c r="F214" i="4"/>
  <c r="E214" i="4"/>
  <c r="L213" i="4"/>
  <c r="K213" i="4"/>
  <c r="I213" i="4"/>
  <c r="H213" i="4"/>
  <c r="L212" i="4"/>
  <c r="K212" i="4"/>
  <c r="I212" i="4"/>
  <c r="H212" i="4"/>
  <c r="F212" i="4"/>
  <c r="E212" i="4"/>
  <c r="L211" i="4"/>
  <c r="K211" i="4"/>
  <c r="L210" i="4"/>
  <c r="K210" i="4"/>
  <c r="I210" i="4"/>
  <c r="H210" i="4"/>
  <c r="F210" i="4"/>
  <c r="E210" i="4"/>
  <c r="L209" i="4"/>
  <c r="K209" i="4"/>
  <c r="I209" i="4"/>
  <c r="H209" i="4"/>
  <c r="L207" i="4"/>
  <c r="K207" i="4"/>
  <c r="I207" i="4"/>
  <c r="H207" i="4"/>
  <c r="F207" i="4"/>
  <c r="E207" i="4"/>
  <c r="L206" i="4"/>
  <c r="K206" i="4"/>
  <c r="I206" i="4"/>
  <c r="H206" i="4"/>
  <c r="F206" i="4"/>
  <c r="E206" i="4"/>
  <c r="L205" i="4"/>
  <c r="K205" i="4"/>
  <c r="I205" i="4"/>
  <c r="H205" i="4"/>
  <c r="F205" i="4"/>
  <c r="E205" i="4"/>
  <c r="L204" i="4"/>
  <c r="K204" i="4"/>
  <c r="I204" i="4"/>
  <c r="H204" i="4"/>
  <c r="F204" i="4"/>
  <c r="E204" i="4"/>
  <c r="L203" i="4"/>
  <c r="K203" i="4"/>
  <c r="I203" i="4"/>
  <c r="H203" i="4"/>
  <c r="F203" i="4"/>
  <c r="E203" i="4"/>
  <c r="L201" i="4"/>
  <c r="K201" i="4"/>
  <c r="L200" i="4"/>
  <c r="K200" i="4"/>
  <c r="I200" i="4"/>
  <c r="H200" i="4"/>
  <c r="F200" i="4"/>
  <c r="E200" i="4"/>
  <c r="L198" i="4"/>
  <c r="K198" i="4"/>
  <c r="I198" i="4"/>
  <c r="H198" i="4"/>
  <c r="F198" i="4"/>
  <c r="E198" i="4"/>
  <c r="L197" i="4"/>
  <c r="K197" i="4"/>
  <c r="L196" i="4"/>
  <c r="K196" i="4"/>
  <c r="I196" i="4"/>
  <c r="H196" i="4"/>
  <c r="F196" i="4"/>
  <c r="E196" i="4"/>
  <c r="L195" i="4"/>
  <c r="K195" i="4"/>
  <c r="L194" i="4"/>
  <c r="K194" i="4"/>
  <c r="I194" i="4"/>
  <c r="H194" i="4"/>
  <c r="F194" i="4"/>
  <c r="E194" i="4"/>
  <c r="L193" i="4"/>
  <c r="K193" i="4"/>
  <c r="I193" i="4"/>
  <c r="H193" i="4"/>
  <c r="F193" i="4"/>
  <c r="E193" i="4"/>
  <c r="L192" i="4"/>
  <c r="K192" i="4"/>
  <c r="I192" i="4"/>
  <c r="H192" i="4"/>
  <c r="L190" i="4"/>
  <c r="K190" i="4"/>
  <c r="I190" i="4"/>
  <c r="H190" i="4"/>
  <c r="L189" i="4"/>
  <c r="K189" i="4"/>
  <c r="L188" i="4"/>
  <c r="K188" i="4"/>
  <c r="I188" i="4"/>
  <c r="H188" i="4"/>
  <c r="L187" i="4"/>
  <c r="K187" i="4"/>
  <c r="L186" i="4"/>
  <c r="K186" i="4"/>
  <c r="I186" i="4"/>
  <c r="H186" i="4"/>
  <c r="F186" i="4"/>
  <c r="E186" i="4"/>
  <c r="L185" i="4"/>
  <c r="K185" i="4"/>
  <c r="I185" i="4"/>
  <c r="H185" i="4"/>
  <c r="F185" i="4"/>
  <c r="E185" i="4"/>
  <c r="L184" i="4"/>
  <c r="K184" i="4"/>
  <c r="L183" i="4"/>
  <c r="K183" i="4"/>
  <c r="L182" i="4"/>
  <c r="K182" i="4"/>
  <c r="L181" i="4"/>
  <c r="K181" i="4"/>
  <c r="I181" i="4"/>
  <c r="H181" i="4"/>
  <c r="F181" i="4"/>
  <c r="E181" i="4"/>
  <c r="L180" i="4"/>
  <c r="K180" i="4"/>
  <c r="L179" i="4"/>
  <c r="K179" i="4"/>
  <c r="I179" i="4"/>
  <c r="H179" i="4"/>
  <c r="F179" i="4"/>
  <c r="E179" i="4"/>
  <c r="L178" i="4"/>
  <c r="K178" i="4"/>
  <c r="I178" i="4"/>
  <c r="H178" i="4"/>
  <c r="L176" i="4"/>
  <c r="K176" i="4"/>
  <c r="I176" i="4"/>
  <c r="H176" i="4"/>
  <c r="F176" i="4"/>
  <c r="E176" i="4"/>
  <c r="L175" i="4"/>
  <c r="K175" i="4"/>
  <c r="I175" i="4"/>
  <c r="H175" i="4"/>
  <c r="F175" i="4"/>
  <c r="E175" i="4"/>
  <c r="L174" i="4"/>
  <c r="K174" i="4"/>
  <c r="I174" i="4"/>
  <c r="H174" i="4"/>
  <c r="F174" i="4"/>
  <c r="E174" i="4"/>
  <c r="L173" i="4"/>
  <c r="K173" i="4"/>
  <c r="L172" i="4"/>
  <c r="K172" i="4"/>
  <c r="I172" i="4"/>
  <c r="H172" i="4"/>
  <c r="L171" i="4"/>
  <c r="K171" i="4"/>
  <c r="L170" i="4"/>
  <c r="K170" i="4"/>
  <c r="I170" i="4"/>
  <c r="H170" i="4"/>
  <c r="F170" i="4"/>
  <c r="E170" i="4"/>
  <c r="L169" i="4"/>
  <c r="K169" i="4"/>
  <c r="I169" i="4"/>
  <c r="H169" i="4"/>
  <c r="L168" i="4"/>
  <c r="K168" i="4"/>
  <c r="I168" i="4"/>
  <c r="H168" i="4"/>
  <c r="F168" i="4"/>
  <c r="E168" i="4"/>
  <c r="L167" i="4"/>
  <c r="K167" i="4"/>
  <c r="I167" i="4"/>
  <c r="H167" i="4"/>
  <c r="F167" i="4"/>
  <c r="E167" i="4"/>
  <c r="L166" i="4"/>
  <c r="K166" i="4"/>
  <c r="L165" i="4"/>
  <c r="K165" i="4"/>
  <c r="I165" i="4"/>
  <c r="H165" i="4"/>
  <c r="F165" i="4"/>
  <c r="E165" i="4"/>
  <c r="L163" i="4"/>
  <c r="K163" i="4"/>
  <c r="L162" i="4"/>
  <c r="K162" i="4"/>
  <c r="L161" i="4"/>
  <c r="K161" i="4"/>
  <c r="I161" i="4"/>
  <c r="H161" i="4"/>
  <c r="F161" i="4"/>
  <c r="E161" i="4"/>
  <c r="L160" i="4"/>
  <c r="K160" i="4"/>
  <c r="I160" i="4"/>
  <c r="H160" i="4"/>
  <c r="F160" i="4"/>
  <c r="E160" i="4"/>
  <c r="L159" i="4"/>
  <c r="K159" i="4"/>
  <c r="I159" i="4"/>
  <c r="H159" i="4"/>
  <c r="F159" i="4"/>
  <c r="E159" i="4"/>
  <c r="L158" i="4"/>
  <c r="K158" i="4"/>
  <c r="I158" i="4"/>
  <c r="H158" i="4"/>
  <c r="F158" i="4"/>
  <c r="E158" i="4"/>
  <c r="L157" i="4"/>
  <c r="K157" i="4"/>
  <c r="I157" i="4"/>
  <c r="H157" i="4"/>
  <c r="F157" i="4"/>
  <c r="E157" i="4"/>
  <c r="L156" i="4"/>
  <c r="K156" i="4"/>
  <c r="L155" i="4"/>
  <c r="K155" i="4"/>
  <c r="I155" i="4"/>
  <c r="H155" i="4"/>
  <c r="L154" i="4"/>
  <c r="K154" i="4"/>
  <c r="I154" i="4"/>
  <c r="H154" i="4"/>
  <c r="F154" i="4"/>
  <c r="E154" i="4"/>
  <c r="L153" i="4"/>
  <c r="K153" i="4"/>
  <c r="L152" i="4"/>
  <c r="K152" i="4"/>
  <c r="I152" i="4"/>
  <c r="H152" i="4"/>
  <c r="F152" i="4"/>
  <c r="E152" i="4"/>
  <c r="L151" i="4"/>
  <c r="K151" i="4"/>
  <c r="L150" i="4"/>
  <c r="K150" i="4"/>
  <c r="I150" i="4"/>
  <c r="H150" i="4"/>
  <c r="L149" i="4"/>
  <c r="K149" i="4"/>
  <c r="I149" i="4"/>
  <c r="H149" i="4"/>
  <c r="F149" i="4"/>
  <c r="E149" i="4"/>
  <c r="L148" i="4"/>
  <c r="K148" i="4"/>
  <c r="L147" i="4"/>
  <c r="K147" i="4"/>
  <c r="I147" i="4"/>
  <c r="H147" i="4"/>
  <c r="F147" i="4"/>
  <c r="E147" i="4"/>
  <c r="L146" i="4"/>
  <c r="K146" i="4"/>
  <c r="L145" i="4"/>
  <c r="K145" i="4"/>
  <c r="I145" i="4"/>
  <c r="H145" i="4"/>
  <c r="F145" i="4"/>
  <c r="E145" i="4"/>
  <c r="L144" i="4"/>
  <c r="K144" i="4"/>
  <c r="I144" i="4"/>
  <c r="H144" i="4"/>
  <c r="L142" i="4"/>
  <c r="K142" i="4"/>
  <c r="I142" i="4"/>
  <c r="H142" i="4"/>
  <c r="F142" i="4"/>
  <c r="E142" i="4"/>
  <c r="L141" i="4"/>
  <c r="K141" i="4"/>
  <c r="I141" i="4"/>
  <c r="H141" i="4"/>
  <c r="F141" i="4"/>
  <c r="E141" i="4"/>
  <c r="L140" i="4"/>
  <c r="K140" i="4"/>
  <c r="L139" i="4"/>
  <c r="K139" i="4"/>
  <c r="L138" i="4"/>
  <c r="K138" i="4"/>
  <c r="I138" i="4"/>
  <c r="H138" i="4"/>
  <c r="F138" i="4"/>
  <c r="E138" i="4"/>
  <c r="L137" i="4"/>
  <c r="K137" i="4"/>
  <c r="I137" i="4"/>
  <c r="H137" i="4"/>
  <c r="F137" i="4"/>
  <c r="E137" i="4"/>
  <c r="L136" i="4"/>
  <c r="K136" i="4"/>
  <c r="I136" i="4"/>
  <c r="H136" i="4"/>
  <c r="F136" i="4"/>
  <c r="E136" i="4"/>
  <c r="L134" i="4"/>
  <c r="K134" i="4"/>
  <c r="I134" i="4"/>
  <c r="H134" i="4"/>
  <c r="L133" i="4"/>
  <c r="K133" i="4"/>
  <c r="I133" i="4"/>
  <c r="H133" i="4"/>
  <c r="F133" i="4"/>
  <c r="E133" i="4"/>
  <c r="L132" i="4"/>
  <c r="K132" i="4"/>
  <c r="I132" i="4"/>
  <c r="H132" i="4"/>
  <c r="F132" i="4"/>
  <c r="E132" i="4"/>
  <c r="L131" i="4"/>
  <c r="K131" i="4"/>
  <c r="L130" i="4"/>
  <c r="K130" i="4"/>
  <c r="I130" i="4"/>
  <c r="H130" i="4"/>
  <c r="F130" i="4"/>
  <c r="E130" i="4"/>
  <c r="L128" i="4"/>
  <c r="K128" i="4"/>
  <c r="L127" i="4"/>
  <c r="K127" i="4"/>
  <c r="I127" i="4"/>
  <c r="H127" i="4"/>
  <c r="F127" i="4"/>
  <c r="E127" i="4"/>
  <c r="L126" i="4"/>
  <c r="K126" i="4"/>
  <c r="L124" i="4"/>
  <c r="K124" i="4"/>
  <c r="I124" i="4"/>
  <c r="H124" i="4"/>
  <c r="L123" i="4"/>
  <c r="K123" i="4"/>
  <c r="L122" i="4"/>
  <c r="K122" i="4"/>
  <c r="I122" i="4"/>
  <c r="H122" i="4"/>
  <c r="F122" i="4"/>
  <c r="E122" i="4"/>
  <c r="L121" i="4"/>
  <c r="K121" i="4"/>
  <c r="I121" i="4"/>
  <c r="H121" i="4"/>
  <c r="F121" i="4"/>
  <c r="E121" i="4"/>
  <c r="L120" i="4"/>
  <c r="K120" i="4"/>
  <c r="I120" i="4"/>
  <c r="H120" i="4"/>
  <c r="L119" i="4"/>
  <c r="K119" i="4"/>
  <c r="L118" i="4"/>
  <c r="K118" i="4"/>
  <c r="I118" i="4"/>
  <c r="H118" i="4"/>
  <c r="L117" i="4"/>
  <c r="K117" i="4"/>
  <c r="I117" i="4"/>
  <c r="H117" i="4"/>
  <c r="L116" i="4"/>
  <c r="K116" i="4"/>
  <c r="I116" i="4"/>
  <c r="H116" i="4"/>
  <c r="F116" i="4"/>
  <c r="E116" i="4"/>
  <c r="L115" i="4"/>
  <c r="K115" i="4"/>
  <c r="I115" i="4"/>
  <c r="H115" i="4"/>
  <c r="F115" i="4"/>
  <c r="E115" i="4"/>
  <c r="L114" i="4"/>
  <c r="K114" i="4"/>
  <c r="L113" i="4"/>
  <c r="K113" i="4"/>
  <c r="I113" i="4"/>
  <c r="H113" i="4"/>
  <c r="F113" i="4"/>
  <c r="E113" i="4"/>
  <c r="L112" i="4"/>
  <c r="K112" i="4"/>
  <c r="I112" i="4"/>
  <c r="H112" i="4"/>
  <c r="L110" i="4"/>
  <c r="K110" i="4"/>
  <c r="I110" i="4"/>
  <c r="H110" i="4"/>
  <c r="F110" i="4"/>
  <c r="E110" i="4"/>
  <c r="L109" i="4"/>
  <c r="K109" i="4"/>
  <c r="I109" i="4"/>
  <c r="H109" i="4"/>
  <c r="F109" i="4"/>
  <c r="E109" i="4"/>
  <c r="L108" i="4"/>
  <c r="K108" i="4"/>
  <c r="L107" i="4"/>
  <c r="K107" i="4"/>
  <c r="I107" i="4"/>
  <c r="H107" i="4"/>
  <c r="F107" i="4"/>
  <c r="E107" i="4"/>
  <c r="L106" i="4"/>
  <c r="K106" i="4"/>
  <c r="I106" i="4"/>
  <c r="H106" i="4"/>
  <c r="L105" i="4"/>
  <c r="K105" i="4"/>
  <c r="I105" i="4"/>
  <c r="H105" i="4"/>
  <c r="F105" i="4"/>
  <c r="E105" i="4"/>
  <c r="L104" i="4"/>
  <c r="K104" i="4"/>
  <c r="L103" i="4"/>
  <c r="K103" i="4"/>
  <c r="I103" i="4"/>
  <c r="H103" i="4"/>
  <c r="F103" i="4"/>
  <c r="E103" i="4"/>
  <c r="L102" i="4"/>
  <c r="K102" i="4"/>
  <c r="L101" i="4"/>
  <c r="K101" i="4"/>
  <c r="I101" i="4"/>
  <c r="H101" i="4"/>
  <c r="F101" i="4"/>
  <c r="E101" i="4"/>
  <c r="L100" i="4"/>
  <c r="K100" i="4"/>
  <c r="L99" i="4"/>
  <c r="K99" i="4"/>
  <c r="I99" i="4"/>
  <c r="H99" i="4"/>
  <c r="F99" i="4"/>
  <c r="E99" i="4"/>
  <c r="L98" i="4"/>
  <c r="K98" i="4"/>
  <c r="L97" i="4"/>
  <c r="K97" i="4"/>
  <c r="I97" i="4"/>
  <c r="H97" i="4"/>
  <c r="F97" i="4"/>
  <c r="E97" i="4"/>
  <c r="L95" i="4"/>
  <c r="K95" i="4"/>
  <c r="I95" i="4"/>
  <c r="H95" i="4"/>
  <c r="F95" i="4"/>
  <c r="E95" i="4"/>
  <c r="L94" i="4"/>
  <c r="K94" i="4"/>
  <c r="I94" i="4"/>
  <c r="H94" i="4"/>
  <c r="F94" i="4"/>
  <c r="E94" i="4"/>
  <c r="L93" i="4"/>
  <c r="K93" i="4"/>
  <c r="L92" i="4"/>
  <c r="K92" i="4"/>
  <c r="I92" i="4"/>
  <c r="H92" i="4"/>
  <c r="L90" i="4"/>
  <c r="K90" i="4"/>
  <c r="I90" i="4"/>
  <c r="H90" i="4"/>
  <c r="F90" i="4"/>
  <c r="E90" i="4"/>
  <c r="L89" i="4"/>
  <c r="K89" i="4"/>
  <c r="L88" i="4"/>
  <c r="K88" i="4"/>
  <c r="I88" i="4"/>
  <c r="H88" i="4"/>
  <c r="F88" i="4"/>
  <c r="E88" i="4"/>
  <c r="L87" i="4"/>
  <c r="K87" i="4"/>
  <c r="I87" i="4"/>
  <c r="H87" i="4"/>
  <c r="L85" i="4"/>
  <c r="K85" i="4"/>
  <c r="I85" i="4"/>
  <c r="H85" i="4"/>
  <c r="F85" i="4"/>
  <c r="E85" i="4"/>
  <c r="L84" i="4"/>
  <c r="K84" i="4"/>
  <c r="L83" i="4"/>
  <c r="K83" i="4"/>
  <c r="I83" i="4"/>
  <c r="H83" i="4"/>
  <c r="F83" i="4"/>
  <c r="E83" i="4"/>
  <c r="L82" i="4"/>
  <c r="K82" i="4"/>
  <c r="I82" i="4"/>
  <c r="H82" i="4"/>
  <c r="L81" i="4"/>
  <c r="K81" i="4"/>
  <c r="L79" i="4"/>
  <c r="K79" i="4"/>
  <c r="I79" i="4"/>
  <c r="H79" i="4"/>
  <c r="F79" i="4"/>
  <c r="E79" i="4"/>
  <c r="L77" i="4"/>
  <c r="K77" i="4"/>
  <c r="I77" i="4"/>
  <c r="H77" i="4"/>
  <c r="F77" i="4"/>
  <c r="E77" i="4"/>
  <c r="L76" i="4"/>
  <c r="K76" i="4"/>
  <c r="I76" i="4"/>
  <c r="H76" i="4"/>
  <c r="L75" i="4"/>
  <c r="K75" i="4"/>
  <c r="I75" i="4"/>
  <c r="H75" i="4"/>
  <c r="F75" i="4"/>
  <c r="E75" i="4"/>
  <c r="L74" i="4"/>
  <c r="K74" i="4"/>
  <c r="L73" i="4"/>
  <c r="K73" i="4"/>
  <c r="I73" i="4"/>
  <c r="H73" i="4"/>
  <c r="F73" i="4"/>
  <c r="E73" i="4"/>
  <c r="L72" i="4"/>
  <c r="K72" i="4"/>
  <c r="L71" i="4"/>
  <c r="K71" i="4"/>
  <c r="I71" i="4"/>
  <c r="H71" i="4"/>
  <c r="F71" i="4"/>
  <c r="E71" i="4"/>
  <c r="L70" i="4"/>
  <c r="K70" i="4"/>
  <c r="L69" i="4"/>
  <c r="K69" i="4"/>
  <c r="I69" i="4"/>
  <c r="H69" i="4"/>
  <c r="L68" i="4"/>
  <c r="K68" i="4"/>
  <c r="L67" i="4"/>
  <c r="K67" i="4"/>
  <c r="L66" i="4"/>
  <c r="K66" i="4"/>
  <c r="L65" i="4"/>
  <c r="K65" i="4"/>
  <c r="L64" i="4"/>
  <c r="K64" i="4"/>
  <c r="I64" i="4"/>
  <c r="H64" i="4"/>
  <c r="L63" i="4"/>
  <c r="K63" i="4"/>
  <c r="L62" i="4"/>
  <c r="K62" i="4"/>
  <c r="I62" i="4"/>
  <c r="H62" i="4"/>
  <c r="F62" i="4"/>
  <c r="E62" i="4"/>
  <c r="L61" i="4"/>
  <c r="K61" i="4"/>
  <c r="L60" i="4"/>
  <c r="K60" i="4"/>
  <c r="I60" i="4"/>
  <c r="H60" i="4"/>
  <c r="F60" i="4"/>
  <c r="E60" i="4"/>
  <c r="L59" i="4"/>
  <c r="K59" i="4"/>
  <c r="I59" i="4"/>
  <c r="H59" i="4"/>
  <c r="L58" i="4"/>
  <c r="K58" i="4"/>
  <c r="L56" i="4"/>
  <c r="K56" i="4"/>
  <c r="I56" i="4"/>
  <c r="H56" i="4"/>
  <c r="F56" i="4"/>
  <c r="E56" i="4"/>
  <c r="L55" i="4"/>
  <c r="K55" i="4"/>
  <c r="L54" i="4"/>
  <c r="K54" i="4"/>
  <c r="I54" i="4"/>
  <c r="H54" i="4"/>
  <c r="F54" i="4"/>
  <c r="E54" i="4"/>
  <c r="L53" i="4"/>
  <c r="K53" i="4"/>
  <c r="L52" i="4"/>
  <c r="K52" i="4"/>
  <c r="I52" i="4"/>
  <c r="H52" i="4"/>
  <c r="F52" i="4"/>
  <c r="E52" i="4"/>
  <c r="L51" i="4"/>
  <c r="K51" i="4"/>
  <c r="L50" i="4"/>
  <c r="K50" i="4"/>
  <c r="I50" i="4"/>
  <c r="H50" i="4"/>
  <c r="L49" i="4"/>
  <c r="K49" i="4"/>
  <c r="L48" i="4"/>
  <c r="K48" i="4"/>
  <c r="I48" i="4"/>
  <c r="H48" i="4"/>
  <c r="L47" i="4"/>
  <c r="K47" i="4"/>
  <c r="I47" i="4"/>
  <c r="H47" i="4"/>
  <c r="F47" i="4"/>
  <c r="E47" i="4"/>
  <c r="L46" i="4"/>
  <c r="K46" i="4"/>
  <c r="I46" i="4"/>
  <c r="H46" i="4"/>
  <c r="F46" i="4"/>
  <c r="E46" i="4"/>
  <c r="L45" i="4"/>
  <c r="K45" i="4"/>
  <c r="L44" i="4"/>
  <c r="K44" i="4"/>
  <c r="I44" i="4"/>
  <c r="H44" i="4"/>
  <c r="F44" i="4"/>
  <c r="E44" i="4"/>
  <c r="L43" i="4"/>
  <c r="K43" i="4"/>
  <c r="I43" i="4"/>
  <c r="H43" i="4"/>
  <c r="L42" i="4"/>
  <c r="K42" i="4"/>
  <c r="L41" i="4"/>
  <c r="K41" i="4"/>
  <c r="L40" i="4"/>
  <c r="K40" i="4"/>
  <c r="I40" i="4"/>
  <c r="H40" i="4"/>
  <c r="F40" i="4"/>
  <c r="E40" i="4"/>
  <c r="L39" i="4"/>
  <c r="K39" i="4"/>
  <c r="I39" i="4"/>
  <c r="H39" i="4"/>
  <c r="L38" i="4"/>
  <c r="K38" i="4"/>
  <c r="I38" i="4"/>
  <c r="H38" i="4"/>
  <c r="L37" i="4"/>
  <c r="K37" i="4"/>
  <c r="L36" i="4"/>
  <c r="K36" i="4"/>
  <c r="I36" i="4"/>
  <c r="H36" i="4"/>
  <c r="F36" i="4"/>
  <c r="E36" i="4"/>
  <c r="L35" i="4"/>
  <c r="K35" i="4"/>
  <c r="L34" i="4"/>
  <c r="K34" i="4"/>
  <c r="I34" i="4"/>
  <c r="H34" i="4"/>
  <c r="L32" i="4"/>
  <c r="K32" i="4"/>
  <c r="I32" i="4"/>
  <c r="H32" i="4"/>
  <c r="L31" i="4"/>
  <c r="K31" i="4"/>
  <c r="I31" i="4"/>
  <c r="H31" i="4"/>
  <c r="L30" i="4"/>
  <c r="K30" i="4"/>
  <c r="L29" i="4"/>
  <c r="K29" i="4"/>
  <c r="L28" i="4"/>
  <c r="K28" i="4"/>
  <c r="I28" i="4"/>
  <c r="H28" i="4"/>
  <c r="F28" i="4"/>
  <c r="E28" i="4"/>
  <c r="L27" i="4"/>
  <c r="K27" i="4"/>
  <c r="I27" i="4"/>
  <c r="H27" i="4"/>
  <c r="F27" i="4"/>
  <c r="E27" i="4"/>
  <c r="L26" i="4"/>
  <c r="K26" i="4"/>
  <c r="L25" i="4"/>
  <c r="K25" i="4"/>
  <c r="L24" i="4"/>
  <c r="K24" i="4"/>
  <c r="I24" i="4"/>
  <c r="H24" i="4"/>
  <c r="F24" i="4"/>
  <c r="E24" i="4"/>
  <c r="L23" i="4"/>
  <c r="K23" i="4"/>
  <c r="L22" i="4"/>
  <c r="K22" i="4"/>
  <c r="I22" i="4"/>
  <c r="H22" i="4"/>
  <c r="L21" i="4"/>
  <c r="K21" i="4"/>
  <c r="L20" i="4"/>
  <c r="K20" i="4"/>
  <c r="I20" i="4"/>
  <c r="H20" i="4"/>
  <c r="L19" i="4"/>
  <c r="K19" i="4"/>
  <c r="L18" i="4"/>
  <c r="K18" i="4"/>
  <c r="L17" i="4"/>
  <c r="K17" i="4"/>
  <c r="I17" i="4"/>
  <c r="H17" i="4"/>
  <c r="F17" i="4"/>
  <c r="E17" i="4"/>
  <c r="L16" i="4"/>
  <c r="K16" i="4"/>
  <c r="I16" i="4"/>
  <c r="H16" i="4"/>
  <c r="L15" i="4"/>
  <c r="K15" i="4"/>
  <c r="I15" i="4"/>
  <c r="H15" i="4"/>
  <c r="L14" i="4"/>
  <c r="K14" i="4"/>
  <c r="I14" i="4"/>
  <c r="H14" i="4"/>
  <c r="L13" i="4"/>
  <c r="K13" i="4"/>
  <c r="L12" i="4"/>
  <c r="K12" i="4"/>
  <c r="I12" i="4"/>
  <c r="H12" i="4"/>
  <c r="P11" i="4"/>
  <c r="R11" i="4" s="1"/>
  <c r="L11" i="4"/>
  <c r="K11" i="4"/>
  <c r="I11" i="4"/>
  <c r="H11" i="4"/>
  <c r="P10" i="4"/>
  <c r="R10" i="4" s="1"/>
  <c r="L10" i="4"/>
  <c r="K10" i="4"/>
  <c r="L9" i="4"/>
  <c r="K9" i="4"/>
  <c r="I9" i="4"/>
  <c r="H9" i="4"/>
  <c r="L8" i="4"/>
  <c r="K8" i="4"/>
  <c r="I8" i="4"/>
  <c r="H8" i="4"/>
  <c r="L7" i="4"/>
  <c r="K7" i="4"/>
  <c r="L6" i="4"/>
  <c r="K6" i="4"/>
  <c r="I6" i="4"/>
  <c r="H6" i="4"/>
  <c r="P5" i="4"/>
  <c r="R5" i="4" s="1"/>
  <c r="L5" i="4"/>
  <c r="K5" i="4"/>
  <c r="P4" i="4"/>
  <c r="R4" i="4" s="1"/>
  <c r="L4" i="4"/>
  <c r="K4" i="4"/>
  <c r="P3" i="4"/>
  <c r="L3" i="4"/>
  <c r="K3" i="4"/>
  <c r="B3" i="4"/>
  <c r="P2" i="4"/>
  <c r="R2" i="4" s="1"/>
  <c r="H2" i="4"/>
  <c r="N358" i="4" l="1"/>
  <c r="N416" i="4"/>
  <c r="N422" i="4"/>
  <c r="N406" i="4"/>
  <c r="N493" i="4"/>
  <c r="N413" i="4"/>
  <c r="N438" i="4"/>
  <c r="N518" i="4"/>
  <c r="N429" i="4"/>
  <c r="N47" i="4"/>
  <c r="N342" i="4"/>
  <c r="N198" i="4"/>
  <c r="N278" i="4"/>
  <c r="N95" i="4"/>
  <c r="N214" i="4"/>
  <c r="N262" i="4"/>
  <c r="N374" i="4"/>
  <c r="N376" i="4"/>
  <c r="N392" i="4"/>
  <c r="N440" i="4"/>
  <c r="N513" i="4"/>
  <c r="N384" i="4"/>
  <c r="N386" i="4"/>
  <c r="N434" i="4"/>
  <c r="N482" i="4"/>
  <c r="N498" i="4"/>
  <c r="N530" i="4"/>
  <c r="N36" i="4"/>
  <c r="N52" i="4"/>
  <c r="N107" i="4"/>
  <c r="N203" i="4"/>
  <c r="N299" i="4"/>
  <c r="N347" i="4"/>
  <c r="N427" i="4"/>
  <c r="N443" i="4"/>
  <c r="N475" i="4"/>
  <c r="N491" i="4"/>
  <c r="N523" i="4"/>
  <c r="N77" i="4"/>
  <c r="N116" i="4"/>
  <c r="N132" i="4"/>
  <c r="N196" i="4"/>
  <c r="N212" i="4"/>
  <c r="N244" i="4"/>
  <c r="N308" i="4"/>
  <c r="N356" i="4"/>
  <c r="N24" i="4"/>
  <c r="N40" i="4"/>
  <c r="N56" i="4"/>
  <c r="N88" i="4"/>
  <c r="M95" i="4"/>
  <c r="N127" i="4"/>
  <c r="N159" i="4"/>
  <c r="N175" i="4"/>
  <c r="N207" i="4"/>
  <c r="N223" i="4"/>
  <c r="N239" i="4"/>
  <c r="N255" i="4"/>
  <c r="N287" i="4"/>
  <c r="N303" i="4"/>
  <c r="N319" i="4"/>
  <c r="N511" i="4"/>
  <c r="N17" i="4"/>
  <c r="N424" i="4"/>
  <c r="N456" i="4"/>
  <c r="N90" i="4"/>
  <c r="N161" i="4"/>
  <c r="N289" i="4"/>
  <c r="N401" i="4"/>
  <c r="N417" i="4"/>
  <c r="N449" i="4"/>
  <c r="N529" i="4"/>
  <c r="N113" i="4"/>
  <c r="N145" i="4"/>
  <c r="N193" i="4"/>
  <c r="N225" i="4"/>
  <c r="N241" i="4"/>
  <c r="N257" i="4"/>
  <c r="N273" i="4"/>
  <c r="N321" i="4"/>
  <c r="N353" i="4"/>
  <c r="N385" i="4"/>
  <c r="N531" i="4"/>
  <c r="N389" i="4"/>
  <c r="N405" i="4"/>
  <c r="N453" i="4"/>
  <c r="N501" i="4"/>
  <c r="N318" i="4"/>
  <c r="N334" i="4"/>
  <c r="N142" i="4"/>
  <c r="N174" i="4"/>
  <c r="N206" i="4"/>
  <c r="N71" i="4"/>
  <c r="N110" i="4"/>
  <c r="N158" i="4"/>
  <c r="N286" i="4"/>
  <c r="N302" i="4"/>
  <c r="N54" i="4"/>
  <c r="N109" i="4"/>
  <c r="N141" i="4"/>
  <c r="N157" i="4"/>
  <c r="N205" i="4"/>
  <c r="N237" i="4"/>
  <c r="N269" i="4"/>
  <c r="N285" i="4"/>
  <c r="N317" i="4"/>
  <c r="N333" i="4"/>
  <c r="N349" i="4"/>
  <c r="N388" i="4"/>
  <c r="N420" i="4"/>
  <c r="N452" i="4"/>
  <c r="N468" i="4"/>
  <c r="N516" i="4"/>
  <c r="N528" i="4"/>
  <c r="N79" i="4"/>
  <c r="N509" i="4"/>
  <c r="M518" i="4"/>
  <c r="N525" i="4"/>
  <c r="N97" i="4"/>
  <c r="N136" i="4"/>
  <c r="N152" i="4"/>
  <c r="N168" i="4"/>
  <c r="N200" i="4"/>
  <c r="N216" i="4"/>
  <c r="N232" i="4"/>
  <c r="N264" i="4"/>
  <c r="N280" i="4"/>
  <c r="N296" i="4"/>
  <c r="N312" i="4"/>
  <c r="N328" i="4"/>
  <c r="N344" i="4"/>
  <c r="N360" i="4"/>
  <c r="N367" i="4"/>
  <c r="N383" i="4"/>
  <c r="N399" i="4"/>
  <c r="N447" i="4"/>
  <c r="N463" i="4"/>
  <c r="N83" i="4"/>
  <c r="N122" i="4"/>
  <c r="N138" i="4"/>
  <c r="N154" i="4"/>
  <c r="N170" i="4"/>
  <c r="N186" i="4"/>
  <c r="N218" i="4"/>
  <c r="N250" i="4"/>
  <c r="N266" i="4"/>
  <c r="N282" i="4"/>
  <c r="N314" i="4"/>
  <c r="N346" i="4"/>
  <c r="N28" i="4"/>
  <c r="N44" i="4"/>
  <c r="N60" i="4"/>
  <c r="N99" i="4"/>
  <c r="N115" i="4"/>
  <c r="N147" i="4"/>
  <c r="N179" i="4"/>
  <c r="N227" i="4"/>
  <c r="N275" i="4"/>
  <c r="N291" i="4"/>
  <c r="N307" i="4"/>
  <c r="N323" i="4"/>
  <c r="N355" i="4"/>
  <c r="N394" i="4"/>
  <c r="N474" i="4"/>
  <c r="N522" i="4"/>
  <c r="N85" i="4"/>
  <c r="N204" i="4"/>
  <c r="N252" i="4"/>
  <c r="N284" i="4"/>
  <c r="N316" i="4"/>
  <c r="N332" i="4"/>
  <c r="N364" i="4"/>
  <c r="N371" i="4"/>
  <c r="N387" i="4"/>
  <c r="N403" i="4"/>
  <c r="N435" i="4"/>
  <c r="N451" i="4"/>
  <c r="N483" i="4"/>
  <c r="N499" i="4"/>
  <c r="N46" i="4"/>
  <c r="N62" i="4"/>
  <c r="N94" i="4"/>
  <c r="N101" i="4"/>
  <c r="N133" i="4"/>
  <c r="N149" i="4"/>
  <c r="N165" i="4"/>
  <c r="N181" i="4"/>
  <c r="N261" i="4"/>
  <c r="N293" i="4"/>
  <c r="N341" i="4"/>
  <c r="N380" i="4"/>
  <c r="N412" i="4"/>
  <c r="N444" i="4"/>
  <c r="N476" i="4"/>
  <c r="N103" i="4"/>
  <c r="M160" i="4"/>
  <c r="N167" i="4"/>
  <c r="N247" i="4"/>
  <c r="N263" i="4"/>
  <c r="N343" i="4"/>
  <c r="N359" i="4"/>
  <c r="N382" i="4"/>
  <c r="N398" i="4"/>
  <c r="N430" i="4"/>
  <c r="N478" i="4"/>
  <c r="N494" i="4"/>
  <c r="N526" i="4"/>
  <c r="N73" i="4"/>
  <c r="N320" i="4"/>
  <c r="N352" i="4"/>
  <c r="N375" i="4"/>
  <c r="N407" i="4"/>
  <c r="N423" i="4"/>
  <c r="N105" i="4"/>
  <c r="N121" i="4"/>
  <c r="N137" i="4"/>
  <c r="N185" i="4"/>
  <c r="N233" i="4"/>
  <c r="N281" i="4"/>
  <c r="N297" i="4"/>
  <c r="N345" i="4"/>
  <c r="N464" i="4"/>
  <c r="N480" i="4"/>
  <c r="N27" i="4"/>
  <c r="N75" i="4"/>
  <c r="N130" i="4"/>
  <c r="N160" i="4"/>
  <c r="N176" i="4"/>
  <c r="N194" i="4"/>
  <c r="N210" i="4"/>
  <c r="N226" i="4"/>
  <c r="N240" i="4"/>
  <c r="N256" i="4"/>
  <c r="N258" i="4"/>
  <c r="N274" i="4"/>
  <c r="N290" i="4"/>
  <c r="N338" i="4"/>
  <c r="N393" i="4"/>
  <c r="N425" i="4"/>
  <c r="N441" i="4"/>
  <c r="N473" i="4"/>
  <c r="N505" i="4"/>
  <c r="N521" i="4"/>
  <c r="M241" i="4"/>
  <c r="M422" i="4"/>
  <c r="M281" i="4"/>
  <c r="M244" i="4"/>
  <c r="M355" i="4"/>
  <c r="M196" i="4"/>
  <c r="M516" i="4"/>
  <c r="M207" i="4"/>
  <c r="M83" i="4"/>
  <c r="M71" i="4"/>
  <c r="M388" i="4"/>
  <c r="M252" i="4"/>
  <c r="M79" i="4"/>
  <c r="M240" i="4"/>
  <c r="M256" i="4"/>
  <c r="M287" i="4"/>
  <c r="M193" i="4"/>
  <c r="M393" i="4"/>
  <c r="M145" i="4"/>
  <c r="M233" i="4"/>
  <c r="M286" i="4"/>
  <c r="M24" i="4"/>
  <c r="M346" i="4"/>
  <c r="M121" i="4"/>
  <c r="M367" i="4"/>
  <c r="M416" i="4"/>
  <c r="M441" i="4"/>
  <c r="M478" i="4"/>
  <c r="M116" i="4"/>
  <c r="M137" i="4"/>
  <c r="M46" i="4"/>
  <c r="M262" i="4"/>
  <c r="M399" i="4"/>
  <c r="M434" i="4"/>
  <c r="M480" i="4"/>
  <c r="M394" i="4"/>
  <c r="M406" i="4"/>
  <c r="M468" i="4"/>
  <c r="M345" i="4"/>
  <c r="M447" i="4"/>
  <c r="M210" i="4"/>
  <c r="M440" i="4"/>
  <c r="M200" i="4"/>
  <c r="M269" i="4"/>
  <c r="M384" i="4"/>
  <c r="M40" i="4"/>
  <c r="M319" i="4"/>
  <c r="M464" i="4"/>
  <c r="M525" i="4"/>
  <c r="M167" i="4"/>
  <c r="M321" i="4"/>
  <c r="M342" i="4"/>
  <c r="M44" i="4"/>
  <c r="M261" i="4"/>
  <c r="M290" i="4"/>
  <c r="M297" i="4"/>
  <c r="M358" i="4"/>
  <c r="M374" i="4"/>
  <c r="M398" i="4"/>
  <c r="M438" i="4"/>
  <c r="M443" i="4"/>
  <c r="M473" i="4"/>
  <c r="M511" i="4"/>
  <c r="M60" i="4"/>
  <c r="M159" i="4"/>
  <c r="M176" i="4"/>
  <c r="M206" i="4"/>
  <c r="M225" i="4"/>
  <c r="M383" i="4"/>
  <c r="M27" i="4"/>
  <c r="M223" i="4"/>
  <c r="M239" i="4"/>
  <c r="M320" i="4"/>
  <c r="M36" i="4"/>
  <c r="M90" i="4"/>
  <c r="M185" i="4"/>
  <c r="M216" i="4"/>
  <c r="M275" i="4"/>
  <c r="M435" i="4"/>
  <c r="M449" i="4"/>
  <c r="M107" i="4"/>
  <c r="M154" i="4"/>
  <c r="M168" i="4"/>
  <c r="M194" i="4"/>
  <c r="M289" i="4"/>
  <c r="M352" i="4"/>
  <c r="M364" i="4"/>
  <c r="M385" i="4"/>
  <c r="M412" i="4"/>
  <c r="M491" i="4"/>
  <c r="M105" i="4"/>
  <c r="M147" i="4"/>
  <c r="M317" i="4"/>
  <c r="M359" i="4"/>
  <c r="M444" i="4"/>
  <c r="M463" i="4"/>
  <c r="M526" i="4"/>
  <c r="M130" i="4"/>
  <c r="M170" i="4"/>
  <c r="M347" i="4"/>
  <c r="M521" i="4"/>
  <c r="M75" i="4"/>
  <c r="M97" i="4"/>
  <c r="M158" i="4"/>
  <c r="M179" i="4"/>
  <c r="M205" i="4"/>
  <c r="M307" i="4"/>
  <c r="M425" i="4"/>
  <c r="M28" i="4"/>
  <c r="M73" i="4"/>
  <c r="M157" i="4"/>
  <c r="M175" i="4"/>
  <c r="M218" i="4"/>
  <c r="M328" i="4"/>
  <c r="M333" i="4"/>
  <c r="M424" i="4"/>
  <c r="M429" i="4"/>
  <c r="M452" i="4"/>
  <c r="M475" i="4"/>
  <c r="M505" i="4"/>
  <c r="M257" i="4"/>
  <c r="M323" i="4"/>
  <c r="M343" i="4"/>
  <c r="M360" i="4"/>
  <c r="M386" i="4"/>
  <c r="M88" i="4"/>
  <c r="M149" i="4"/>
  <c r="M198" i="4"/>
  <c r="M266" i="4"/>
  <c r="M299" i="4"/>
  <c r="M338" i="4"/>
  <c r="M474" i="4"/>
  <c r="M482" i="4"/>
  <c r="M522" i="4"/>
  <c r="M530" i="4"/>
  <c r="M17" i="4"/>
  <c r="M136" i="4"/>
  <c r="M274" i="4"/>
  <c r="M284" i="4"/>
  <c r="M403" i="4"/>
  <c r="M413" i="4"/>
  <c r="M494" i="4"/>
  <c r="M62" i="4"/>
  <c r="M103" i="4"/>
  <c r="M113" i="4"/>
  <c r="M133" i="4"/>
  <c r="M138" i="4"/>
  <c r="M227" i="4"/>
  <c r="M250" i="4"/>
  <c r="M258" i="4"/>
  <c r="M291" i="4"/>
  <c r="M296" i="4"/>
  <c r="M314" i="4"/>
  <c r="M375" i="4"/>
  <c r="M382" i="4"/>
  <c r="M405" i="4"/>
  <c r="M451" i="4"/>
  <c r="M456" i="4"/>
  <c r="M499" i="4"/>
  <c r="M509" i="4"/>
  <c r="M529" i="4"/>
  <c r="M141" i="4"/>
  <c r="M47" i="4"/>
  <c r="M161" i="4"/>
  <c r="M186" i="4"/>
  <c r="M212" i="4"/>
  <c r="M344" i="4"/>
  <c r="M349" i="4"/>
  <c r="M232" i="4"/>
  <c r="M110" i="4"/>
  <c r="M332" i="4"/>
  <c r="M334" i="4"/>
  <c r="M380" i="4"/>
  <c r="M387" i="4"/>
  <c r="M392" i="4"/>
  <c r="M420" i="4"/>
  <c r="M423" i="4"/>
  <c r="M430" i="4"/>
  <c r="M453" i="4"/>
  <c r="M531" i="4"/>
  <c r="M56" i="4"/>
  <c r="M115" i="4"/>
  <c r="M122" i="4"/>
  <c r="M247" i="4"/>
  <c r="M280" i="4"/>
  <c r="M308" i="4"/>
  <c r="M341" i="4"/>
  <c r="M356" i="4"/>
  <c r="M417" i="4"/>
  <c r="M476" i="4"/>
  <c r="M483" i="4"/>
  <c r="M493" i="4"/>
  <c r="M204" i="4"/>
  <c r="M255" i="4"/>
  <c r="M273" i="4"/>
  <c r="M513" i="4"/>
  <c r="M528" i="4"/>
  <c r="M54" i="4"/>
  <c r="M99" i="4"/>
  <c r="M278" i="4"/>
  <c r="M303" i="4"/>
  <c r="M318" i="4"/>
  <c r="M353" i="4"/>
  <c r="M371" i="4"/>
  <c r="M376" i="4"/>
  <c r="M407" i="4"/>
  <c r="M109" i="4"/>
  <c r="M127" i="4"/>
  <c r="M152" i="4"/>
  <c r="M165" i="4"/>
  <c r="M203" i="4"/>
  <c r="M214" i="4"/>
  <c r="M226" i="4"/>
  <c r="M282" i="4"/>
  <c r="M316" i="4"/>
  <c r="M427" i="4"/>
  <c r="M498" i="4"/>
  <c r="M101" i="4"/>
  <c r="M285" i="4"/>
  <c r="M293" i="4"/>
  <c r="M312" i="4"/>
  <c r="M401" i="4"/>
  <c r="M132" i="4"/>
  <c r="M174" i="4"/>
  <c r="M263" i="4"/>
  <c r="M501" i="4"/>
  <c r="M52" i="4"/>
  <c r="M77" i="4"/>
  <c r="M94" i="4"/>
  <c r="M389" i="4"/>
  <c r="M142" i="4"/>
  <c r="M85" i="4"/>
  <c r="M237" i="4"/>
  <c r="M264" i="4"/>
  <c r="M523" i="4"/>
  <c r="M181" i="4"/>
  <c r="M302" i="4"/>
  <c r="H1" i="3" l="1"/>
  <c r="F1" i="3"/>
  <c r="F7" i="3" s="1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H100" i="4" l="1"/>
  <c r="B133" i="4"/>
  <c r="AC133" i="4" s="1"/>
  <c r="B356" i="4"/>
  <c r="AC356" i="4" s="1"/>
  <c r="E331" i="4"/>
  <c r="E460" i="4"/>
  <c r="B467" i="4"/>
  <c r="P475" i="4"/>
  <c r="R475" i="4" s="1"/>
  <c r="P473" i="4"/>
  <c r="R473" i="4" s="1"/>
  <c r="P474" i="4"/>
  <c r="R474" i="4" s="1"/>
  <c r="K191" i="4"/>
  <c r="B227" i="4"/>
  <c r="AC227" i="4" s="1"/>
  <c r="B485" i="4"/>
  <c r="P492" i="4"/>
  <c r="R492" i="4" s="1"/>
  <c r="E477" i="4"/>
  <c r="P493" i="4"/>
  <c r="R493" i="4" s="1"/>
  <c r="B405" i="4"/>
  <c r="AC405" i="4" s="1"/>
  <c r="K391" i="4"/>
  <c r="B341" i="4"/>
  <c r="AC341" i="4" s="1"/>
  <c r="H315" i="4"/>
  <c r="B261" i="4"/>
  <c r="AC261" i="4" s="1"/>
  <c r="E228" i="4"/>
  <c r="B117" i="4"/>
  <c r="P148" i="4"/>
  <c r="R148" i="4" s="1"/>
  <c r="H86" i="4"/>
  <c r="H472" i="4"/>
  <c r="P490" i="4"/>
  <c r="R490" i="4" s="1"/>
  <c r="B484" i="4"/>
  <c r="E462" i="4"/>
  <c r="B468" i="4"/>
  <c r="AC468" i="4" s="1"/>
  <c r="B420" i="4"/>
  <c r="AC420" i="4" s="1"/>
  <c r="E410" i="4"/>
  <c r="E372" i="4"/>
  <c r="B388" i="4"/>
  <c r="AC388" i="4" s="1"/>
  <c r="E315" i="4"/>
  <c r="B340" i="4"/>
  <c r="P366" i="4"/>
  <c r="R366" i="4" s="1"/>
  <c r="E276" i="4"/>
  <c r="B308" i="4"/>
  <c r="AC308" i="4" s="1"/>
  <c r="P309" i="4"/>
  <c r="R309" i="4" s="1"/>
  <c r="P308" i="4"/>
  <c r="R308" i="4" s="1"/>
  <c r="B276" i="4"/>
  <c r="K242" i="4"/>
  <c r="P310" i="4"/>
  <c r="R310" i="4" s="1"/>
  <c r="P262" i="4"/>
  <c r="R262" i="4" s="1"/>
  <c r="P263" i="4"/>
  <c r="R263" i="4" s="1"/>
  <c r="P261" i="4"/>
  <c r="R261" i="4" s="1"/>
  <c r="E195" i="4"/>
  <c r="B228" i="4"/>
  <c r="P211" i="4"/>
  <c r="R211" i="4" s="1"/>
  <c r="B180" i="4"/>
  <c r="H146" i="4"/>
  <c r="P210" i="4"/>
  <c r="R210" i="4" s="1"/>
  <c r="E100" i="4"/>
  <c r="B132" i="4"/>
  <c r="AC132" i="4" s="1"/>
  <c r="B100" i="4"/>
  <c r="P133" i="4"/>
  <c r="R133" i="4" s="1"/>
  <c r="P132" i="4"/>
  <c r="R132" i="4" s="1"/>
  <c r="H72" i="4"/>
  <c r="E35" i="4"/>
  <c r="B52" i="4"/>
  <c r="AC52" i="4" s="1"/>
  <c r="B451" i="4"/>
  <c r="AC451" i="4" s="1"/>
  <c r="K442" i="4"/>
  <c r="P290" i="4"/>
  <c r="R290" i="4" s="1"/>
  <c r="P292" i="4"/>
  <c r="R292" i="4" s="1"/>
  <c r="H224" i="4"/>
  <c r="B259" i="4"/>
  <c r="P291" i="4"/>
  <c r="R291" i="4" s="1"/>
  <c r="H460" i="4"/>
  <c r="P477" i="4"/>
  <c r="R477" i="4" s="1"/>
  <c r="B466" i="4"/>
  <c r="P476" i="4"/>
  <c r="R476" i="4" s="1"/>
  <c r="P413" i="4"/>
  <c r="R413" i="4" s="1"/>
  <c r="B402" i="4"/>
  <c r="H390" i="4"/>
  <c r="P412" i="4"/>
  <c r="R412" i="4" s="1"/>
  <c r="P414" i="4"/>
  <c r="R414" i="4" s="1"/>
  <c r="H370" i="4"/>
  <c r="B386" i="4"/>
  <c r="AC386" i="4" s="1"/>
  <c r="P386" i="4"/>
  <c r="R386" i="4" s="1"/>
  <c r="B370" i="4"/>
  <c r="P385" i="4"/>
  <c r="R385" i="4" s="1"/>
  <c r="H350" i="4"/>
  <c r="P372" i="4"/>
  <c r="R372" i="4" s="1"/>
  <c r="P371" i="4"/>
  <c r="R371" i="4" s="1"/>
  <c r="K329" i="4"/>
  <c r="B354" i="4"/>
  <c r="B338" i="4"/>
  <c r="AC338" i="4" s="1"/>
  <c r="E313" i="4"/>
  <c r="P342" i="4"/>
  <c r="R342" i="4" s="1"/>
  <c r="K294" i="4"/>
  <c r="B322" i="4"/>
  <c r="P332" i="4"/>
  <c r="R332" i="4" s="1"/>
  <c r="E272" i="4"/>
  <c r="P331" i="4"/>
  <c r="R331" i="4" s="1"/>
  <c r="B306" i="4"/>
  <c r="E259" i="4"/>
  <c r="B290" i="4"/>
  <c r="AC290" i="4" s="1"/>
  <c r="B274" i="4"/>
  <c r="AC274" i="4" s="1"/>
  <c r="E242" i="4"/>
  <c r="B258" i="4"/>
  <c r="AC258" i="4" s="1"/>
  <c r="E224" i="4"/>
  <c r="H191" i="4"/>
  <c r="B226" i="4"/>
  <c r="AC226" i="4" s="1"/>
  <c r="B210" i="4"/>
  <c r="AC210" i="4" s="1"/>
  <c r="E180" i="4"/>
  <c r="B194" i="4"/>
  <c r="AC194" i="4" s="1"/>
  <c r="H164" i="4"/>
  <c r="P209" i="4"/>
  <c r="R209" i="4" s="1"/>
  <c r="B178" i="4"/>
  <c r="E144" i="4"/>
  <c r="M144" i="4" s="1"/>
  <c r="P191" i="4"/>
  <c r="R191" i="4" s="1"/>
  <c r="K129" i="4"/>
  <c r="B162" i="4"/>
  <c r="P192" i="4"/>
  <c r="R192" i="4" s="1"/>
  <c r="B146" i="4"/>
  <c r="P180" i="4"/>
  <c r="R180" i="4" s="1"/>
  <c r="P179" i="4"/>
  <c r="R179" i="4" s="1"/>
  <c r="H114" i="4"/>
  <c r="B130" i="4"/>
  <c r="AC130" i="4" s="1"/>
  <c r="E98" i="4"/>
  <c r="P145" i="4"/>
  <c r="R145" i="4" s="1"/>
  <c r="B114" i="4"/>
  <c r="P146" i="4"/>
  <c r="R146" i="4" s="1"/>
  <c r="H84" i="4"/>
  <c r="B98" i="4"/>
  <c r="P131" i="4"/>
  <c r="R131" i="4" s="1"/>
  <c r="P130" i="4"/>
  <c r="R130" i="4" s="1"/>
  <c r="H70" i="4"/>
  <c r="P112" i="4"/>
  <c r="R112" i="4" s="1"/>
  <c r="B82" i="4"/>
  <c r="E59" i="4"/>
  <c r="M59" i="4" s="1"/>
  <c r="B66" i="4"/>
  <c r="P88" i="4"/>
  <c r="R88" i="4" s="1"/>
  <c r="P89" i="4"/>
  <c r="R89" i="4" s="1"/>
  <c r="E45" i="4"/>
  <c r="P70" i="4"/>
  <c r="R70" i="4" s="1"/>
  <c r="B50" i="4"/>
  <c r="E32" i="4"/>
  <c r="M32" i="4" s="1"/>
  <c r="B34" i="4"/>
  <c r="E20" i="4"/>
  <c r="M20" i="4" s="1"/>
  <c r="P51" i="4"/>
  <c r="R51" i="4" s="1"/>
  <c r="E11" i="4"/>
  <c r="M11" i="4" s="1"/>
  <c r="B17" i="4"/>
  <c r="AC17" i="4" s="1"/>
  <c r="E354" i="4"/>
  <c r="B371" i="4"/>
  <c r="AC371" i="4" s="1"/>
  <c r="E61" i="4"/>
  <c r="B83" i="4"/>
  <c r="AC83" i="4" s="1"/>
  <c r="E421" i="4"/>
  <c r="M421" i="4" s="1"/>
  <c r="P442" i="4"/>
  <c r="R442" i="4" s="1"/>
  <c r="B433" i="4"/>
  <c r="P441" i="4"/>
  <c r="R441" i="4" s="1"/>
  <c r="P330" i="4"/>
  <c r="R330" i="4" s="1"/>
  <c r="B305" i="4"/>
  <c r="E271" i="4"/>
  <c r="M271" i="4" s="1"/>
  <c r="B225" i="4"/>
  <c r="AC225" i="4" s="1"/>
  <c r="E191" i="4"/>
  <c r="P243" i="4"/>
  <c r="R243" i="4" s="1"/>
  <c r="E178" i="4"/>
  <c r="M178" i="4" s="1"/>
  <c r="B209" i="4"/>
  <c r="B193" i="4"/>
  <c r="AC193" i="4" s="1"/>
  <c r="E164" i="4"/>
  <c r="K143" i="4"/>
  <c r="P207" i="4"/>
  <c r="R207" i="4" s="1"/>
  <c r="P206" i="4"/>
  <c r="R206" i="4" s="1"/>
  <c r="P208" i="4"/>
  <c r="R208" i="4" s="1"/>
  <c r="B177" i="4"/>
  <c r="H129" i="4"/>
  <c r="B161" i="4"/>
  <c r="AC161" i="4" s="1"/>
  <c r="E114" i="4"/>
  <c r="B145" i="4"/>
  <c r="AC145" i="4" s="1"/>
  <c r="P162" i="4"/>
  <c r="R162" i="4" s="1"/>
  <c r="P161" i="4"/>
  <c r="R161" i="4" s="1"/>
  <c r="K96" i="4"/>
  <c r="B129" i="4"/>
  <c r="P160" i="4"/>
  <c r="R160" i="4" s="1"/>
  <c r="B113" i="4"/>
  <c r="AC113" i="4" s="1"/>
  <c r="E84" i="4"/>
  <c r="B97" i="4"/>
  <c r="AC97" i="4" s="1"/>
  <c r="E70" i="4"/>
  <c r="P107" i="4"/>
  <c r="R107" i="4" s="1"/>
  <c r="B81" i="4"/>
  <c r="P108" i="4"/>
  <c r="R108" i="4" s="1"/>
  <c r="E57" i="4"/>
  <c r="P90" i="4"/>
  <c r="R90" i="4" s="1"/>
  <c r="B65" i="4"/>
  <c r="H45" i="4"/>
  <c r="P91" i="4"/>
  <c r="R91" i="4" s="1"/>
  <c r="P68" i="4"/>
  <c r="R68" i="4" s="1"/>
  <c r="H33" i="4"/>
  <c r="P67" i="4"/>
  <c r="R67" i="4" s="1"/>
  <c r="B49" i="4"/>
  <c r="P48" i="4"/>
  <c r="R48" i="4" s="1"/>
  <c r="P47" i="4"/>
  <c r="R47" i="4" s="1"/>
  <c r="B33" i="4"/>
  <c r="P49" i="4"/>
  <c r="R49" i="4" s="1"/>
  <c r="H21" i="4"/>
  <c r="B16" i="4"/>
  <c r="E8" i="4"/>
  <c r="M8" i="4" s="1"/>
  <c r="P27" i="4"/>
  <c r="R27" i="4" s="1"/>
  <c r="B500" i="4"/>
  <c r="K488" i="4"/>
  <c r="P508" i="4"/>
  <c r="R508" i="4" s="1"/>
  <c r="P509" i="4"/>
  <c r="R509" i="4" s="1"/>
  <c r="P416" i="4"/>
  <c r="R416" i="4" s="1"/>
  <c r="H391" i="4"/>
  <c r="P415" i="4"/>
  <c r="R415" i="4" s="1"/>
  <c r="B404" i="4"/>
  <c r="E298" i="4"/>
  <c r="M298" i="4" s="1"/>
  <c r="P343" i="4"/>
  <c r="R343" i="4" s="1"/>
  <c r="B324" i="4"/>
  <c r="K259" i="4"/>
  <c r="B292" i="4"/>
  <c r="P319" i="4"/>
  <c r="R319" i="4" s="1"/>
  <c r="B244" i="4"/>
  <c r="AC244" i="4" s="1"/>
  <c r="E211" i="4"/>
  <c r="B212" i="4"/>
  <c r="AC212" i="4" s="1"/>
  <c r="E182" i="4"/>
  <c r="P193" i="4"/>
  <c r="R193" i="4" s="1"/>
  <c r="P195" i="4"/>
  <c r="R195" i="4" s="1"/>
  <c r="H128" i="4"/>
  <c r="P194" i="4"/>
  <c r="R194" i="4" s="1"/>
  <c r="B164" i="4"/>
  <c r="B116" i="4"/>
  <c r="AC116" i="4" s="1"/>
  <c r="K86" i="4"/>
  <c r="P113" i="4"/>
  <c r="R113" i="4" s="1"/>
  <c r="P114" i="4"/>
  <c r="R114" i="4" s="1"/>
  <c r="H61" i="4"/>
  <c r="B84" i="4"/>
  <c r="H426" i="4"/>
  <c r="B435" i="4"/>
  <c r="AC435" i="4" s="1"/>
  <c r="B99" i="4"/>
  <c r="AC99" i="4" s="1"/>
  <c r="E72" i="4"/>
  <c r="P431" i="4"/>
  <c r="R431" i="4" s="1"/>
  <c r="B418" i="4"/>
  <c r="H408" i="4"/>
  <c r="P430" i="4"/>
  <c r="R430" i="4" s="1"/>
  <c r="B385" i="4"/>
  <c r="AC385" i="4" s="1"/>
  <c r="E370" i="4"/>
  <c r="P520" i="4"/>
  <c r="R520" i="4" s="1"/>
  <c r="E503" i="4"/>
  <c r="B512" i="4"/>
  <c r="K471" i="4"/>
  <c r="B480" i="4"/>
  <c r="AC480" i="4" s="1"/>
  <c r="H457" i="4"/>
  <c r="B464" i="4"/>
  <c r="AC464" i="4" s="1"/>
  <c r="E439" i="4"/>
  <c r="M439" i="4" s="1"/>
  <c r="P456" i="4"/>
  <c r="R456" i="4" s="1"/>
  <c r="B448" i="4"/>
  <c r="E419" i="4"/>
  <c r="M419" i="4" s="1"/>
  <c r="B432" i="4"/>
  <c r="P440" i="4"/>
  <c r="R440" i="4" s="1"/>
  <c r="H404" i="4"/>
  <c r="B416" i="4"/>
  <c r="AC416" i="4" s="1"/>
  <c r="P411" i="4"/>
  <c r="R411" i="4" s="1"/>
  <c r="B400" i="4"/>
  <c r="K381" i="4"/>
  <c r="H368" i="4"/>
  <c r="B384" i="4"/>
  <c r="AC384" i="4" s="1"/>
  <c r="P384" i="4"/>
  <c r="R384" i="4" s="1"/>
  <c r="B368" i="4"/>
  <c r="E351" i="4"/>
  <c r="M351" i="4" s="1"/>
  <c r="P383" i="4"/>
  <c r="R383" i="4" s="1"/>
  <c r="E329" i="4"/>
  <c r="B352" i="4"/>
  <c r="AC352" i="4" s="1"/>
  <c r="B320" i="4"/>
  <c r="AC320" i="4" s="1"/>
  <c r="E294" i="4"/>
  <c r="K270" i="4"/>
  <c r="P329" i="4"/>
  <c r="R329" i="4" s="1"/>
  <c r="B304" i="4"/>
  <c r="P328" i="4"/>
  <c r="R328" i="4" s="1"/>
  <c r="P318" i="4"/>
  <c r="R318" i="4" s="1"/>
  <c r="H253" i="4"/>
  <c r="B288" i="4"/>
  <c r="P317" i="4"/>
  <c r="R317" i="4" s="1"/>
  <c r="P306" i="4"/>
  <c r="R306" i="4" s="1"/>
  <c r="B272" i="4"/>
  <c r="E238" i="4"/>
  <c r="P307" i="4"/>
  <c r="R307" i="4" s="1"/>
  <c r="B256" i="4"/>
  <c r="AC256" i="4" s="1"/>
  <c r="H222" i="4"/>
  <c r="E208" i="4"/>
  <c r="B240" i="4"/>
  <c r="AC240" i="4" s="1"/>
  <c r="P259" i="4"/>
  <c r="R259" i="4" s="1"/>
  <c r="B224" i="4"/>
  <c r="P258" i="4"/>
  <c r="R258" i="4" s="1"/>
  <c r="E192" i="4"/>
  <c r="M192" i="4" s="1"/>
  <c r="P241" i="4"/>
  <c r="R241" i="4" s="1"/>
  <c r="B208" i="4"/>
  <c r="P240" i="4"/>
  <c r="R240" i="4" s="1"/>
  <c r="K177" i="4"/>
  <c r="P242" i="4"/>
  <c r="R242" i="4" s="1"/>
  <c r="B192" i="4"/>
  <c r="H162" i="4"/>
  <c r="P224" i="4"/>
  <c r="R224" i="4" s="1"/>
  <c r="H143" i="4"/>
  <c r="B176" i="4"/>
  <c r="AC176" i="4" s="1"/>
  <c r="B160" i="4"/>
  <c r="AC160" i="4" s="1"/>
  <c r="E129" i="4"/>
  <c r="P178" i="4"/>
  <c r="R178" i="4" s="1"/>
  <c r="B144" i="4"/>
  <c r="E112" i="4"/>
  <c r="M112" i="4" s="1"/>
  <c r="P164" i="4"/>
  <c r="R164" i="4" s="1"/>
  <c r="B128" i="4"/>
  <c r="P163" i="4"/>
  <c r="R163" i="4" s="1"/>
  <c r="H96" i="4"/>
  <c r="B112" i="4"/>
  <c r="P144" i="4"/>
  <c r="R144" i="4" s="1"/>
  <c r="E82" i="4"/>
  <c r="M82" i="4" s="1"/>
  <c r="AC82" i="4" s="1"/>
  <c r="P111" i="4"/>
  <c r="R111" i="4" s="1"/>
  <c r="P109" i="4"/>
  <c r="R109" i="4" s="1"/>
  <c r="B80" i="4"/>
  <c r="P110" i="4"/>
  <c r="R110" i="4" s="1"/>
  <c r="H57" i="4"/>
  <c r="E42" i="4"/>
  <c r="B64" i="4"/>
  <c r="P85" i="4"/>
  <c r="R85" i="4" s="1"/>
  <c r="B48" i="4"/>
  <c r="E33" i="4"/>
  <c r="P69" i="4"/>
  <c r="R69" i="4" s="1"/>
  <c r="E21" i="4"/>
  <c r="M21" i="4" s="1"/>
  <c r="P50" i="4"/>
  <c r="R50" i="4" s="1"/>
  <c r="B32" i="4"/>
  <c r="P25" i="4"/>
  <c r="R25" i="4" s="1"/>
  <c r="P26" i="4"/>
  <c r="R26" i="4" s="1"/>
  <c r="B15" i="4"/>
  <c r="P24" i="4"/>
  <c r="R24" i="4" s="1"/>
  <c r="E9" i="4"/>
  <c r="M9" i="4" s="1"/>
  <c r="B453" i="4"/>
  <c r="AC453" i="4" s="1"/>
  <c r="H445" i="4"/>
  <c r="E120" i="4"/>
  <c r="M120" i="4" s="1"/>
  <c r="B149" i="4"/>
  <c r="AC149" i="4" s="1"/>
  <c r="B516" i="4"/>
  <c r="AC516" i="4" s="1"/>
  <c r="H508" i="4"/>
  <c r="B387" i="4"/>
  <c r="AC387" i="4" s="1"/>
  <c r="E369" i="4"/>
  <c r="M369" i="4" s="1"/>
  <c r="P95" i="4"/>
  <c r="R95" i="4" s="1"/>
  <c r="P94" i="4"/>
  <c r="R94" i="4" s="1"/>
  <c r="B67" i="4"/>
  <c r="H49" i="4"/>
  <c r="B513" i="4"/>
  <c r="AC513" i="4" s="1"/>
  <c r="H503" i="4"/>
  <c r="B321" i="4"/>
  <c r="AC321" i="4" s="1"/>
  <c r="H294" i="4"/>
  <c r="E519" i="4"/>
  <c r="M519" i="4" s="1"/>
  <c r="B528" i="4"/>
  <c r="AC528" i="4" s="1"/>
  <c r="P531" i="4"/>
  <c r="R531" i="4" s="1"/>
  <c r="AB531" i="4" s="1"/>
  <c r="B527" i="4"/>
  <c r="E517" i="4"/>
  <c r="P506" i="4"/>
  <c r="R506" i="4" s="1"/>
  <c r="B495" i="4"/>
  <c r="H487" i="4"/>
  <c r="B463" i="4"/>
  <c r="AC463" i="4" s="1"/>
  <c r="E457" i="4"/>
  <c r="H418" i="4"/>
  <c r="B431" i="4"/>
  <c r="P439" i="4"/>
  <c r="R439" i="4" s="1"/>
  <c r="P427" i="4"/>
  <c r="R427" i="4" s="1"/>
  <c r="P429" i="4"/>
  <c r="R429" i="4" s="1"/>
  <c r="E404" i="4"/>
  <c r="P428" i="4"/>
  <c r="R428" i="4" s="1"/>
  <c r="B415" i="4"/>
  <c r="H381" i="4"/>
  <c r="B399" i="4"/>
  <c r="AC399" i="4" s="1"/>
  <c r="B383" i="4"/>
  <c r="AC383" i="4" s="1"/>
  <c r="E368" i="4"/>
  <c r="E348" i="4"/>
  <c r="M348" i="4" s="1"/>
  <c r="B367" i="4"/>
  <c r="AC367" i="4" s="1"/>
  <c r="B351" i="4"/>
  <c r="H327" i="4"/>
  <c r="P368" i="4"/>
  <c r="R368" i="4" s="1"/>
  <c r="B319" i="4"/>
  <c r="AC319" i="4" s="1"/>
  <c r="E292" i="4"/>
  <c r="M292" i="4" s="1"/>
  <c r="B303" i="4"/>
  <c r="AC303" i="4" s="1"/>
  <c r="H270" i="4"/>
  <c r="B287" i="4"/>
  <c r="AC287" i="4" s="1"/>
  <c r="E253" i="4"/>
  <c r="B271" i="4"/>
  <c r="E235" i="4"/>
  <c r="M235" i="4" s="1"/>
  <c r="P305" i="4"/>
  <c r="R305" i="4" s="1"/>
  <c r="E222" i="4"/>
  <c r="B255" i="4"/>
  <c r="AC255" i="4" s="1"/>
  <c r="B239" i="4"/>
  <c r="AC239" i="4" s="1"/>
  <c r="K202" i="4"/>
  <c r="B223" i="4"/>
  <c r="AC223" i="4" s="1"/>
  <c r="E190" i="4"/>
  <c r="M190" i="4" s="1"/>
  <c r="B207" i="4"/>
  <c r="AC207" i="4" s="1"/>
  <c r="H177" i="4"/>
  <c r="P226" i="4"/>
  <c r="R226" i="4" s="1"/>
  <c r="E162" i="4"/>
  <c r="M162" i="4" s="1"/>
  <c r="B191" i="4"/>
  <c r="P227" i="4"/>
  <c r="R227" i="4" s="1"/>
  <c r="P225" i="4"/>
  <c r="R225" i="4" s="1"/>
  <c r="E143" i="4"/>
  <c r="B175" i="4"/>
  <c r="AC175" i="4" s="1"/>
  <c r="K111" i="4"/>
  <c r="B143" i="4"/>
  <c r="P175" i="4"/>
  <c r="R175" i="4" s="1"/>
  <c r="P177" i="4"/>
  <c r="R177" i="4" s="1"/>
  <c r="P176" i="4"/>
  <c r="R176" i="4" s="1"/>
  <c r="B127" i="4"/>
  <c r="AC127" i="4" s="1"/>
  <c r="E96" i="4"/>
  <c r="P143" i="4"/>
  <c r="R143" i="4" s="1"/>
  <c r="P142" i="4"/>
  <c r="R142" i="4" s="1"/>
  <c r="B111" i="4"/>
  <c r="P141" i="4"/>
  <c r="R141" i="4" s="1"/>
  <c r="K80" i="4"/>
  <c r="B95" i="4"/>
  <c r="AC95" i="4" s="1"/>
  <c r="H67" i="4"/>
  <c r="K57" i="4"/>
  <c r="B79" i="4"/>
  <c r="AC79" i="4" s="1"/>
  <c r="K33" i="4"/>
  <c r="B47" i="4"/>
  <c r="AC47" i="4" s="1"/>
  <c r="E18" i="4"/>
  <c r="B31" i="4"/>
  <c r="P44" i="4"/>
  <c r="R44" i="4" s="1"/>
  <c r="E6" i="4"/>
  <c r="M6" i="4" s="1"/>
  <c r="P23" i="4"/>
  <c r="R23" i="4" s="1"/>
  <c r="B14" i="4"/>
  <c r="B373" i="4"/>
  <c r="P392" i="4"/>
  <c r="R392" i="4" s="1"/>
  <c r="E357" i="4"/>
  <c r="P391" i="4"/>
  <c r="R391" i="4" s="1"/>
  <c r="B101" i="4"/>
  <c r="AC101" i="4" s="1"/>
  <c r="E74" i="4"/>
  <c r="E118" i="4"/>
  <c r="M118" i="4" s="1"/>
  <c r="B147" i="4"/>
  <c r="AC147" i="4" s="1"/>
  <c r="B498" i="4"/>
  <c r="AC498" i="4" s="1"/>
  <c r="E488" i="4"/>
  <c r="B497" i="4"/>
  <c r="P507" i="4"/>
  <c r="R507" i="4" s="1"/>
  <c r="E489" i="4"/>
  <c r="M489" i="4" s="1"/>
  <c r="B353" i="4"/>
  <c r="AC353" i="4" s="1"/>
  <c r="H329" i="4"/>
  <c r="K487" i="4"/>
  <c r="P505" i="4"/>
  <c r="R505" i="4" s="1"/>
  <c r="B496" i="4"/>
  <c r="E504" i="4"/>
  <c r="M504" i="4" s="1"/>
  <c r="B511" i="4"/>
  <c r="AC511" i="4" s="1"/>
  <c r="H437" i="4"/>
  <c r="B447" i="4"/>
  <c r="AC447" i="4" s="1"/>
  <c r="B526" i="4"/>
  <c r="AC526" i="4" s="1"/>
  <c r="H517" i="4"/>
  <c r="P518" i="4"/>
  <c r="R518" i="4" s="1"/>
  <c r="E502" i="4"/>
  <c r="M502" i="4" s="1"/>
  <c r="P519" i="4"/>
  <c r="R519" i="4" s="1"/>
  <c r="B510" i="4"/>
  <c r="E487" i="4"/>
  <c r="B494" i="4"/>
  <c r="AC494" i="4" s="1"/>
  <c r="E469" i="4"/>
  <c r="M469" i="4" s="1"/>
  <c r="B478" i="4"/>
  <c r="AC478" i="4" s="1"/>
  <c r="P469" i="4"/>
  <c r="R469" i="4" s="1"/>
  <c r="B462" i="4"/>
  <c r="P468" i="4"/>
  <c r="R468" i="4" s="1"/>
  <c r="H458" i="4"/>
  <c r="E437" i="4"/>
  <c r="M437" i="4" s="1"/>
  <c r="P454" i="4"/>
  <c r="R454" i="4" s="1"/>
  <c r="B446" i="4"/>
  <c r="P455" i="4"/>
  <c r="R455" i="4" s="1"/>
  <c r="B430" i="4"/>
  <c r="AC430" i="4" s="1"/>
  <c r="E418" i="4"/>
  <c r="B414" i="4"/>
  <c r="K402" i="4"/>
  <c r="P424" i="4"/>
  <c r="R424" i="4" s="1"/>
  <c r="P426" i="4"/>
  <c r="R426" i="4" s="1"/>
  <c r="P425" i="4"/>
  <c r="R425" i="4" s="1"/>
  <c r="B398" i="4"/>
  <c r="AC398" i="4" s="1"/>
  <c r="E381" i="4"/>
  <c r="E366" i="4"/>
  <c r="M366" i="4" s="1"/>
  <c r="B382" i="4"/>
  <c r="AC382" i="4" s="1"/>
  <c r="P382" i="4"/>
  <c r="R382" i="4" s="1"/>
  <c r="B366" i="4"/>
  <c r="E340" i="4"/>
  <c r="M340" i="4" s="1"/>
  <c r="P370" i="4"/>
  <c r="R370" i="4" s="1"/>
  <c r="P369" i="4"/>
  <c r="R369" i="4" s="1"/>
  <c r="E327" i="4"/>
  <c r="B350" i="4"/>
  <c r="H310" i="4"/>
  <c r="B334" i="4"/>
  <c r="AC334" i="4" s="1"/>
  <c r="H288" i="4"/>
  <c r="B318" i="4"/>
  <c r="AC318" i="4" s="1"/>
  <c r="E270" i="4"/>
  <c r="B302" i="4"/>
  <c r="AC302" i="4" s="1"/>
  <c r="H251" i="4"/>
  <c r="P316" i="4"/>
  <c r="R316" i="4" s="1"/>
  <c r="B286" i="4"/>
  <c r="AC286" i="4" s="1"/>
  <c r="P302" i="4"/>
  <c r="R302" i="4" s="1"/>
  <c r="P304" i="4"/>
  <c r="R304" i="4" s="1"/>
  <c r="B270" i="4"/>
  <c r="P303" i="4"/>
  <c r="R303" i="4" s="1"/>
  <c r="E236" i="4"/>
  <c r="M236" i="4" s="1"/>
  <c r="B254" i="4"/>
  <c r="E220" i="4"/>
  <c r="M220" i="4" s="1"/>
  <c r="P289" i="4"/>
  <c r="R289" i="4" s="1"/>
  <c r="P272" i="4"/>
  <c r="R272" i="4" s="1"/>
  <c r="P273" i="4"/>
  <c r="R273" i="4" s="1"/>
  <c r="H202" i="4"/>
  <c r="B238" i="4"/>
  <c r="P257" i="4"/>
  <c r="R257" i="4" s="1"/>
  <c r="P255" i="4"/>
  <c r="R255" i="4" s="1"/>
  <c r="B222" i="4"/>
  <c r="E188" i="4"/>
  <c r="M188" i="4" s="1"/>
  <c r="P256" i="4"/>
  <c r="R256" i="4" s="1"/>
  <c r="B206" i="4"/>
  <c r="AC206" i="4" s="1"/>
  <c r="E177" i="4"/>
  <c r="E155" i="4"/>
  <c r="M155" i="4" s="1"/>
  <c r="P223" i="4"/>
  <c r="R223" i="4" s="1"/>
  <c r="B190" i="4"/>
  <c r="B174" i="4"/>
  <c r="AC174" i="4" s="1"/>
  <c r="H139" i="4"/>
  <c r="E111" i="4"/>
  <c r="B142" i="4"/>
  <c r="AC142" i="4" s="1"/>
  <c r="B126" i="4"/>
  <c r="P159" i="4"/>
  <c r="R159" i="4" s="1"/>
  <c r="AB159" i="4" s="1"/>
  <c r="P158" i="4"/>
  <c r="R158" i="4" s="1"/>
  <c r="AB158" i="4" s="1"/>
  <c r="E92" i="4"/>
  <c r="M92" i="4" s="1"/>
  <c r="B110" i="4"/>
  <c r="AC110" i="4" s="1"/>
  <c r="E80" i="4"/>
  <c r="B94" i="4"/>
  <c r="AC94" i="4" s="1"/>
  <c r="E67" i="4"/>
  <c r="P104" i="4"/>
  <c r="R104" i="4" s="1"/>
  <c r="P106" i="4"/>
  <c r="R106" i="4" s="1"/>
  <c r="P105" i="4"/>
  <c r="R105" i="4" s="1"/>
  <c r="B78" i="4"/>
  <c r="E58" i="4"/>
  <c r="E43" i="4"/>
  <c r="M43" i="4" s="1"/>
  <c r="B62" i="4"/>
  <c r="AC62" i="4" s="1"/>
  <c r="B46" i="4"/>
  <c r="AC46" i="4" s="1"/>
  <c r="H30" i="4"/>
  <c r="H18" i="4"/>
  <c r="P45" i="4"/>
  <c r="R45" i="4" s="1"/>
  <c r="B30" i="4"/>
  <c r="P46" i="4"/>
  <c r="R46" i="4" s="1"/>
  <c r="P20" i="4"/>
  <c r="R20" i="4" s="1"/>
  <c r="B13" i="4"/>
  <c r="H7" i="4"/>
  <c r="P21" i="4"/>
  <c r="R21" i="4" s="1"/>
  <c r="E490" i="4"/>
  <c r="B501" i="4"/>
  <c r="AC501" i="4" s="1"/>
  <c r="P388" i="4"/>
  <c r="R388" i="4" s="1"/>
  <c r="P390" i="4"/>
  <c r="R390" i="4" s="1"/>
  <c r="B372" i="4"/>
  <c r="P389" i="4"/>
  <c r="R389" i="4" s="1"/>
  <c r="H354" i="4"/>
  <c r="P524" i="4"/>
  <c r="R524" i="4" s="1"/>
  <c r="B515" i="4"/>
  <c r="P523" i="4"/>
  <c r="R523" i="4" s="1"/>
  <c r="P525" i="4"/>
  <c r="R525" i="4" s="1"/>
  <c r="E507" i="4"/>
  <c r="M507" i="4" s="1"/>
  <c r="P365" i="4"/>
  <c r="R365" i="4" s="1"/>
  <c r="P364" i="4"/>
  <c r="R364" i="4" s="1"/>
  <c r="H313" i="4"/>
  <c r="B339" i="4"/>
  <c r="P245" i="4"/>
  <c r="R245" i="4" s="1"/>
  <c r="H180" i="4"/>
  <c r="P244" i="4"/>
  <c r="R244" i="4" s="1"/>
  <c r="B211" i="4"/>
  <c r="B434" i="4"/>
  <c r="AC434" i="4" s="1"/>
  <c r="E426" i="4"/>
  <c r="E408" i="4"/>
  <c r="B417" i="4"/>
  <c r="AC417" i="4" s="1"/>
  <c r="B365" i="4"/>
  <c r="P381" i="4"/>
  <c r="R381" i="4" s="1"/>
  <c r="H339" i="4"/>
  <c r="P380" i="4"/>
  <c r="R380" i="4" s="1"/>
  <c r="B237" i="4"/>
  <c r="AC237" i="4" s="1"/>
  <c r="E202" i="4"/>
  <c r="B109" i="4"/>
  <c r="AC109" i="4" s="1"/>
  <c r="H80" i="4"/>
  <c r="B61" i="4"/>
  <c r="H41" i="4"/>
  <c r="P84" i="4"/>
  <c r="R84" i="4" s="1"/>
  <c r="P83" i="4"/>
  <c r="R83" i="4" s="1"/>
  <c r="P65" i="4"/>
  <c r="R65" i="4" s="1"/>
  <c r="E30" i="4"/>
  <c r="P66" i="4"/>
  <c r="R66" i="4" s="1"/>
  <c r="B45" i="4"/>
  <c r="P22" i="4"/>
  <c r="R22" i="4" s="1"/>
  <c r="E7" i="4"/>
  <c r="B12" i="4"/>
  <c r="P478" i="4"/>
  <c r="R478" i="4" s="1"/>
  <c r="H462" i="4"/>
  <c r="B469" i="4"/>
  <c r="P346" i="4"/>
  <c r="R346" i="4" s="1"/>
  <c r="P348" i="4"/>
  <c r="R348" i="4" s="1"/>
  <c r="B325" i="4"/>
  <c r="P347" i="4"/>
  <c r="R347" i="4" s="1"/>
  <c r="E301" i="4"/>
  <c r="M301" i="4" s="1"/>
  <c r="B85" i="4"/>
  <c r="AC85" i="4" s="1"/>
  <c r="E64" i="4"/>
  <c r="M64" i="4" s="1"/>
  <c r="B403" i="4"/>
  <c r="AC403" i="4" s="1"/>
  <c r="E391" i="4"/>
  <c r="P52" i="4"/>
  <c r="R52" i="4" s="1"/>
  <c r="P53" i="4"/>
  <c r="R53" i="4" s="1"/>
  <c r="E22" i="4"/>
  <c r="M22" i="4" s="1"/>
  <c r="B35" i="4"/>
  <c r="B465" i="4"/>
  <c r="E459" i="4"/>
  <c r="M459" i="4" s="1"/>
  <c r="P472" i="4"/>
  <c r="R472" i="4" s="1"/>
  <c r="E254" i="4"/>
  <c r="M254" i="4" s="1"/>
  <c r="B289" i="4"/>
  <c r="AC289" i="4" s="1"/>
  <c r="B525" i="4"/>
  <c r="AC525" i="4" s="1"/>
  <c r="H515" i="4"/>
  <c r="K436" i="4"/>
  <c r="P452" i="4"/>
  <c r="R452" i="4" s="1"/>
  <c r="AB452" i="4" s="1"/>
  <c r="B445" i="4"/>
  <c r="P453" i="4"/>
  <c r="R453" i="4" s="1"/>
  <c r="P410" i="4"/>
  <c r="R410" i="4" s="1"/>
  <c r="B397" i="4"/>
  <c r="E379" i="4"/>
  <c r="M379" i="4" s="1"/>
  <c r="P325" i="4"/>
  <c r="R325" i="4" s="1"/>
  <c r="K267" i="4"/>
  <c r="P326" i="4"/>
  <c r="R326" i="4" s="1"/>
  <c r="B301" i="4"/>
  <c r="E234" i="4"/>
  <c r="M234" i="4" s="1"/>
  <c r="B269" i="4"/>
  <c r="AC269" i="4" s="1"/>
  <c r="P288" i="4"/>
  <c r="R288" i="4" s="1"/>
  <c r="B253" i="4"/>
  <c r="P287" i="4"/>
  <c r="R287" i="4" s="1"/>
  <c r="H221" i="4"/>
  <c r="P205" i="4"/>
  <c r="R205" i="4" s="1"/>
  <c r="P204" i="4"/>
  <c r="R204" i="4" s="1"/>
  <c r="B173" i="4"/>
  <c r="E139" i="4"/>
  <c r="H58" i="4"/>
  <c r="B77" i="4"/>
  <c r="AC77" i="4" s="1"/>
  <c r="P43" i="4"/>
  <c r="R43" i="4" s="1"/>
  <c r="B29" i="4"/>
  <c r="P42" i="4"/>
  <c r="R42" i="4" s="1"/>
  <c r="H19" i="4"/>
  <c r="K515" i="4"/>
  <c r="P530" i="4"/>
  <c r="R530" i="4" s="1"/>
  <c r="B524" i="4"/>
  <c r="P517" i="4"/>
  <c r="R517" i="4" s="1"/>
  <c r="B508" i="4"/>
  <c r="P516" i="4"/>
  <c r="R516" i="4" s="1"/>
  <c r="E500" i="4"/>
  <c r="E485" i="4"/>
  <c r="P503" i="4"/>
  <c r="R503" i="4" s="1"/>
  <c r="B492" i="4"/>
  <c r="P504" i="4"/>
  <c r="R504" i="4" s="1"/>
  <c r="B476" i="4"/>
  <c r="AC476" i="4" s="1"/>
  <c r="E466" i="4"/>
  <c r="B460" i="4"/>
  <c r="P466" i="4"/>
  <c r="R466" i="4" s="1"/>
  <c r="E454" i="4"/>
  <c r="M454" i="4" s="1"/>
  <c r="P467" i="4"/>
  <c r="R467" i="4" s="1"/>
  <c r="B444" i="4"/>
  <c r="AC444" i="4" s="1"/>
  <c r="H436" i="4"/>
  <c r="P438" i="4"/>
  <c r="R438" i="4" s="1"/>
  <c r="H415" i="4"/>
  <c r="P437" i="4"/>
  <c r="R437" i="4" s="1"/>
  <c r="B428" i="4"/>
  <c r="B412" i="4"/>
  <c r="AC412" i="4" s="1"/>
  <c r="E402" i="4"/>
  <c r="B396" i="4"/>
  <c r="E378" i="4"/>
  <c r="M378" i="4" s="1"/>
  <c r="P409" i="4"/>
  <c r="R409" i="4" s="1"/>
  <c r="B380" i="4"/>
  <c r="AC380" i="4" s="1"/>
  <c r="E365" i="4"/>
  <c r="B364" i="4"/>
  <c r="AC364" i="4" s="1"/>
  <c r="E339" i="4"/>
  <c r="K325" i="4"/>
  <c r="P367" i="4"/>
  <c r="R367" i="4" s="1"/>
  <c r="B348" i="4"/>
  <c r="H306" i="4"/>
  <c r="B332" i="4"/>
  <c r="AC332" i="4" s="1"/>
  <c r="B316" i="4"/>
  <c r="AC316" i="4" s="1"/>
  <c r="H267" i="4"/>
  <c r="P327" i="4"/>
  <c r="R327" i="4" s="1"/>
  <c r="B300" i="4"/>
  <c r="E248" i="4"/>
  <c r="M248" i="4" s="1"/>
  <c r="B284" i="4"/>
  <c r="AC284" i="4" s="1"/>
  <c r="B268" i="4"/>
  <c r="K230" i="4"/>
  <c r="P297" i="4"/>
  <c r="R297" i="4" s="1"/>
  <c r="P296" i="4"/>
  <c r="R296" i="4" s="1"/>
  <c r="P298" i="4"/>
  <c r="R298" i="4" s="1"/>
  <c r="E221" i="4"/>
  <c r="B252" i="4"/>
  <c r="AC252" i="4" s="1"/>
  <c r="P270" i="4"/>
  <c r="R270" i="4" s="1"/>
  <c r="H201" i="4"/>
  <c r="B236" i="4"/>
  <c r="E189" i="4"/>
  <c r="B220" i="4"/>
  <c r="P254" i="4"/>
  <c r="R254" i="4" s="1"/>
  <c r="B204" i="4"/>
  <c r="AC204" i="4" s="1"/>
  <c r="E173" i="4"/>
  <c r="P222" i="4"/>
  <c r="R222" i="4" s="1"/>
  <c r="B188" i="4"/>
  <c r="H156" i="4"/>
  <c r="B172" i="4"/>
  <c r="H140" i="4"/>
  <c r="P201" i="4"/>
  <c r="R201" i="4" s="1"/>
  <c r="P188" i="4"/>
  <c r="R188" i="4" s="1"/>
  <c r="E125" i="4"/>
  <c r="P189" i="4"/>
  <c r="R189" i="4" s="1"/>
  <c r="B156" i="4"/>
  <c r="P171" i="4"/>
  <c r="R171" i="4" s="1"/>
  <c r="H108" i="4"/>
  <c r="B140" i="4"/>
  <c r="P172" i="4"/>
  <c r="R172" i="4" s="1"/>
  <c r="P140" i="4"/>
  <c r="R140" i="4" s="1"/>
  <c r="P139" i="4"/>
  <c r="R139" i="4" s="1"/>
  <c r="B108" i="4"/>
  <c r="E81" i="4"/>
  <c r="P103" i="4"/>
  <c r="R103" i="4" s="1"/>
  <c r="B76" i="4"/>
  <c r="H55" i="4"/>
  <c r="E41" i="4"/>
  <c r="B60" i="4"/>
  <c r="AC60" i="4" s="1"/>
  <c r="E31" i="4"/>
  <c r="M31" i="4" s="1"/>
  <c r="B44" i="4"/>
  <c r="AC44" i="4" s="1"/>
  <c r="B28" i="4"/>
  <c r="AC28" i="4" s="1"/>
  <c r="E19" i="4"/>
  <c r="B11" i="4"/>
  <c r="E3" i="4"/>
  <c r="P17" i="4"/>
  <c r="R17" i="4" s="1"/>
  <c r="P260" i="4"/>
  <c r="R260" i="4" s="1"/>
  <c r="B229" i="4"/>
  <c r="H195" i="4"/>
  <c r="E13" i="4"/>
  <c r="B20" i="4"/>
  <c r="P34" i="4"/>
  <c r="R34" i="4" s="1"/>
  <c r="B275" i="4"/>
  <c r="AC275" i="4" s="1"/>
  <c r="H242" i="4"/>
  <c r="E34" i="4"/>
  <c r="M34" i="4" s="1"/>
  <c r="B51" i="4"/>
  <c r="P72" i="4"/>
  <c r="R72" i="4" s="1"/>
  <c r="P71" i="4"/>
  <c r="R71" i="4" s="1"/>
  <c r="K222" i="4"/>
  <c r="B257" i="4"/>
  <c r="AC257" i="4" s="1"/>
  <c r="H402" i="4"/>
  <c r="B413" i="4"/>
  <c r="AC413" i="4" s="1"/>
  <c r="B205" i="4"/>
  <c r="AC205" i="4" s="1"/>
  <c r="H173" i="4"/>
  <c r="E455" i="4"/>
  <c r="M455" i="4" s="1"/>
  <c r="B459" i="4"/>
  <c r="P465" i="4"/>
  <c r="R465" i="4" s="1"/>
  <c r="P406" i="4"/>
  <c r="R406" i="4" s="1"/>
  <c r="K377" i="4"/>
  <c r="P408" i="4"/>
  <c r="R408" i="4" s="1"/>
  <c r="B395" i="4"/>
  <c r="P407" i="4"/>
  <c r="R407" i="4" s="1"/>
  <c r="P397" i="4"/>
  <c r="R397" i="4" s="1"/>
  <c r="E363" i="4"/>
  <c r="M363" i="4" s="1"/>
  <c r="B379" i="4"/>
  <c r="P379" i="4"/>
  <c r="R379" i="4" s="1"/>
  <c r="B363" i="4"/>
  <c r="E337" i="4"/>
  <c r="M337" i="4" s="1"/>
  <c r="B347" i="4"/>
  <c r="AC347" i="4" s="1"/>
  <c r="H325" i="4"/>
  <c r="B331" i="4"/>
  <c r="P357" i="4"/>
  <c r="R357" i="4" s="1"/>
  <c r="P356" i="4"/>
  <c r="R356" i="4" s="1"/>
  <c r="E306" i="4"/>
  <c r="P358" i="4"/>
  <c r="R358" i="4" s="1"/>
  <c r="B315" i="4"/>
  <c r="P340" i="4"/>
  <c r="R340" i="4" s="1"/>
  <c r="P341" i="4"/>
  <c r="R341" i="4" s="1"/>
  <c r="H283" i="4"/>
  <c r="P314" i="4"/>
  <c r="R314" i="4" s="1"/>
  <c r="P315" i="4"/>
  <c r="R315" i="4" s="1"/>
  <c r="B283" i="4"/>
  <c r="K249" i="4"/>
  <c r="P286" i="4"/>
  <c r="R286" i="4" s="1"/>
  <c r="B251" i="4"/>
  <c r="H219" i="4"/>
  <c r="P285" i="4"/>
  <c r="R285" i="4" s="1"/>
  <c r="B235" i="4"/>
  <c r="E201" i="4"/>
  <c r="P271" i="4"/>
  <c r="R271" i="4" s="1"/>
  <c r="P251" i="4"/>
  <c r="R251" i="4" s="1"/>
  <c r="P250" i="4"/>
  <c r="R250" i="4" s="1"/>
  <c r="B219" i="4"/>
  <c r="H187" i="4"/>
  <c r="H171" i="4"/>
  <c r="B203" i="4"/>
  <c r="AC203" i="4" s="1"/>
  <c r="H153" i="4"/>
  <c r="P219" i="4"/>
  <c r="R219" i="4" s="1"/>
  <c r="P218" i="4"/>
  <c r="R218" i="4" s="1"/>
  <c r="B187" i="4"/>
  <c r="P203" i="4"/>
  <c r="R203" i="4" s="1"/>
  <c r="B171" i="4"/>
  <c r="E140" i="4"/>
  <c r="P202" i="4"/>
  <c r="R202" i="4" s="1"/>
  <c r="B155" i="4"/>
  <c r="P190" i="4"/>
  <c r="R190" i="4" s="1"/>
  <c r="H125" i="4"/>
  <c r="B139" i="4"/>
  <c r="P173" i="4"/>
  <c r="R173" i="4" s="1"/>
  <c r="E108" i="4"/>
  <c r="P174" i="4"/>
  <c r="R174" i="4" s="1"/>
  <c r="B123" i="4"/>
  <c r="P152" i="4"/>
  <c r="R152" i="4" s="1"/>
  <c r="P153" i="4"/>
  <c r="R153" i="4" s="1"/>
  <c r="K91" i="4"/>
  <c r="B107" i="4"/>
  <c r="AC107" i="4" s="1"/>
  <c r="H81" i="4"/>
  <c r="P122" i="4"/>
  <c r="R122" i="4" s="1"/>
  <c r="P121" i="4"/>
  <c r="R121" i="4" s="1"/>
  <c r="P123" i="4"/>
  <c r="R123" i="4" s="1"/>
  <c r="H65" i="4"/>
  <c r="B91" i="4"/>
  <c r="E55" i="4"/>
  <c r="B75" i="4"/>
  <c r="AC75" i="4" s="1"/>
  <c r="P62" i="4"/>
  <c r="R62" i="4" s="1"/>
  <c r="B43" i="4"/>
  <c r="E29" i="4"/>
  <c r="E16" i="4"/>
  <c r="M16" i="4" s="1"/>
  <c r="B27" i="4"/>
  <c r="AC27" i="4" s="1"/>
  <c r="H488" i="4"/>
  <c r="B499" i="4"/>
  <c r="AC499" i="4" s="1"/>
  <c r="B291" i="4"/>
  <c r="AC291" i="4" s="1"/>
  <c r="H259" i="4"/>
  <c r="B179" i="4"/>
  <c r="AC179" i="4" s="1"/>
  <c r="E146" i="4"/>
  <c r="M146" i="4" s="1"/>
  <c r="P457" i="4"/>
  <c r="R457" i="4" s="1"/>
  <c r="B450" i="4"/>
  <c r="P458" i="4"/>
  <c r="R458" i="4" s="1"/>
  <c r="E442" i="4"/>
  <c r="P363" i="4"/>
  <c r="R363" i="4" s="1"/>
  <c r="E311" i="4"/>
  <c r="M311" i="4" s="1"/>
  <c r="B337" i="4"/>
  <c r="P485" i="4"/>
  <c r="R485" i="4" s="1"/>
  <c r="H466" i="4"/>
  <c r="P486" i="4"/>
  <c r="R486" i="4" s="1"/>
  <c r="B477" i="4"/>
  <c r="B317" i="4"/>
  <c r="AC317" i="4" s="1"/>
  <c r="E288" i="4"/>
  <c r="H111" i="4"/>
  <c r="B141" i="4"/>
  <c r="AC141" i="4" s="1"/>
  <c r="B491" i="4"/>
  <c r="AC491" i="4" s="1"/>
  <c r="E486" i="4"/>
  <c r="M486" i="4" s="1"/>
  <c r="P501" i="4"/>
  <c r="R501" i="4" s="1"/>
  <c r="B490" i="4"/>
  <c r="E484" i="4"/>
  <c r="M484" i="4" s="1"/>
  <c r="P502" i="4"/>
  <c r="R502" i="4" s="1"/>
  <c r="P420" i="4"/>
  <c r="R420" i="4" s="1"/>
  <c r="E397" i="4"/>
  <c r="M397" i="4" s="1"/>
  <c r="P421" i="4"/>
  <c r="R421" i="4" s="1"/>
  <c r="B410" i="4"/>
  <c r="B314" i="4"/>
  <c r="AC314" i="4" s="1"/>
  <c r="E283" i="4"/>
  <c r="B298" i="4"/>
  <c r="P324" i="4"/>
  <c r="R324" i="4" s="1"/>
  <c r="K268" i="4"/>
  <c r="H249" i="4"/>
  <c r="B282" i="4"/>
  <c r="AC282" i="4" s="1"/>
  <c r="E219" i="4"/>
  <c r="B250" i="4"/>
  <c r="AC250" i="4" s="1"/>
  <c r="P269" i="4"/>
  <c r="R269" i="4" s="1"/>
  <c r="B234" i="4"/>
  <c r="K199" i="4"/>
  <c r="B218" i="4"/>
  <c r="AC218" i="4" s="1"/>
  <c r="E187" i="4"/>
  <c r="P239" i="4"/>
  <c r="R239" i="4" s="1"/>
  <c r="P238" i="4"/>
  <c r="R238" i="4" s="1"/>
  <c r="E171" i="4"/>
  <c r="B202" i="4"/>
  <c r="P237" i="4"/>
  <c r="R237" i="4" s="1"/>
  <c r="E153" i="4"/>
  <c r="B186" i="4"/>
  <c r="AC186" i="4" s="1"/>
  <c r="B170" i="4"/>
  <c r="AC170" i="4" s="1"/>
  <c r="E134" i="4"/>
  <c r="M134" i="4" s="1"/>
  <c r="K125" i="4"/>
  <c r="B154" i="4"/>
  <c r="AC154" i="4" s="1"/>
  <c r="B138" i="4"/>
  <c r="AC138" i="4" s="1"/>
  <c r="H104" i="4"/>
  <c r="B122" i="4"/>
  <c r="AC122" i="4" s="1"/>
  <c r="H91" i="4"/>
  <c r="P136" i="4"/>
  <c r="R136" i="4" s="1"/>
  <c r="B106" i="4"/>
  <c r="H78" i="4"/>
  <c r="E65" i="4"/>
  <c r="B90" i="4"/>
  <c r="AC90" i="4" s="1"/>
  <c r="P101" i="4"/>
  <c r="R101" i="4" s="1"/>
  <c r="P102" i="4"/>
  <c r="R102" i="4" s="1"/>
  <c r="H53" i="4"/>
  <c r="B74" i="4"/>
  <c r="P77" i="4"/>
  <c r="R77" i="4" s="1"/>
  <c r="E39" i="4"/>
  <c r="M39" i="4" s="1"/>
  <c r="P78" i="4"/>
  <c r="R78" i="4" s="1"/>
  <c r="B58" i="4"/>
  <c r="B42" i="4"/>
  <c r="P63" i="4"/>
  <c r="R63" i="4" s="1"/>
  <c r="P64" i="4"/>
  <c r="R64" i="4" s="1"/>
  <c r="H29" i="4"/>
  <c r="B26" i="4"/>
  <c r="P38" i="4"/>
  <c r="R38" i="4" s="1"/>
  <c r="E15" i="4"/>
  <c r="M15" i="4" s="1"/>
  <c r="P39" i="4"/>
  <c r="R39" i="4" s="1"/>
  <c r="P15" i="4"/>
  <c r="R15" i="4" s="1"/>
  <c r="E4" i="4"/>
  <c r="B9" i="4"/>
  <c r="B421" i="4"/>
  <c r="P433" i="4"/>
  <c r="R433" i="4" s="1"/>
  <c r="H410" i="4"/>
  <c r="B389" i="4"/>
  <c r="AC389" i="4" s="1"/>
  <c r="H372" i="4"/>
  <c r="B293" i="4"/>
  <c r="AC293" i="4" s="1"/>
  <c r="E260" i="4"/>
  <c r="P279" i="4"/>
  <c r="R279" i="4" s="1"/>
  <c r="B245" i="4"/>
  <c r="H211" i="4"/>
  <c r="P278" i="4"/>
  <c r="R278" i="4" s="1"/>
  <c r="P230" i="4"/>
  <c r="R230" i="4" s="1"/>
  <c r="P231" i="4"/>
  <c r="R231" i="4" s="1"/>
  <c r="B197" i="4"/>
  <c r="H163" i="4"/>
  <c r="B165" i="4"/>
  <c r="AC165" i="4" s="1"/>
  <c r="E131" i="4"/>
  <c r="B419" i="4"/>
  <c r="E409" i="4"/>
  <c r="M409" i="4" s="1"/>
  <c r="P432" i="4"/>
  <c r="R432" i="4" s="1"/>
  <c r="B482" i="4"/>
  <c r="AC482" i="4" s="1"/>
  <c r="E470" i="4"/>
  <c r="M470" i="4" s="1"/>
  <c r="B449" i="4"/>
  <c r="AC449" i="4" s="1"/>
  <c r="H442" i="4"/>
  <c r="E390" i="4"/>
  <c r="B401" i="4"/>
  <c r="AC401" i="4" s="1"/>
  <c r="B509" i="4"/>
  <c r="AC509" i="4" s="1"/>
  <c r="H500" i="4"/>
  <c r="P399" i="4"/>
  <c r="R399" i="4" s="1"/>
  <c r="H365" i="4"/>
  <c r="P398" i="4"/>
  <c r="R398" i="4" s="1"/>
  <c r="B381" i="4"/>
  <c r="P400" i="4"/>
  <c r="R400" i="4" s="1"/>
  <c r="H189" i="4"/>
  <c r="P253" i="4"/>
  <c r="R253" i="4" s="1"/>
  <c r="P252" i="4"/>
  <c r="R252" i="4" s="1"/>
  <c r="B221" i="4"/>
  <c r="B523" i="4"/>
  <c r="AC523" i="4" s="1"/>
  <c r="E515" i="4"/>
  <c r="E400" i="4"/>
  <c r="M400" i="4" s="1"/>
  <c r="P422" i="4"/>
  <c r="R422" i="4" s="1"/>
  <c r="B411" i="4"/>
  <c r="P423" i="4"/>
  <c r="R423" i="4" s="1"/>
  <c r="P450" i="4"/>
  <c r="R450" i="4" s="1"/>
  <c r="P449" i="4"/>
  <c r="R449" i="4" s="1"/>
  <c r="H433" i="4"/>
  <c r="P451" i="4"/>
  <c r="R451" i="4" s="1"/>
  <c r="B442" i="4"/>
  <c r="E467" i="4"/>
  <c r="B473" i="4"/>
  <c r="AC473" i="4" s="1"/>
  <c r="B441" i="4"/>
  <c r="AC441" i="4" s="1"/>
  <c r="E433" i="4"/>
  <c r="B425" i="4"/>
  <c r="AC425" i="4" s="1"/>
  <c r="H414" i="4"/>
  <c r="E396" i="4"/>
  <c r="M396" i="4" s="1"/>
  <c r="B409" i="4"/>
  <c r="P419" i="4"/>
  <c r="R419" i="4" s="1"/>
  <c r="P395" i="4"/>
  <c r="R395" i="4" s="1"/>
  <c r="B377" i="4"/>
  <c r="P394" i="4"/>
  <c r="R394" i="4" s="1"/>
  <c r="K361" i="4"/>
  <c r="P393" i="4"/>
  <c r="R393" i="4" s="1"/>
  <c r="AB393" i="4" s="1"/>
  <c r="P377" i="4"/>
  <c r="R377" i="4" s="1"/>
  <c r="K335" i="4"/>
  <c r="P376" i="4"/>
  <c r="R376" i="4" s="1"/>
  <c r="B361" i="4"/>
  <c r="P375" i="4"/>
  <c r="R375" i="4" s="1"/>
  <c r="AB375" i="4" s="1"/>
  <c r="B345" i="4"/>
  <c r="AC345" i="4" s="1"/>
  <c r="P352" i="4"/>
  <c r="R352" i="4" s="1"/>
  <c r="H304" i="4"/>
  <c r="P354" i="4"/>
  <c r="R354" i="4" s="1"/>
  <c r="B329" i="4"/>
  <c r="P353" i="4"/>
  <c r="R353" i="4" s="1"/>
  <c r="P338" i="4"/>
  <c r="R338" i="4" s="1"/>
  <c r="P339" i="4"/>
  <c r="R339" i="4" s="1"/>
  <c r="H279" i="4"/>
  <c r="B313" i="4"/>
  <c r="B297" i="4"/>
  <c r="AC297" i="4" s="1"/>
  <c r="H268" i="4"/>
  <c r="E249" i="4"/>
  <c r="B281" i="4"/>
  <c r="AC281" i="4" s="1"/>
  <c r="B265" i="4"/>
  <c r="P295" i="4"/>
  <c r="R295" i="4" s="1"/>
  <c r="H231" i="4"/>
  <c r="P282" i="4"/>
  <c r="R282" i="4" s="1"/>
  <c r="B249" i="4"/>
  <c r="H217" i="4"/>
  <c r="P281" i="4"/>
  <c r="R281" i="4" s="1"/>
  <c r="P283" i="4"/>
  <c r="R283" i="4" s="1"/>
  <c r="B233" i="4"/>
  <c r="AC233" i="4" s="1"/>
  <c r="H199" i="4"/>
  <c r="P248" i="4"/>
  <c r="R248" i="4" s="1"/>
  <c r="B217" i="4"/>
  <c r="P249" i="4"/>
  <c r="R249" i="4" s="1"/>
  <c r="E172" i="4"/>
  <c r="M172" i="4" s="1"/>
  <c r="B201" i="4"/>
  <c r="P236" i="4"/>
  <c r="R236" i="4" s="1"/>
  <c r="P235" i="4"/>
  <c r="R235" i="4" s="1"/>
  <c r="E150" i="4"/>
  <c r="M150" i="4" s="1"/>
  <c r="B185" i="4"/>
  <c r="AC185" i="4" s="1"/>
  <c r="P200" i="4"/>
  <c r="R200" i="4" s="1"/>
  <c r="B169" i="4"/>
  <c r="K135" i="4"/>
  <c r="P186" i="4"/>
  <c r="R186" i="4" s="1"/>
  <c r="H123" i="4"/>
  <c r="B153" i="4"/>
  <c r="P187" i="4"/>
  <c r="R187" i="4" s="1"/>
  <c r="B137" i="4"/>
  <c r="AC137" i="4" s="1"/>
  <c r="E104" i="4"/>
  <c r="B121" i="4"/>
  <c r="AC121" i="4" s="1"/>
  <c r="E91" i="4"/>
  <c r="B105" i="4"/>
  <c r="AC105" i="4" s="1"/>
  <c r="K78" i="4"/>
  <c r="P120" i="4"/>
  <c r="R120" i="4" s="1"/>
  <c r="P119" i="4"/>
  <c r="R119" i="4" s="1"/>
  <c r="H66" i="4"/>
  <c r="B89" i="4"/>
  <c r="E53" i="4"/>
  <c r="B73" i="4"/>
  <c r="AC73" i="4" s="1"/>
  <c r="P80" i="4"/>
  <c r="R80" i="4" s="1"/>
  <c r="P79" i="4"/>
  <c r="R79" i="4" s="1"/>
  <c r="B57" i="4"/>
  <c r="P81" i="4"/>
  <c r="R81" i="4" s="1"/>
  <c r="P60" i="4"/>
  <c r="R60" i="4" s="1"/>
  <c r="B41" i="4"/>
  <c r="H25" i="4"/>
  <c r="P61" i="4"/>
  <c r="R61" i="4" s="1"/>
  <c r="P41" i="4"/>
  <c r="R41" i="4" s="1"/>
  <c r="P40" i="4"/>
  <c r="R40" i="4" s="1"/>
  <c r="B25" i="4"/>
  <c r="B8" i="4"/>
  <c r="P16" i="4"/>
  <c r="R16" i="4" s="1"/>
  <c r="H4" i="4"/>
  <c r="B196" i="4"/>
  <c r="AC196" i="4" s="1"/>
  <c r="E163" i="4"/>
  <c r="B323" i="4"/>
  <c r="AC323" i="4" s="1"/>
  <c r="E295" i="4"/>
  <c r="M295" i="4" s="1"/>
  <c r="B529" i="4"/>
  <c r="AC529" i="4" s="1"/>
  <c r="E520" i="4"/>
  <c r="M520" i="4" s="1"/>
  <c r="B241" i="4"/>
  <c r="AC241" i="4" s="1"/>
  <c r="H208" i="4"/>
  <c r="B429" i="4"/>
  <c r="AC429" i="4" s="1"/>
  <c r="K415" i="4"/>
  <c r="B285" i="4"/>
  <c r="AC285" i="4" s="1"/>
  <c r="E251" i="4"/>
  <c r="B157" i="4"/>
  <c r="AC157" i="4" s="1"/>
  <c r="E124" i="4"/>
  <c r="M124" i="4" s="1"/>
  <c r="E436" i="4"/>
  <c r="B443" i="4"/>
  <c r="AC443" i="4" s="1"/>
  <c r="K228" i="4"/>
  <c r="B522" i="4"/>
  <c r="AC522" i="4" s="1"/>
  <c r="H514" i="4"/>
  <c r="P436" i="4"/>
  <c r="R436" i="4" s="1"/>
  <c r="P435" i="4"/>
  <c r="R435" i="4" s="1"/>
  <c r="B426" i="4"/>
  <c r="K414" i="4"/>
  <c r="P434" i="4"/>
  <c r="R434" i="4" s="1"/>
  <c r="P355" i="4"/>
  <c r="R355" i="4" s="1"/>
  <c r="AB355" i="4" s="1"/>
  <c r="E305" i="4"/>
  <c r="M305" i="4" s="1"/>
  <c r="B330" i="4"/>
  <c r="E496" i="4"/>
  <c r="M496" i="4" s="1"/>
  <c r="B505" i="4"/>
  <c r="AC505" i="4" s="1"/>
  <c r="P499" i="4"/>
  <c r="R499" i="4" s="1"/>
  <c r="B488" i="4"/>
  <c r="P498" i="4"/>
  <c r="R498" i="4" s="1"/>
  <c r="P500" i="4"/>
  <c r="R500" i="4" s="1"/>
  <c r="H479" i="4"/>
  <c r="E448" i="4"/>
  <c r="M448" i="4" s="1"/>
  <c r="B456" i="4"/>
  <c r="AC456" i="4" s="1"/>
  <c r="E414" i="4"/>
  <c r="B424" i="4"/>
  <c r="AC424" i="4" s="1"/>
  <c r="H373" i="4"/>
  <c r="B392" i="4"/>
  <c r="AC392" i="4" s="1"/>
  <c r="H361" i="4"/>
  <c r="B376" i="4"/>
  <c r="AC376" i="4" s="1"/>
  <c r="B344" i="4"/>
  <c r="AC344" i="4" s="1"/>
  <c r="E326" i="4"/>
  <c r="M326" i="4" s="1"/>
  <c r="B328" i="4"/>
  <c r="AC328" i="4" s="1"/>
  <c r="E304" i="4"/>
  <c r="B312" i="4"/>
  <c r="AC312" i="4" s="1"/>
  <c r="E279" i="4"/>
  <c r="E268" i="4"/>
  <c r="B296" i="4"/>
  <c r="AC296" i="4" s="1"/>
  <c r="B264" i="4"/>
  <c r="AC264" i="4" s="1"/>
  <c r="E231" i="4"/>
  <c r="P284" i="4"/>
  <c r="R284" i="4" s="1"/>
  <c r="E217" i="4"/>
  <c r="B248" i="4"/>
  <c r="E199" i="4"/>
  <c r="B232" i="4"/>
  <c r="AC232" i="4" s="1"/>
  <c r="E183" i="4"/>
  <c r="B216" i="4"/>
  <c r="AC216" i="4" s="1"/>
  <c r="E169" i="4"/>
  <c r="M169" i="4" s="1"/>
  <c r="B200" i="4"/>
  <c r="AC200" i="4" s="1"/>
  <c r="B168" i="4"/>
  <c r="AC168" i="4" s="1"/>
  <c r="E135" i="4"/>
  <c r="E123" i="4"/>
  <c r="B152" i="4"/>
  <c r="AC152" i="4" s="1"/>
  <c r="B136" i="4"/>
  <c r="AC136" i="4" s="1"/>
  <c r="E106" i="4"/>
  <c r="M106" i="4" s="1"/>
  <c r="P149" i="4"/>
  <c r="R149" i="4" s="1"/>
  <c r="B120" i="4"/>
  <c r="H89" i="4"/>
  <c r="P138" i="4"/>
  <c r="R138" i="4" s="1"/>
  <c r="B104" i="4"/>
  <c r="P137" i="4"/>
  <c r="R137" i="4" s="1"/>
  <c r="E78" i="4"/>
  <c r="E66" i="4"/>
  <c r="B88" i="4"/>
  <c r="AC88" i="4" s="1"/>
  <c r="P99" i="4"/>
  <c r="R99" i="4" s="1"/>
  <c r="H51" i="4"/>
  <c r="P100" i="4"/>
  <c r="R100" i="4" s="1"/>
  <c r="B72" i="4"/>
  <c r="B56" i="4"/>
  <c r="AC56" i="4" s="1"/>
  <c r="B40" i="4"/>
  <c r="AC40" i="4" s="1"/>
  <c r="E25" i="4"/>
  <c r="B24" i="4"/>
  <c r="AC24" i="4" s="1"/>
  <c r="E472" i="4"/>
  <c r="M472" i="4" s="1"/>
  <c r="B483" i="4"/>
  <c r="AC483" i="4" s="1"/>
  <c r="P277" i="4"/>
  <c r="R277" i="4" s="1"/>
  <c r="B243" i="4"/>
  <c r="E209" i="4"/>
  <c r="M209" i="4" s="1"/>
  <c r="H98" i="4"/>
  <c r="P166" i="4"/>
  <c r="R166" i="4" s="1"/>
  <c r="B131" i="4"/>
  <c r="P165" i="4"/>
  <c r="R165" i="4" s="1"/>
  <c r="P522" i="4"/>
  <c r="R522" i="4" s="1"/>
  <c r="E506" i="4"/>
  <c r="M506" i="4" s="1"/>
  <c r="P521" i="4"/>
  <c r="R521" i="4" s="1"/>
  <c r="B514" i="4"/>
  <c r="B273" i="4"/>
  <c r="AC273" i="4" s="1"/>
  <c r="H238" i="4"/>
  <c r="P471" i="4"/>
  <c r="R471" i="4" s="1"/>
  <c r="P470" i="4"/>
  <c r="R470" i="4" s="1"/>
  <c r="B461" i="4"/>
  <c r="E458" i="4"/>
  <c r="E310" i="4"/>
  <c r="B333" i="4"/>
  <c r="AC333" i="4" s="1"/>
  <c r="B189" i="4"/>
  <c r="P221" i="4"/>
  <c r="R221" i="4" s="1"/>
  <c r="P220" i="4"/>
  <c r="R220" i="4" s="1"/>
  <c r="E156" i="4"/>
  <c r="P515" i="4"/>
  <c r="R515" i="4" s="1"/>
  <c r="E497" i="4"/>
  <c r="M497" i="4" s="1"/>
  <c r="B507" i="4"/>
  <c r="B427" i="4"/>
  <c r="AC427" i="4" s="1"/>
  <c r="E415" i="4"/>
  <c r="E495" i="4"/>
  <c r="M495" i="4" s="1"/>
  <c r="B506" i="4"/>
  <c r="H183" i="4"/>
  <c r="P514" i="4"/>
  <c r="R514" i="4" s="1"/>
  <c r="P462" i="4"/>
  <c r="R462" i="4" s="1"/>
  <c r="P461" i="4"/>
  <c r="R461" i="4" s="1"/>
  <c r="E450" i="4"/>
  <c r="B458" i="4"/>
  <c r="H377" i="4"/>
  <c r="B394" i="4"/>
  <c r="AC394" i="4" s="1"/>
  <c r="B521" i="4"/>
  <c r="AC521" i="4" s="1"/>
  <c r="E514" i="4"/>
  <c r="P464" i="4"/>
  <c r="R464" i="4" s="1"/>
  <c r="B457" i="4"/>
  <c r="H450" i="4"/>
  <c r="P463" i="4"/>
  <c r="R463" i="4" s="1"/>
  <c r="B504" i="4"/>
  <c r="H492" i="4"/>
  <c r="P511" i="4"/>
  <c r="R511" i="4" s="1"/>
  <c r="B472" i="4"/>
  <c r="P484" i="4"/>
  <c r="R484" i="4" s="1"/>
  <c r="P483" i="4"/>
  <c r="R483" i="4" s="1"/>
  <c r="E465" i="4"/>
  <c r="M465" i="4" s="1"/>
  <c r="E432" i="4"/>
  <c r="M432" i="4" s="1"/>
  <c r="B440" i="4"/>
  <c r="AC440" i="4" s="1"/>
  <c r="P418" i="4"/>
  <c r="R418" i="4" s="1"/>
  <c r="K395" i="4"/>
  <c r="P417" i="4"/>
  <c r="R417" i="4" s="1"/>
  <c r="B408" i="4"/>
  <c r="B360" i="4"/>
  <c r="AC360" i="4" s="1"/>
  <c r="H335" i="4"/>
  <c r="P528" i="4"/>
  <c r="R528" i="4" s="1"/>
  <c r="H510" i="4"/>
  <c r="B519" i="4"/>
  <c r="P513" i="4"/>
  <c r="R513" i="4" s="1"/>
  <c r="P512" i="4"/>
  <c r="R512" i="4" s="1"/>
  <c r="E492" i="4"/>
  <c r="B503" i="4"/>
  <c r="E481" i="4"/>
  <c r="M481" i="4" s="1"/>
  <c r="P494" i="4"/>
  <c r="R494" i="4" s="1"/>
  <c r="P496" i="4"/>
  <c r="R496" i="4" s="1"/>
  <c r="B487" i="4"/>
  <c r="P495" i="4"/>
  <c r="R495" i="4" s="1"/>
  <c r="P480" i="4"/>
  <c r="R480" i="4" s="1"/>
  <c r="B471" i="4"/>
  <c r="E461" i="4"/>
  <c r="P479" i="4"/>
  <c r="R479" i="4" s="1"/>
  <c r="P481" i="4"/>
  <c r="R481" i="4" s="1"/>
  <c r="P459" i="4"/>
  <c r="R459" i="4" s="1"/>
  <c r="H446" i="4"/>
  <c r="B455" i="4"/>
  <c r="P448" i="4"/>
  <c r="R448" i="4" s="1"/>
  <c r="B439" i="4"/>
  <c r="E431" i="4"/>
  <c r="M431" i="4" s="1"/>
  <c r="B423" i="4"/>
  <c r="AC423" i="4" s="1"/>
  <c r="H411" i="4"/>
  <c r="B407" i="4"/>
  <c r="AC407" i="4" s="1"/>
  <c r="H395" i="4"/>
  <c r="E373" i="4"/>
  <c r="B391" i="4"/>
  <c r="P404" i="4"/>
  <c r="R404" i="4" s="1"/>
  <c r="P403" i="4"/>
  <c r="R403" i="4" s="1"/>
  <c r="P405" i="4"/>
  <c r="R405" i="4" s="1"/>
  <c r="E335" i="4"/>
  <c r="B359" i="4"/>
  <c r="AC359" i="4" s="1"/>
  <c r="B343" i="4"/>
  <c r="AC343" i="4" s="1"/>
  <c r="E324" i="4"/>
  <c r="M324" i="4" s="1"/>
  <c r="E300" i="4"/>
  <c r="M300" i="4" s="1"/>
  <c r="P350" i="4"/>
  <c r="R350" i="4" s="1"/>
  <c r="B327" i="4"/>
  <c r="P349" i="4"/>
  <c r="R349" i="4" s="1"/>
  <c r="P351" i="4"/>
  <c r="R351" i="4" s="1"/>
  <c r="P337" i="4"/>
  <c r="R337" i="4" s="1"/>
  <c r="E277" i="4"/>
  <c r="M277" i="4" s="1"/>
  <c r="B311" i="4"/>
  <c r="B295" i="4"/>
  <c r="P323" i="4"/>
  <c r="R323" i="4" s="1"/>
  <c r="E265" i="4"/>
  <c r="M265" i="4" s="1"/>
  <c r="P312" i="4"/>
  <c r="R312" i="4" s="1"/>
  <c r="P313" i="4"/>
  <c r="R313" i="4" s="1"/>
  <c r="H245" i="4"/>
  <c r="B279" i="4"/>
  <c r="B263" i="4"/>
  <c r="AC263" i="4" s="1"/>
  <c r="H228" i="4"/>
  <c r="B247" i="4"/>
  <c r="AC247" i="4" s="1"/>
  <c r="E215" i="4"/>
  <c r="M215" i="4" s="1"/>
  <c r="B231" i="4"/>
  <c r="P264" i="4"/>
  <c r="R264" i="4" s="1"/>
  <c r="P265" i="4"/>
  <c r="R265" i="4" s="1"/>
  <c r="H197" i="4"/>
  <c r="B215" i="4"/>
  <c r="H184" i="4"/>
  <c r="P247" i="4"/>
  <c r="R247" i="4" s="1"/>
  <c r="B199" i="4"/>
  <c r="P232" i="4"/>
  <c r="R232" i="4" s="1"/>
  <c r="P234" i="4"/>
  <c r="R234" i="4" s="1"/>
  <c r="P233" i="4"/>
  <c r="R233" i="4" s="1"/>
  <c r="H166" i="4"/>
  <c r="B167" i="4"/>
  <c r="AC167" i="4" s="1"/>
  <c r="H135" i="4"/>
  <c r="P184" i="4"/>
  <c r="R184" i="4" s="1"/>
  <c r="P183" i="4"/>
  <c r="R183" i="4" s="1"/>
  <c r="E119" i="4"/>
  <c r="B151" i="4"/>
  <c r="P167" i="4"/>
  <c r="R167" i="4" s="1"/>
  <c r="P169" i="4"/>
  <c r="R169" i="4" s="1"/>
  <c r="H102" i="4"/>
  <c r="P168" i="4"/>
  <c r="R168" i="4" s="1"/>
  <c r="B135" i="4"/>
  <c r="P151" i="4"/>
  <c r="R151" i="4" s="1"/>
  <c r="B119" i="4"/>
  <c r="P150" i="4"/>
  <c r="R150" i="4" s="1"/>
  <c r="E89" i="4"/>
  <c r="B103" i="4"/>
  <c r="AC103" i="4" s="1"/>
  <c r="E76" i="4"/>
  <c r="M76" i="4" s="1"/>
  <c r="P115" i="4"/>
  <c r="R115" i="4" s="1"/>
  <c r="AB115" i="4" s="1"/>
  <c r="E63" i="4"/>
  <c r="B87" i="4"/>
  <c r="E51" i="4"/>
  <c r="B71" i="4"/>
  <c r="AC71" i="4" s="1"/>
  <c r="P75" i="4"/>
  <c r="R75" i="4" s="1"/>
  <c r="B55" i="4"/>
  <c r="P76" i="4"/>
  <c r="R76" i="4" s="1"/>
  <c r="H37" i="4"/>
  <c r="P58" i="4"/>
  <c r="R58" i="4" s="1"/>
  <c r="E26" i="4"/>
  <c r="B39" i="4"/>
  <c r="P57" i="4"/>
  <c r="R57" i="4" s="1"/>
  <c r="P56" i="4"/>
  <c r="R56" i="4" s="1"/>
  <c r="P446" i="4"/>
  <c r="R446" i="4" s="1"/>
  <c r="B437" i="4"/>
  <c r="P447" i="4"/>
  <c r="R447" i="4" s="1"/>
  <c r="E428" i="4"/>
  <c r="P374" i="4"/>
  <c r="R374" i="4" s="1"/>
  <c r="B357" i="4"/>
  <c r="P373" i="4"/>
  <c r="R373" i="4" s="1"/>
  <c r="H331" i="4"/>
  <c r="P311" i="4"/>
  <c r="R311" i="4" s="1"/>
  <c r="E243" i="4"/>
  <c r="M243" i="4" s="1"/>
  <c r="B277" i="4"/>
  <c r="E148" i="4"/>
  <c r="B181" i="4"/>
  <c r="AC181" i="4" s="1"/>
  <c r="E49" i="4"/>
  <c r="M49" i="4" s="1"/>
  <c r="P93" i="4"/>
  <c r="R93" i="4" s="1"/>
  <c r="P92" i="4"/>
  <c r="R92" i="4" s="1"/>
  <c r="B68" i="4"/>
  <c r="B307" i="4"/>
  <c r="AC307" i="4" s="1"/>
  <c r="H272" i="4"/>
  <c r="B530" i="4"/>
  <c r="AC530" i="4" s="1"/>
  <c r="E524" i="4"/>
  <c r="M524" i="4" s="1"/>
  <c r="B481" i="4"/>
  <c r="P487" i="4"/>
  <c r="R487" i="4" s="1"/>
  <c r="H471" i="4"/>
  <c r="P387" i="4"/>
  <c r="R387" i="4" s="1"/>
  <c r="E350" i="4"/>
  <c r="M350" i="4" s="1"/>
  <c r="B369" i="4"/>
  <c r="H485" i="4"/>
  <c r="B493" i="4"/>
  <c r="AC493" i="4" s="1"/>
  <c r="B349" i="4"/>
  <c r="AC349" i="4" s="1"/>
  <c r="K467" i="4"/>
  <c r="B475" i="4"/>
  <c r="AC475" i="4" s="1"/>
  <c r="H467" i="4"/>
  <c r="B474" i="4"/>
  <c r="AC474" i="4" s="1"/>
  <c r="E325" i="4"/>
  <c r="B346" i="4"/>
  <c r="AC346" i="4" s="1"/>
  <c r="E479" i="4"/>
  <c r="P497" i="4"/>
  <c r="R497" i="4" s="1"/>
  <c r="B489" i="4"/>
  <c r="B518" i="4"/>
  <c r="AC518" i="4" s="1"/>
  <c r="E510" i="4"/>
  <c r="B502" i="4"/>
  <c r="P510" i="4"/>
  <c r="R510" i="4" s="1"/>
  <c r="H490" i="4"/>
  <c r="P491" i="4"/>
  <c r="R491" i="4" s="1"/>
  <c r="H477" i="4"/>
  <c r="B486" i="4"/>
  <c r="P482" i="4"/>
  <c r="R482" i="4" s="1"/>
  <c r="H461" i="4"/>
  <c r="B470" i="4"/>
  <c r="E446" i="4"/>
  <c r="B454" i="4"/>
  <c r="P460" i="4"/>
  <c r="R460" i="4" s="1"/>
  <c r="B438" i="4"/>
  <c r="AC438" i="4" s="1"/>
  <c r="H428" i="4"/>
  <c r="E411" i="4"/>
  <c r="B422" i="4"/>
  <c r="AC422" i="4" s="1"/>
  <c r="E395" i="4"/>
  <c r="B406" i="4"/>
  <c r="AC406" i="4" s="1"/>
  <c r="P402" i="4"/>
  <c r="R402" i="4" s="1"/>
  <c r="K372" i="4"/>
  <c r="P401" i="4"/>
  <c r="R401" i="4" s="1"/>
  <c r="B390" i="4"/>
  <c r="H357" i="4"/>
  <c r="B374" i="4"/>
  <c r="AC374" i="4" s="1"/>
  <c r="B358" i="4"/>
  <c r="AC358" i="4" s="1"/>
  <c r="K331" i="4"/>
  <c r="B342" i="4"/>
  <c r="AC342" i="4" s="1"/>
  <c r="E322" i="4"/>
  <c r="M322" i="4" s="1"/>
  <c r="B326" i="4"/>
  <c r="P344" i="4"/>
  <c r="R344" i="4" s="1"/>
  <c r="P345" i="4"/>
  <c r="R345" i="4" s="1"/>
  <c r="P320" i="4"/>
  <c r="R320" i="4" s="1"/>
  <c r="H260" i="4"/>
  <c r="P322" i="4"/>
  <c r="R322" i="4" s="1"/>
  <c r="P321" i="4"/>
  <c r="R321" i="4" s="1"/>
  <c r="B294" i="4"/>
  <c r="B278" i="4"/>
  <c r="AC278" i="4" s="1"/>
  <c r="E245" i="4"/>
  <c r="B262" i="4"/>
  <c r="AC262" i="4" s="1"/>
  <c r="P280" i="4"/>
  <c r="R280" i="4" s="1"/>
  <c r="AB280" i="4" s="1"/>
  <c r="E213" i="4"/>
  <c r="M213" i="4" s="1"/>
  <c r="B246" i="4"/>
  <c r="E184" i="4"/>
  <c r="B214" i="4"/>
  <c r="AC214" i="4" s="1"/>
  <c r="B198" i="4"/>
  <c r="AC198" i="4" s="1"/>
  <c r="E166" i="4"/>
  <c r="P212" i="4"/>
  <c r="R212" i="4" s="1"/>
  <c r="H148" i="4"/>
  <c r="P213" i="4"/>
  <c r="R213" i="4" s="1"/>
  <c r="B182" i="4"/>
  <c r="P198" i="4"/>
  <c r="R198" i="4" s="1"/>
  <c r="H131" i="4"/>
  <c r="P199" i="4"/>
  <c r="R199" i="4" s="1"/>
  <c r="B166" i="4"/>
  <c r="B150" i="4"/>
  <c r="P185" i="4"/>
  <c r="R185" i="4" s="1"/>
  <c r="H119" i="4"/>
  <c r="B134" i="4"/>
  <c r="E102" i="4"/>
  <c r="P170" i="4"/>
  <c r="R170" i="4" s="1"/>
  <c r="P147" i="4"/>
  <c r="R147" i="4" s="1"/>
  <c r="B118" i="4"/>
  <c r="E86" i="4"/>
  <c r="P135" i="4"/>
  <c r="R135" i="4" s="1"/>
  <c r="B102" i="4"/>
  <c r="P134" i="4"/>
  <c r="R134" i="4" s="1"/>
  <c r="H74" i="4"/>
  <c r="P118" i="4"/>
  <c r="R118" i="4" s="1"/>
  <c r="P117" i="4"/>
  <c r="R117" i="4" s="1"/>
  <c r="P116" i="4"/>
  <c r="R116" i="4" s="1"/>
  <c r="H63" i="4"/>
  <c r="B86" i="4"/>
  <c r="P97" i="4"/>
  <c r="R97" i="4" s="1"/>
  <c r="P98" i="4"/>
  <c r="R98" i="4" s="1"/>
  <c r="E50" i="4"/>
  <c r="M50" i="4" s="1"/>
  <c r="B70" i="4"/>
  <c r="B54" i="4"/>
  <c r="AC54" i="4" s="1"/>
  <c r="E37" i="4"/>
  <c r="H26" i="4"/>
  <c r="P59" i="4"/>
  <c r="R59" i="4" s="1"/>
  <c r="B38" i="4"/>
  <c r="P35" i="4"/>
  <c r="R35" i="4" s="1"/>
  <c r="E12" i="4"/>
  <c r="M12" i="4" s="1"/>
  <c r="B22" i="4"/>
  <c r="H3" i="4"/>
  <c r="P18" i="4"/>
  <c r="R18" i="4" s="1"/>
  <c r="B10" i="4"/>
  <c r="P19" i="4"/>
  <c r="R19" i="4" s="1"/>
  <c r="P13" i="4"/>
  <c r="R13" i="4" s="1"/>
  <c r="P12" i="4"/>
  <c r="R12" i="4" s="1"/>
  <c r="H5" i="4"/>
  <c r="B7" i="4"/>
  <c r="B6" i="4"/>
  <c r="E5" i="4"/>
  <c r="P14" i="4"/>
  <c r="R14" i="4" s="1"/>
  <c r="P7" i="4"/>
  <c r="R7" i="4" s="1"/>
  <c r="K2" i="4"/>
  <c r="B5" i="4"/>
  <c r="P6" i="4"/>
  <c r="R6" i="4" s="1"/>
  <c r="P96" i="4"/>
  <c r="R96" i="4" s="1"/>
  <c r="B69" i="4"/>
  <c r="E48" i="4"/>
  <c r="M48" i="4" s="1"/>
  <c r="P73" i="4"/>
  <c r="R73" i="4" s="1"/>
  <c r="B53" i="4"/>
  <c r="H35" i="4"/>
  <c r="P74" i="4"/>
  <c r="R74" i="4" s="1"/>
  <c r="B21" i="4"/>
  <c r="H13" i="4"/>
  <c r="P33" i="4"/>
  <c r="R33" i="4" s="1"/>
  <c r="P32" i="4"/>
  <c r="R32" i="4" s="1"/>
  <c r="P9" i="4"/>
  <c r="R9" i="4" s="1"/>
  <c r="E2" i="4"/>
  <c r="P8" i="4"/>
  <c r="R8" i="4" s="1"/>
  <c r="B4" i="4"/>
  <c r="B163" i="4"/>
  <c r="P197" i="4"/>
  <c r="R197" i="4" s="1"/>
  <c r="E128" i="4"/>
  <c r="P196" i="4"/>
  <c r="R196" i="4" s="1"/>
  <c r="P246" i="4"/>
  <c r="R246" i="4" s="1"/>
  <c r="B213" i="4"/>
  <c r="H182" i="4"/>
  <c r="M182" i="4" s="1"/>
  <c r="P443" i="4"/>
  <c r="R443" i="4" s="1"/>
  <c r="P445" i="4"/>
  <c r="R445" i="4" s="1"/>
  <c r="B436" i="4"/>
  <c r="P444" i="4"/>
  <c r="R444" i="4" s="1"/>
  <c r="K426" i="4"/>
  <c r="P300" i="4"/>
  <c r="R300" i="4" s="1"/>
  <c r="B267" i="4"/>
  <c r="P301" i="4"/>
  <c r="R301" i="4" s="1"/>
  <c r="P299" i="4"/>
  <c r="R299" i="4" s="1"/>
  <c r="AB299" i="4" s="1"/>
  <c r="H230" i="4"/>
  <c r="P276" i="4"/>
  <c r="R276" i="4" s="1"/>
  <c r="P275" i="4"/>
  <c r="R275" i="4" s="1"/>
  <c r="B242" i="4"/>
  <c r="P274" i="4"/>
  <c r="R274" i="4" s="1"/>
  <c r="K208" i="4"/>
  <c r="P336" i="4"/>
  <c r="R336" i="4" s="1"/>
  <c r="H276" i="4"/>
  <c r="B309" i="4"/>
  <c r="P333" i="4"/>
  <c r="R333" i="4" s="1"/>
  <c r="P335" i="4"/>
  <c r="R335" i="4" s="1"/>
  <c r="B310" i="4"/>
  <c r="K276" i="4"/>
  <c r="P334" i="4"/>
  <c r="R334" i="4" s="1"/>
  <c r="P488" i="4"/>
  <c r="R488" i="4" s="1"/>
  <c r="B479" i="4"/>
  <c r="P489" i="4"/>
  <c r="R489" i="4" s="1"/>
  <c r="E471" i="4"/>
  <c r="P129" i="4"/>
  <c r="R129" i="4" s="1"/>
  <c r="B96" i="4"/>
  <c r="E69" i="4"/>
  <c r="M69" i="4" s="1"/>
  <c r="P128" i="4"/>
  <c r="R128" i="4" s="1"/>
  <c r="P127" i="4"/>
  <c r="R127" i="4" s="1"/>
  <c r="P526" i="4"/>
  <c r="R526" i="4" s="1"/>
  <c r="E508" i="4"/>
  <c r="P527" i="4"/>
  <c r="R527" i="4" s="1"/>
  <c r="B517" i="4"/>
  <c r="B125" i="4"/>
  <c r="P156" i="4"/>
  <c r="R156" i="4" s="1"/>
  <c r="P155" i="4"/>
  <c r="R155" i="4" s="1"/>
  <c r="H93" i="4"/>
  <c r="P154" i="4"/>
  <c r="R154" i="4" s="1"/>
  <c r="H23" i="4"/>
  <c r="P54" i="4"/>
  <c r="R54" i="4" s="1"/>
  <c r="P55" i="4"/>
  <c r="R55" i="4" s="1"/>
  <c r="B37" i="4"/>
  <c r="P217" i="4"/>
  <c r="R217" i="4" s="1"/>
  <c r="P216" i="4"/>
  <c r="R216" i="4" s="1"/>
  <c r="H151" i="4"/>
  <c r="B183" i="4"/>
  <c r="B159" i="4"/>
  <c r="H126" i="4"/>
  <c r="P28" i="4"/>
  <c r="R28" i="4" s="1"/>
  <c r="B19" i="4"/>
  <c r="P29" i="4"/>
  <c r="R29" i="4" s="1"/>
  <c r="E10" i="4"/>
  <c r="P359" i="4"/>
  <c r="R359" i="4" s="1"/>
  <c r="K310" i="4"/>
  <c r="P361" i="4"/>
  <c r="R361" i="4" s="1"/>
  <c r="B335" i="4"/>
  <c r="P360" i="4"/>
  <c r="R360" i="4" s="1"/>
  <c r="P124" i="4"/>
  <c r="R124" i="4" s="1"/>
  <c r="E68" i="4"/>
  <c r="P125" i="4"/>
  <c r="R125" i="4" s="1"/>
  <c r="B93" i="4"/>
  <c r="B195" i="4"/>
  <c r="P229" i="4"/>
  <c r="R229" i="4" s="1"/>
  <c r="K164" i="4"/>
  <c r="P228" i="4"/>
  <c r="R228" i="4" s="1"/>
  <c r="P529" i="4"/>
  <c r="R529" i="4" s="1"/>
  <c r="E512" i="4"/>
  <c r="M512" i="4" s="1"/>
  <c r="B520" i="4"/>
  <c r="E309" i="4"/>
  <c r="M309" i="4" s="1"/>
  <c r="P362" i="4"/>
  <c r="R362" i="4" s="1"/>
  <c r="B336" i="4"/>
  <c r="E38" i="4"/>
  <c r="M38" i="4" s="1"/>
  <c r="B59" i="4"/>
  <c r="P82" i="4"/>
  <c r="R82" i="4" s="1"/>
  <c r="E527" i="4"/>
  <c r="M527" i="4" s="1"/>
  <c r="B531" i="4"/>
  <c r="E87" i="4"/>
  <c r="M87" i="4" s="1"/>
  <c r="B115" i="4"/>
  <c r="B63" i="4"/>
  <c r="P86" i="4"/>
  <c r="R86" i="4" s="1"/>
  <c r="P87" i="4"/>
  <c r="R87" i="4" s="1"/>
  <c r="H42" i="4"/>
  <c r="E336" i="4"/>
  <c r="M336" i="4" s="1"/>
  <c r="P378" i="4"/>
  <c r="R378" i="4" s="1"/>
  <c r="B362" i="4"/>
  <c r="B299" i="4"/>
  <c r="E267" i="4"/>
  <c r="E23" i="4"/>
  <c r="B36" i="4"/>
  <c r="AC36" i="4" s="1"/>
  <c r="B184" i="4"/>
  <c r="P215" i="4"/>
  <c r="R215" i="4" s="1"/>
  <c r="E151" i="4"/>
  <c r="P214" i="4"/>
  <c r="R214" i="4" s="1"/>
  <c r="E126" i="4"/>
  <c r="B158" i="4"/>
  <c r="P37" i="4"/>
  <c r="R37" i="4" s="1"/>
  <c r="P36" i="4"/>
  <c r="R36" i="4" s="1"/>
  <c r="E14" i="4"/>
  <c r="M14" i="4" s="1"/>
  <c r="B23" i="4"/>
  <c r="P31" i="4"/>
  <c r="R31" i="4" s="1"/>
  <c r="H10" i="4"/>
  <c r="P30" i="4"/>
  <c r="R30" i="4" s="1"/>
  <c r="B18" i="4"/>
  <c r="H68" i="4"/>
  <c r="B92" i="4"/>
  <c r="P126" i="4"/>
  <c r="R126" i="4" s="1"/>
  <c r="B452" i="4"/>
  <c r="E445" i="4"/>
  <c r="M445" i="4" s="1"/>
  <c r="E246" i="4"/>
  <c r="M246" i="4" s="1"/>
  <c r="B280" i="4"/>
  <c r="P294" i="4"/>
  <c r="R294" i="4" s="1"/>
  <c r="E229" i="4"/>
  <c r="M229" i="4" s="1"/>
  <c r="P293" i="4"/>
  <c r="R293" i="4" s="1"/>
  <c r="B260" i="4"/>
  <c r="E197" i="4"/>
  <c r="P267" i="4"/>
  <c r="R267" i="4" s="1"/>
  <c r="P266" i="4"/>
  <c r="R266" i="4" s="1"/>
  <c r="AB266" i="4" s="1"/>
  <c r="B230" i="4"/>
  <c r="P268" i="4"/>
  <c r="R268" i="4" s="1"/>
  <c r="P157" i="4"/>
  <c r="R157" i="4" s="1"/>
  <c r="E93" i="4"/>
  <c r="B124" i="4"/>
  <c r="P396" i="4"/>
  <c r="R396" i="4" s="1"/>
  <c r="E362" i="4"/>
  <c r="M362" i="4" s="1"/>
  <c r="B378" i="4"/>
  <c r="B355" i="4"/>
  <c r="E330" i="4"/>
  <c r="M330" i="4" s="1"/>
  <c r="E230" i="4"/>
  <c r="B266" i="4"/>
  <c r="F484" i="3"/>
  <c r="P181" i="4"/>
  <c r="R181" i="4" s="1"/>
  <c r="B148" i="4"/>
  <c r="E117" i="4"/>
  <c r="M117" i="4" s="1"/>
  <c r="P182" i="4"/>
  <c r="R182" i="4" s="1"/>
  <c r="F468" i="3"/>
  <c r="B393" i="4"/>
  <c r="E377" i="4"/>
  <c r="F452" i="3"/>
  <c r="F532" i="3"/>
  <c r="F516" i="3"/>
  <c r="F500" i="3"/>
  <c r="C6" i="4"/>
  <c r="F5" i="4"/>
  <c r="Q14" i="4"/>
  <c r="S14" i="4" s="1"/>
  <c r="F518" i="3"/>
  <c r="F502" i="3"/>
  <c r="F486" i="3"/>
  <c r="F470" i="3"/>
  <c r="F454" i="3"/>
  <c r="F438" i="3"/>
  <c r="F422" i="3"/>
  <c r="F406" i="3"/>
  <c r="F390" i="3"/>
  <c r="F374" i="3"/>
  <c r="F358" i="3"/>
  <c r="F342" i="3"/>
  <c r="F326" i="3"/>
  <c r="F310" i="3"/>
  <c r="F294" i="3"/>
  <c r="F278" i="3"/>
  <c r="F262" i="3"/>
  <c r="F246" i="3"/>
  <c r="F230" i="3"/>
  <c r="F214" i="3"/>
  <c r="F198" i="3"/>
  <c r="F182" i="3"/>
  <c r="F166" i="3"/>
  <c r="F150" i="3"/>
  <c r="F134" i="3"/>
  <c r="F118" i="3"/>
  <c r="F102" i="3"/>
  <c r="F86" i="3"/>
  <c r="F70" i="3"/>
  <c r="F54" i="3"/>
  <c r="F38" i="3"/>
  <c r="F22" i="3"/>
  <c r="F6" i="3"/>
  <c r="F3" i="3"/>
  <c r="F517" i="3"/>
  <c r="F501" i="3"/>
  <c r="F485" i="3"/>
  <c r="F469" i="3"/>
  <c r="F453" i="3"/>
  <c r="F437" i="3"/>
  <c r="F421" i="3"/>
  <c r="F405" i="3"/>
  <c r="F389" i="3"/>
  <c r="F373" i="3"/>
  <c r="F357" i="3"/>
  <c r="F341" i="3"/>
  <c r="F325" i="3"/>
  <c r="F309" i="3"/>
  <c r="F293" i="3"/>
  <c r="F277" i="3"/>
  <c r="F261" i="3"/>
  <c r="F245" i="3"/>
  <c r="F229" i="3"/>
  <c r="F213" i="3"/>
  <c r="F197" i="3"/>
  <c r="F181" i="3"/>
  <c r="F165" i="3"/>
  <c r="F149" i="3"/>
  <c r="F133" i="3"/>
  <c r="F117" i="3"/>
  <c r="F101" i="3"/>
  <c r="F85" i="3"/>
  <c r="F69" i="3"/>
  <c r="F53" i="3"/>
  <c r="F37" i="3"/>
  <c r="F21" i="3"/>
  <c r="F5" i="3"/>
  <c r="F436" i="3"/>
  <c r="F420" i="3"/>
  <c r="F404" i="3"/>
  <c r="F388" i="3"/>
  <c r="F372" i="3"/>
  <c r="F356" i="3"/>
  <c r="F340" i="3"/>
  <c r="F324" i="3"/>
  <c r="F308" i="3"/>
  <c r="F292" i="3"/>
  <c r="F276" i="3"/>
  <c r="F260" i="3"/>
  <c r="F244" i="3"/>
  <c r="F228" i="3"/>
  <c r="F212" i="3"/>
  <c r="F196" i="3"/>
  <c r="F180" i="3"/>
  <c r="F164" i="3"/>
  <c r="F148" i="3"/>
  <c r="F132" i="3"/>
  <c r="F116" i="3"/>
  <c r="F100" i="3"/>
  <c r="F84" i="3"/>
  <c r="F68" i="3"/>
  <c r="F52" i="3"/>
  <c r="F36" i="3"/>
  <c r="F20" i="3"/>
  <c r="F4" i="3"/>
  <c r="F515" i="3"/>
  <c r="F499" i="3"/>
  <c r="F483" i="3"/>
  <c r="F467" i="3"/>
  <c r="F403" i="3"/>
  <c r="F371" i="3"/>
  <c r="F355" i="3"/>
  <c r="F339" i="3"/>
  <c r="F323" i="3"/>
  <c r="F307" i="3"/>
  <c r="F291" i="3"/>
  <c r="F275" i="3"/>
  <c r="F259" i="3"/>
  <c r="F243" i="3"/>
  <c r="F227" i="3"/>
  <c r="F211" i="3"/>
  <c r="F195" i="3"/>
  <c r="F179" i="3"/>
  <c r="F163" i="3"/>
  <c r="F147" i="3"/>
  <c r="F131" i="3"/>
  <c r="F115" i="3"/>
  <c r="F99" i="3"/>
  <c r="F83" i="3"/>
  <c r="F67" i="3"/>
  <c r="F51" i="3"/>
  <c r="F35" i="3"/>
  <c r="F19" i="3"/>
  <c r="F531" i="3"/>
  <c r="F435" i="3"/>
  <c r="F530" i="3"/>
  <c r="F514" i="3"/>
  <c r="F498" i="3"/>
  <c r="F482" i="3"/>
  <c r="F466" i="3"/>
  <c r="F450" i="3"/>
  <c r="F434" i="3"/>
  <c r="F418" i="3"/>
  <c r="F402" i="3"/>
  <c r="F386" i="3"/>
  <c r="F370" i="3"/>
  <c r="F354" i="3"/>
  <c r="F338" i="3"/>
  <c r="F322" i="3"/>
  <c r="F306" i="3"/>
  <c r="F290" i="3"/>
  <c r="F274" i="3"/>
  <c r="F258" i="3"/>
  <c r="F242" i="3"/>
  <c r="F226" i="3"/>
  <c r="F210" i="3"/>
  <c r="F194" i="3"/>
  <c r="F178" i="3"/>
  <c r="F162" i="3"/>
  <c r="F146" i="3"/>
  <c r="F130" i="3"/>
  <c r="F114" i="3"/>
  <c r="F98" i="3"/>
  <c r="F82" i="3"/>
  <c r="F66" i="3"/>
  <c r="F50" i="3"/>
  <c r="F34" i="3"/>
  <c r="F18" i="3"/>
  <c r="F451" i="3"/>
  <c r="F529" i="3"/>
  <c r="F481" i="3"/>
  <c r="F449" i="3"/>
  <c r="F417" i="3"/>
  <c r="F401" i="3"/>
  <c r="F369" i="3"/>
  <c r="F337" i="3"/>
  <c r="F321" i="3"/>
  <c r="F305" i="3"/>
  <c r="F289" i="3"/>
  <c r="F257" i="3"/>
  <c r="F241" i="3"/>
  <c r="F225" i="3"/>
  <c r="F209" i="3"/>
  <c r="F193" i="3"/>
  <c r="F177" i="3"/>
  <c r="F161" i="3"/>
  <c r="F145" i="3"/>
  <c r="F129" i="3"/>
  <c r="F113" i="3"/>
  <c r="F97" i="3"/>
  <c r="F81" i="3"/>
  <c r="F65" i="3"/>
  <c r="F49" i="3"/>
  <c r="F33" i="3"/>
  <c r="F17" i="3"/>
  <c r="F387" i="3"/>
  <c r="F497" i="3"/>
  <c r="F353" i="3"/>
  <c r="F528" i="3"/>
  <c r="F512" i="3"/>
  <c r="F480" i="3"/>
  <c r="F464" i="3"/>
  <c r="F448" i="3"/>
  <c r="F432" i="3"/>
  <c r="F400" i="3"/>
  <c r="F384" i="3"/>
  <c r="F368" i="3"/>
  <c r="F352" i="3"/>
  <c r="F336" i="3"/>
  <c r="F320" i="3"/>
  <c r="F304" i="3"/>
  <c r="F288" i="3"/>
  <c r="F272" i="3"/>
  <c r="F256" i="3"/>
  <c r="F240" i="3"/>
  <c r="F224" i="3"/>
  <c r="F208" i="3"/>
  <c r="F192" i="3"/>
  <c r="F176" i="3"/>
  <c r="F160" i="3"/>
  <c r="F144" i="3"/>
  <c r="F128" i="3"/>
  <c r="F112" i="3"/>
  <c r="F96" i="3"/>
  <c r="F80" i="3"/>
  <c r="F64" i="3"/>
  <c r="F48" i="3"/>
  <c r="F32" i="3"/>
  <c r="F16" i="3"/>
  <c r="F419" i="3"/>
  <c r="F513" i="3"/>
  <c r="F465" i="3"/>
  <c r="F433" i="3"/>
  <c r="F385" i="3"/>
  <c r="F273" i="3"/>
  <c r="F496" i="3"/>
  <c r="F416" i="3"/>
  <c r="F527" i="3"/>
  <c r="F511" i="3"/>
  <c r="F495" i="3"/>
  <c r="F479" i="3"/>
  <c r="F463" i="3"/>
  <c r="F447" i="3"/>
  <c r="F431" i="3"/>
  <c r="F415" i="3"/>
  <c r="F399" i="3"/>
  <c r="F383" i="3"/>
  <c r="F367" i="3"/>
  <c r="F351" i="3"/>
  <c r="F335" i="3"/>
  <c r="F319" i="3"/>
  <c r="F303" i="3"/>
  <c r="F287" i="3"/>
  <c r="F271" i="3"/>
  <c r="F255" i="3"/>
  <c r="F239" i="3"/>
  <c r="F223" i="3"/>
  <c r="F207" i="3"/>
  <c r="F191" i="3"/>
  <c r="F175" i="3"/>
  <c r="F159" i="3"/>
  <c r="F143" i="3"/>
  <c r="F127" i="3"/>
  <c r="F111" i="3"/>
  <c r="F95" i="3"/>
  <c r="F79" i="3"/>
  <c r="F63" i="3"/>
  <c r="F47" i="3"/>
  <c r="F31" i="3"/>
  <c r="F15" i="3"/>
  <c r="F526" i="3"/>
  <c r="F510" i="3"/>
  <c r="F494" i="3"/>
  <c r="F478" i="3"/>
  <c r="F462" i="3"/>
  <c r="F446" i="3"/>
  <c r="F430" i="3"/>
  <c r="F414" i="3"/>
  <c r="F398" i="3"/>
  <c r="F382" i="3"/>
  <c r="F366" i="3"/>
  <c r="F350" i="3"/>
  <c r="F334" i="3"/>
  <c r="F318" i="3"/>
  <c r="F302" i="3"/>
  <c r="F286" i="3"/>
  <c r="F270" i="3"/>
  <c r="F254" i="3"/>
  <c r="F238" i="3"/>
  <c r="F222" i="3"/>
  <c r="F206" i="3"/>
  <c r="F190" i="3"/>
  <c r="F174" i="3"/>
  <c r="F158" i="3"/>
  <c r="F142" i="3"/>
  <c r="F126" i="3"/>
  <c r="F110" i="3"/>
  <c r="F94" i="3"/>
  <c r="F78" i="3"/>
  <c r="F62" i="3"/>
  <c r="F46" i="3"/>
  <c r="F30" i="3"/>
  <c r="F14" i="3"/>
  <c r="F509" i="3"/>
  <c r="F493" i="3"/>
  <c r="F477" i="3"/>
  <c r="F461" i="3"/>
  <c r="F429" i="3"/>
  <c r="F413" i="3"/>
  <c r="F397" i="3"/>
  <c r="F381" i="3"/>
  <c r="F365" i="3"/>
  <c r="F349" i="3"/>
  <c r="F333" i="3"/>
  <c r="F317" i="3"/>
  <c r="F301" i="3"/>
  <c r="F285" i="3"/>
  <c r="F269" i="3"/>
  <c r="F253" i="3"/>
  <c r="F237" i="3"/>
  <c r="F221" i="3"/>
  <c r="F205" i="3"/>
  <c r="F189" i="3"/>
  <c r="F173" i="3"/>
  <c r="F157" i="3"/>
  <c r="F141" i="3"/>
  <c r="F125" i="3"/>
  <c r="F109" i="3"/>
  <c r="F93" i="3"/>
  <c r="F77" i="3"/>
  <c r="F61" i="3"/>
  <c r="F45" i="3"/>
  <c r="F29" i="3"/>
  <c r="F13" i="3"/>
  <c r="F525" i="3"/>
  <c r="F445" i="3"/>
  <c r="F524" i="3"/>
  <c r="F508" i="3"/>
  <c r="F492" i="3"/>
  <c r="F476" i="3"/>
  <c r="F460" i="3"/>
  <c r="F444" i="3"/>
  <c r="F428" i="3"/>
  <c r="F412" i="3"/>
  <c r="F396" i="3"/>
  <c r="F380" i="3"/>
  <c r="F364" i="3"/>
  <c r="F348" i="3"/>
  <c r="F332" i="3"/>
  <c r="F316" i="3"/>
  <c r="F300" i="3"/>
  <c r="F284" i="3"/>
  <c r="F268" i="3"/>
  <c r="F252" i="3"/>
  <c r="F236" i="3"/>
  <c r="F220" i="3"/>
  <c r="F204" i="3"/>
  <c r="F188" i="3"/>
  <c r="F172" i="3"/>
  <c r="F156" i="3"/>
  <c r="F140" i="3"/>
  <c r="F124" i="3"/>
  <c r="F108" i="3"/>
  <c r="F92" i="3"/>
  <c r="F76" i="3"/>
  <c r="F60" i="3"/>
  <c r="F44" i="3"/>
  <c r="F28" i="3"/>
  <c r="F12" i="3"/>
  <c r="F523" i="3"/>
  <c r="F507" i="3"/>
  <c r="F475" i="3"/>
  <c r="F427" i="3"/>
  <c r="F411" i="3"/>
  <c r="F395" i="3"/>
  <c r="F379" i="3"/>
  <c r="F363" i="3"/>
  <c r="F347" i="3"/>
  <c r="F331" i="3"/>
  <c r="F315" i="3"/>
  <c r="F299" i="3"/>
  <c r="F283" i="3"/>
  <c r="F267" i="3"/>
  <c r="F251" i="3"/>
  <c r="F235" i="3"/>
  <c r="F219" i="3"/>
  <c r="F203" i="3"/>
  <c r="F187" i="3"/>
  <c r="F171" i="3"/>
  <c r="F155" i="3"/>
  <c r="F139" i="3"/>
  <c r="F123" i="3"/>
  <c r="F107" i="3"/>
  <c r="F91" i="3"/>
  <c r="F75" i="3"/>
  <c r="F59" i="3"/>
  <c r="F43" i="3"/>
  <c r="F27" i="3"/>
  <c r="F11" i="3"/>
  <c r="E361" i="4"/>
  <c r="B375" i="4"/>
  <c r="F459" i="3"/>
  <c r="F522" i="3"/>
  <c r="F506" i="3"/>
  <c r="F490" i="3"/>
  <c r="F474" i="3"/>
  <c r="F458" i="3"/>
  <c r="F442" i="3"/>
  <c r="F426" i="3"/>
  <c r="F410" i="3"/>
  <c r="F394" i="3"/>
  <c r="F378" i="3"/>
  <c r="F362" i="3"/>
  <c r="F346" i="3"/>
  <c r="F330" i="3"/>
  <c r="F314" i="3"/>
  <c r="F298" i="3"/>
  <c r="F282" i="3"/>
  <c r="F266" i="3"/>
  <c r="F250" i="3"/>
  <c r="F234" i="3"/>
  <c r="F218" i="3"/>
  <c r="F202" i="3"/>
  <c r="F186" i="3"/>
  <c r="F170" i="3"/>
  <c r="F154" i="3"/>
  <c r="F138" i="3"/>
  <c r="F122" i="3"/>
  <c r="F106" i="3"/>
  <c r="F90" i="3"/>
  <c r="F74" i="3"/>
  <c r="F58" i="3"/>
  <c r="F42" i="3"/>
  <c r="F26" i="3"/>
  <c r="F10" i="3"/>
  <c r="F491" i="3"/>
  <c r="F521" i="3"/>
  <c r="F489" i="3"/>
  <c r="F473" i="3"/>
  <c r="F441" i="3"/>
  <c r="F425" i="3"/>
  <c r="F409" i="3"/>
  <c r="F393" i="3"/>
  <c r="F377" i="3"/>
  <c r="F361" i="3"/>
  <c r="F329" i="3"/>
  <c r="F313" i="3"/>
  <c r="F297" i="3"/>
  <c r="F281" i="3"/>
  <c r="F265" i="3"/>
  <c r="F249" i="3"/>
  <c r="F233" i="3"/>
  <c r="F217" i="3"/>
  <c r="F201" i="3"/>
  <c r="F185" i="3"/>
  <c r="F169" i="3"/>
  <c r="F153" i="3"/>
  <c r="F137" i="3"/>
  <c r="F121" i="3"/>
  <c r="F105" i="3"/>
  <c r="F89" i="3"/>
  <c r="F73" i="3"/>
  <c r="F57" i="3"/>
  <c r="F41" i="3"/>
  <c r="F25" i="3"/>
  <c r="F9" i="3"/>
  <c r="F443" i="3"/>
  <c r="F505" i="3"/>
  <c r="F457" i="3"/>
  <c r="F345" i="3"/>
  <c r="F520" i="3"/>
  <c r="F504" i="3"/>
  <c r="F488" i="3"/>
  <c r="F472" i="3"/>
  <c r="F456" i="3"/>
  <c r="F440" i="3"/>
  <c r="F424" i="3"/>
  <c r="F408" i="3"/>
  <c r="F392" i="3"/>
  <c r="F376" i="3"/>
  <c r="F360" i="3"/>
  <c r="F344" i="3"/>
  <c r="F328" i="3"/>
  <c r="F312" i="3"/>
  <c r="F296" i="3"/>
  <c r="F280" i="3"/>
  <c r="F264" i="3"/>
  <c r="F248" i="3"/>
  <c r="F232" i="3"/>
  <c r="F216" i="3"/>
  <c r="F200" i="3"/>
  <c r="F184" i="3"/>
  <c r="F168" i="3"/>
  <c r="F152" i="3"/>
  <c r="F136" i="3"/>
  <c r="F120" i="3"/>
  <c r="F104" i="3"/>
  <c r="F88" i="3"/>
  <c r="F72" i="3"/>
  <c r="F56" i="3"/>
  <c r="F40" i="3"/>
  <c r="F24" i="3"/>
  <c r="F8" i="3"/>
  <c r="F519" i="3"/>
  <c r="F503" i="3"/>
  <c r="F487" i="3"/>
  <c r="F471" i="3"/>
  <c r="F455" i="3"/>
  <c r="F439" i="3"/>
  <c r="F423" i="3"/>
  <c r="F407" i="3"/>
  <c r="F391" i="3"/>
  <c r="F375" i="3"/>
  <c r="F359" i="3"/>
  <c r="F343" i="3"/>
  <c r="F327" i="3"/>
  <c r="F311" i="3"/>
  <c r="F295" i="3"/>
  <c r="F279" i="3"/>
  <c r="F263" i="3"/>
  <c r="F247" i="3"/>
  <c r="F231" i="3"/>
  <c r="F215" i="3"/>
  <c r="F199" i="3"/>
  <c r="F183" i="3"/>
  <c r="F167" i="3"/>
  <c r="F151" i="3"/>
  <c r="F135" i="3"/>
  <c r="F119" i="3"/>
  <c r="F103" i="3"/>
  <c r="F87" i="3"/>
  <c r="F71" i="3"/>
  <c r="F55" i="3"/>
  <c r="F39" i="3"/>
  <c r="F23" i="3"/>
  <c r="M458" i="4" l="1"/>
  <c r="M164" i="4"/>
  <c r="M100" i="4"/>
  <c r="AG100" i="4" s="1"/>
  <c r="M408" i="4"/>
  <c r="M390" i="4"/>
  <c r="M479" i="4"/>
  <c r="M42" i="4"/>
  <c r="M191" i="4"/>
  <c r="M19" i="4"/>
  <c r="M487" i="4"/>
  <c r="AG487" i="4" s="1"/>
  <c r="M156" i="4"/>
  <c r="AC156" i="4" s="1"/>
  <c r="M72" i="4"/>
  <c r="AG72" i="4" s="1"/>
  <c r="M199" i="4"/>
  <c r="AG199" i="4" s="1"/>
  <c r="M184" i="4"/>
  <c r="AB184" i="4" s="1"/>
  <c r="AC182" i="4"/>
  <c r="AB124" i="4"/>
  <c r="M339" i="4"/>
  <c r="AG339" i="4" s="1"/>
  <c r="M104" i="4"/>
  <c r="AB104" i="4" s="1"/>
  <c r="M143" i="4"/>
  <c r="AG143" i="4" s="1"/>
  <c r="M123" i="4"/>
  <c r="AC123" i="4" s="1"/>
  <c r="M510" i="4"/>
  <c r="AG510" i="4" s="1"/>
  <c r="M373" i="4"/>
  <c r="AB373" i="4" s="1"/>
  <c r="M354" i="4"/>
  <c r="AG354" i="4" s="1"/>
  <c r="M446" i="4"/>
  <c r="AG446" i="4" s="1"/>
  <c r="AC300" i="4"/>
  <c r="M426" i="4"/>
  <c r="AC426" i="4" s="1"/>
  <c r="AC31" i="4"/>
  <c r="M63" i="4"/>
  <c r="AB63" i="4" s="1"/>
  <c r="M139" i="4"/>
  <c r="AB139" i="4" s="1"/>
  <c r="M391" i="4"/>
  <c r="AG391" i="4" s="1"/>
  <c r="M370" i="4"/>
  <c r="AG370" i="4" s="1"/>
  <c r="M29" i="4"/>
  <c r="AC29" i="4" s="1"/>
  <c r="M335" i="4"/>
  <c r="AB335" i="4" s="1"/>
  <c r="M515" i="4"/>
  <c r="AB515" i="4" s="1"/>
  <c r="M41" i="4"/>
  <c r="AC41" i="4" s="1"/>
  <c r="M128" i="4"/>
  <c r="AG128" i="4" s="1"/>
  <c r="M471" i="4"/>
  <c r="AG471" i="4" s="1"/>
  <c r="M279" i="4"/>
  <c r="AC279" i="4" s="1"/>
  <c r="M433" i="4"/>
  <c r="AB433" i="4" s="1"/>
  <c r="M201" i="4"/>
  <c r="AC201" i="4" s="1"/>
  <c r="M508" i="4"/>
  <c r="AG508" i="4" s="1"/>
  <c r="M267" i="4"/>
  <c r="AC267" i="4" s="1"/>
  <c r="M96" i="4"/>
  <c r="AG96" i="4" s="1"/>
  <c r="M153" i="4"/>
  <c r="AC153" i="4" s="1"/>
  <c r="M5" i="4"/>
  <c r="AB5" i="4" s="1"/>
  <c r="M450" i="4"/>
  <c r="AG450" i="4" s="1"/>
  <c r="M283" i="4"/>
  <c r="AG283" i="4" s="1"/>
  <c r="AC301" i="4"/>
  <c r="M217" i="4"/>
  <c r="AC217" i="4" s="1"/>
  <c r="M53" i="4"/>
  <c r="AC53" i="4" s="1"/>
  <c r="M7" i="4"/>
  <c r="AB7" i="4" s="1"/>
  <c r="M514" i="4"/>
  <c r="AC514" i="4" s="1"/>
  <c r="AB378" i="4"/>
  <c r="M195" i="4"/>
  <c r="AB195" i="4" s="1"/>
  <c r="M197" i="4"/>
  <c r="AG197" i="4" s="1"/>
  <c r="M86" i="4"/>
  <c r="AC86" i="4" s="1"/>
  <c r="M411" i="4"/>
  <c r="AB411" i="4" s="1"/>
  <c r="M66" i="4"/>
  <c r="AG66" i="4" s="1"/>
  <c r="M249" i="4"/>
  <c r="AG249" i="4" s="1"/>
  <c r="M111" i="4"/>
  <c r="AG111" i="4" s="1"/>
  <c r="M173" i="4"/>
  <c r="AC173" i="4" s="1"/>
  <c r="M78" i="4"/>
  <c r="AC78" i="4" s="1"/>
  <c r="M183" i="4"/>
  <c r="AG183" i="4" s="1"/>
  <c r="M288" i="4"/>
  <c r="AG288" i="4" s="1"/>
  <c r="M485" i="4"/>
  <c r="AG485" i="4" s="1"/>
  <c r="M272" i="4"/>
  <c r="AB272" i="4" s="1"/>
  <c r="M58" i="4"/>
  <c r="AG58" i="4" s="1"/>
  <c r="M222" i="4"/>
  <c r="AC222" i="4" s="1"/>
  <c r="M2" i="4"/>
  <c r="AB2" i="4" s="1"/>
  <c r="M102" i="4"/>
  <c r="AG102" i="4" s="1"/>
  <c r="M492" i="4"/>
  <c r="AC492" i="4" s="1"/>
  <c r="M171" i="4"/>
  <c r="AC171" i="4" s="1"/>
  <c r="M129" i="4"/>
  <c r="AC129" i="4" s="1"/>
  <c r="M325" i="4"/>
  <c r="AC325" i="4" s="1"/>
  <c r="AB520" i="4"/>
  <c r="M490" i="4"/>
  <c r="AG490" i="4" s="1"/>
  <c r="AB213" i="4"/>
  <c r="M253" i="4"/>
  <c r="AC253" i="4" s="1"/>
  <c r="AC215" i="4"/>
  <c r="M189" i="4"/>
  <c r="AG189" i="4" s="1"/>
  <c r="M231" i="4"/>
  <c r="AB231" i="4" s="1"/>
  <c r="M108" i="4"/>
  <c r="AG108" i="4" s="1"/>
  <c r="M67" i="4"/>
  <c r="AB67" i="4" s="1"/>
  <c r="M404" i="4"/>
  <c r="AG404" i="4" s="1"/>
  <c r="M329" i="4"/>
  <c r="AG329" i="4" s="1"/>
  <c r="M89" i="4"/>
  <c r="AC89" i="4" s="1"/>
  <c r="M25" i="4"/>
  <c r="AG25" i="4" s="1"/>
  <c r="M221" i="4"/>
  <c r="AG221" i="4" s="1"/>
  <c r="M202" i="4"/>
  <c r="AG202" i="4" s="1"/>
  <c r="AC87" i="4"/>
  <c r="M415" i="4"/>
  <c r="AG415" i="4" s="1"/>
  <c r="M163" i="4"/>
  <c r="AB163" i="4" s="1"/>
  <c r="AC396" i="4"/>
  <c r="M80" i="4"/>
  <c r="AG80" i="4" s="1"/>
  <c r="M461" i="4"/>
  <c r="AB461" i="4" s="1"/>
  <c r="M365" i="4"/>
  <c r="AC365" i="4" s="1"/>
  <c r="M381" i="4"/>
  <c r="AG381" i="4" s="1"/>
  <c r="M70" i="4"/>
  <c r="AC70" i="4" s="1"/>
  <c r="M436" i="4"/>
  <c r="AB436" i="4" s="1"/>
  <c r="M304" i="4"/>
  <c r="AG304" i="4" s="1"/>
  <c r="M219" i="4"/>
  <c r="AG219" i="4" s="1"/>
  <c r="M81" i="4"/>
  <c r="AC81" i="4" s="1"/>
  <c r="M51" i="4"/>
  <c r="AG15" i="4"/>
  <c r="AC15" i="4"/>
  <c r="AB15" i="4"/>
  <c r="AG440" i="4"/>
  <c r="AB440" i="4"/>
  <c r="AG332" i="4"/>
  <c r="AB332" i="4"/>
  <c r="AB261" i="4"/>
  <c r="AG261" i="4"/>
  <c r="AC50" i="4"/>
  <c r="AB50" i="4"/>
  <c r="AG50" i="4"/>
  <c r="AB448" i="4"/>
  <c r="AG448" i="4"/>
  <c r="AC448" i="4"/>
  <c r="AG409" i="4"/>
  <c r="AC409" i="4"/>
  <c r="AB409" i="4"/>
  <c r="AB62" i="4"/>
  <c r="AG62" i="4"/>
  <c r="AG152" i="4"/>
  <c r="AB152" i="4"/>
  <c r="AG250" i="4"/>
  <c r="AB250" i="4"/>
  <c r="AG314" i="4"/>
  <c r="AB314" i="4"/>
  <c r="AG407" i="4"/>
  <c r="AB407" i="4"/>
  <c r="AG17" i="4"/>
  <c r="AB17" i="4"/>
  <c r="AG254" i="4"/>
  <c r="AC254" i="4"/>
  <c r="AB254" i="4"/>
  <c r="AG83" i="4"/>
  <c r="AB83" i="4"/>
  <c r="M74" i="4"/>
  <c r="AG6" i="4"/>
  <c r="AC6" i="4"/>
  <c r="AB6" i="4"/>
  <c r="AG176" i="4"/>
  <c r="AB176" i="4"/>
  <c r="AG240" i="4"/>
  <c r="AB240" i="4"/>
  <c r="AB178" i="4"/>
  <c r="AG178" i="4"/>
  <c r="AC178" i="4"/>
  <c r="AG179" i="4"/>
  <c r="AB179" i="4"/>
  <c r="AG263" i="4"/>
  <c r="AB263" i="4"/>
  <c r="M372" i="4"/>
  <c r="AG480" i="4"/>
  <c r="AB480" i="4"/>
  <c r="M91" i="4"/>
  <c r="AG121" i="4"/>
  <c r="AB121" i="4"/>
  <c r="AG218" i="4"/>
  <c r="AB218" i="4"/>
  <c r="AG286" i="4"/>
  <c r="AB286" i="4"/>
  <c r="AG71" i="4"/>
  <c r="AB71" i="4"/>
  <c r="M3" i="4"/>
  <c r="AG454" i="4"/>
  <c r="AC454" i="4"/>
  <c r="AB454" i="4"/>
  <c r="AG530" i="4"/>
  <c r="AB530" i="4"/>
  <c r="AG453" i="4"/>
  <c r="AB453" i="4"/>
  <c r="AG364" i="4"/>
  <c r="AB364" i="4"/>
  <c r="AG105" i="4"/>
  <c r="AB105" i="4"/>
  <c r="M177" i="4"/>
  <c r="AG236" i="4"/>
  <c r="AB236" i="4"/>
  <c r="AC236" i="4"/>
  <c r="AC504" i="4"/>
  <c r="AB504" i="4"/>
  <c r="AG504" i="4"/>
  <c r="AC489" i="4"/>
  <c r="AB141" i="4"/>
  <c r="AG141" i="4"/>
  <c r="AB369" i="4"/>
  <c r="AG369" i="4"/>
  <c r="AC369" i="4"/>
  <c r="AG419" i="4"/>
  <c r="AC419" i="4"/>
  <c r="AB419" i="4"/>
  <c r="AG90" i="4"/>
  <c r="AB90" i="4"/>
  <c r="AB206" i="4"/>
  <c r="AG206" i="4"/>
  <c r="AG32" i="4"/>
  <c r="AC32" i="4"/>
  <c r="AB32" i="4"/>
  <c r="AB59" i="4"/>
  <c r="AG144" i="4"/>
  <c r="AC144" i="4"/>
  <c r="AB144" i="4"/>
  <c r="AG291" i="4"/>
  <c r="AB291" i="4"/>
  <c r="AB262" i="4"/>
  <c r="AG262" i="4"/>
  <c r="AB147" i="4"/>
  <c r="AG147" i="4"/>
  <c r="AG352" i="4"/>
  <c r="AB352" i="4"/>
  <c r="AG99" i="4"/>
  <c r="AB99" i="4"/>
  <c r="AG60" i="4"/>
  <c r="AB60" i="4"/>
  <c r="AG437" i="4"/>
  <c r="AC437" i="4"/>
  <c r="AB437" i="4"/>
  <c r="AG49" i="4"/>
  <c r="AC49" i="4"/>
  <c r="AB49" i="4"/>
  <c r="AG247" i="4"/>
  <c r="AB247" i="4"/>
  <c r="AG497" i="4"/>
  <c r="AC497" i="4"/>
  <c r="AB497" i="4"/>
  <c r="AG399" i="4"/>
  <c r="AB399" i="4"/>
  <c r="AG97" i="4"/>
  <c r="AB97" i="4"/>
  <c r="AG432" i="4"/>
  <c r="AC432" i="4"/>
  <c r="AB432" i="4"/>
  <c r="AG435" i="4"/>
  <c r="AB435" i="4"/>
  <c r="AB39" i="4"/>
  <c r="AG39" i="4"/>
  <c r="AC39" i="4"/>
  <c r="M187" i="4"/>
  <c r="AG122" i="4"/>
  <c r="AB122" i="4"/>
  <c r="AG358" i="4"/>
  <c r="AB358" i="4"/>
  <c r="AG337" i="4"/>
  <c r="AC337" i="4"/>
  <c r="AB337" i="4"/>
  <c r="AG248" i="4"/>
  <c r="AC248" i="4"/>
  <c r="AB248" i="4"/>
  <c r="AG346" i="4"/>
  <c r="AB346" i="4"/>
  <c r="AG303" i="4"/>
  <c r="AB303" i="4"/>
  <c r="AG175" i="4"/>
  <c r="AB175" i="4"/>
  <c r="M517" i="4"/>
  <c r="AB517" i="4" s="1"/>
  <c r="AG21" i="4"/>
  <c r="AC21" i="4"/>
  <c r="AB21" i="4"/>
  <c r="AB241" i="4"/>
  <c r="AG241" i="4"/>
  <c r="AG207" i="4"/>
  <c r="AB207" i="4"/>
  <c r="AG441" i="4"/>
  <c r="AB441" i="4"/>
  <c r="M242" i="4"/>
  <c r="AB242" i="4" s="1"/>
  <c r="M35" i="4"/>
  <c r="AG48" i="4"/>
  <c r="AC48" i="4"/>
  <c r="AB48" i="4"/>
  <c r="AB170" i="4"/>
  <c r="AG170" i="4"/>
  <c r="M166" i="4"/>
  <c r="AG321" i="4"/>
  <c r="AB321" i="4"/>
  <c r="AG345" i="4"/>
  <c r="AB345" i="4"/>
  <c r="M395" i="4"/>
  <c r="AG349" i="4"/>
  <c r="AB349" i="4"/>
  <c r="AG172" i="4"/>
  <c r="AB172" i="4"/>
  <c r="AC172" i="4"/>
  <c r="M467" i="4"/>
  <c r="AG77" i="4"/>
  <c r="AB77" i="4"/>
  <c r="M65" i="4"/>
  <c r="M306" i="4"/>
  <c r="AG380" i="4"/>
  <c r="AB380" i="4"/>
  <c r="AG273" i="4"/>
  <c r="AB273" i="4"/>
  <c r="M327" i="4"/>
  <c r="AC366" i="4"/>
  <c r="AB366" i="4"/>
  <c r="AG366" i="4"/>
  <c r="AG142" i="4"/>
  <c r="AB142" i="4"/>
  <c r="AG225" i="4"/>
  <c r="AB225" i="4"/>
  <c r="AC190" i="4"/>
  <c r="AB190" i="4"/>
  <c r="AG190" i="4"/>
  <c r="AG235" i="4"/>
  <c r="AC235" i="4"/>
  <c r="AB235" i="4"/>
  <c r="AG292" i="4"/>
  <c r="AC292" i="4"/>
  <c r="AB292" i="4"/>
  <c r="AB430" i="4"/>
  <c r="AG430" i="4"/>
  <c r="AG27" i="4"/>
  <c r="AB27" i="4"/>
  <c r="AG371" i="4"/>
  <c r="AB371" i="4"/>
  <c r="AG476" i="4"/>
  <c r="AB476" i="4"/>
  <c r="AB118" i="4"/>
  <c r="AG118" i="4"/>
  <c r="AC118" i="4"/>
  <c r="AG491" i="4"/>
  <c r="AB491" i="4"/>
  <c r="AG198" i="4"/>
  <c r="AB198" i="4"/>
  <c r="AB344" i="4"/>
  <c r="AG344" i="4"/>
  <c r="AB479" i="4"/>
  <c r="AC524" i="4"/>
  <c r="AB524" i="4"/>
  <c r="AG524" i="4"/>
  <c r="M119" i="4"/>
  <c r="AB265" i="4"/>
  <c r="AG265" i="4"/>
  <c r="AC265" i="4"/>
  <c r="AG521" i="4"/>
  <c r="AB521" i="4"/>
  <c r="M135" i="4"/>
  <c r="AC496" i="4"/>
  <c r="AB496" i="4"/>
  <c r="AG496" i="4"/>
  <c r="AG295" i="4"/>
  <c r="AC295" i="4"/>
  <c r="AB295" i="4"/>
  <c r="AG338" i="4"/>
  <c r="AB338" i="4"/>
  <c r="AB278" i="4"/>
  <c r="AG278" i="4"/>
  <c r="AB356" i="4"/>
  <c r="AG356" i="4"/>
  <c r="AB406" i="4"/>
  <c r="AG406" i="4"/>
  <c r="AG34" i="4"/>
  <c r="AC34" i="4"/>
  <c r="AB34" i="4"/>
  <c r="M13" i="4"/>
  <c r="AG287" i="4"/>
  <c r="AB287" i="4"/>
  <c r="AB389" i="4"/>
  <c r="AG389" i="4"/>
  <c r="AB92" i="4"/>
  <c r="M270" i="4"/>
  <c r="AG227" i="4"/>
  <c r="AB227" i="4"/>
  <c r="AG343" i="4"/>
  <c r="AB343" i="4"/>
  <c r="AG8" i="4"/>
  <c r="AC8" i="4"/>
  <c r="AB8" i="4"/>
  <c r="AG145" i="4"/>
  <c r="AB145" i="4"/>
  <c r="AB210" i="4"/>
  <c r="AG210" i="4"/>
  <c r="M410" i="4"/>
  <c r="M331" i="4"/>
  <c r="AG449" i="4"/>
  <c r="AB449" i="4"/>
  <c r="AG347" i="4"/>
  <c r="AB347" i="4"/>
  <c r="AG506" i="4"/>
  <c r="AC506" i="4"/>
  <c r="AB506" i="4"/>
  <c r="AG484" i="4"/>
  <c r="AC484" i="4"/>
  <c r="AB484" i="4"/>
  <c r="AG438" i="4"/>
  <c r="AB438" i="4"/>
  <c r="AG459" i="4"/>
  <c r="AB459" i="4"/>
  <c r="AC459" i="4"/>
  <c r="AB302" i="4"/>
  <c r="AG302" i="4"/>
  <c r="AG44" i="4"/>
  <c r="AB44" i="4"/>
  <c r="AG9" i="4"/>
  <c r="AC9" i="4"/>
  <c r="AB9" i="4"/>
  <c r="AB317" i="4"/>
  <c r="AG317" i="4"/>
  <c r="AB383" i="4"/>
  <c r="AG383" i="4"/>
  <c r="AG298" i="4"/>
  <c r="AC298" i="4"/>
  <c r="AB298" i="4"/>
  <c r="M84" i="4"/>
  <c r="AG421" i="4"/>
  <c r="AC421" i="4"/>
  <c r="AB421" i="4"/>
  <c r="AG290" i="4"/>
  <c r="AB290" i="4"/>
  <c r="AG513" i="4"/>
  <c r="AB513" i="4"/>
  <c r="AG465" i="4"/>
  <c r="AC465" i="4"/>
  <c r="AB465" i="4"/>
  <c r="AG463" i="4"/>
  <c r="AB463" i="4"/>
  <c r="AG522" i="4"/>
  <c r="AB522" i="4"/>
  <c r="AG498" i="4"/>
  <c r="AB498" i="4"/>
  <c r="AG40" i="4"/>
  <c r="AB40" i="4"/>
  <c r="AB200" i="4"/>
  <c r="AG200" i="4"/>
  <c r="AG281" i="4"/>
  <c r="AB281" i="4"/>
  <c r="AG423" i="4"/>
  <c r="AB423" i="4"/>
  <c r="M131" i="4"/>
  <c r="AG311" i="4"/>
  <c r="AB311" i="4"/>
  <c r="AC311" i="4"/>
  <c r="AG367" i="4"/>
  <c r="AB367" i="4"/>
  <c r="AG256" i="4"/>
  <c r="AB256" i="4"/>
  <c r="AB468" i="4"/>
  <c r="AG468" i="4"/>
  <c r="AG505" i="4"/>
  <c r="AB505" i="4"/>
  <c r="M357" i="4"/>
  <c r="AG162" i="4"/>
  <c r="AC162" i="4"/>
  <c r="AB162" i="4"/>
  <c r="AG348" i="4"/>
  <c r="AB348" i="4"/>
  <c r="AC348" i="4"/>
  <c r="M457" i="4"/>
  <c r="AG24" i="4"/>
  <c r="AB24" i="4"/>
  <c r="AB110" i="4"/>
  <c r="AG110" i="4"/>
  <c r="AC112" i="4"/>
  <c r="AB112" i="4"/>
  <c r="AG112" i="4"/>
  <c r="AG351" i="4"/>
  <c r="AC351" i="4"/>
  <c r="AB351" i="4"/>
  <c r="AB509" i="4"/>
  <c r="AG509" i="4"/>
  <c r="M114" i="4"/>
  <c r="AC191" i="4"/>
  <c r="AB191" i="4"/>
  <c r="AG191" i="4"/>
  <c r="AG11" i="4"/>
  <c r="AC11" i="4"/>
  <c r="AB11" i="4"/>
  <c r="AC390" i="4"/>
  <c r="AG390" i="4"/>
  <c r="AB390" i="4"/>
  <c r="AG173" i="4"/>
  <c r="AG424" i="4"/>
  <c r="AB424" i="4"/>
  <c r="AB434" i="4"/>
  <c r="AG434" i="4"/>
  <c r="AB209" i="4"/>
  <c r="AG209" i="4"/>
  <c r="AC209" i="4"/>
  <c r="AG252" i="4"/>
  <c r="AB252" i="4"/>
  <c r="AG374" i="4"/>
  <c r="AB374" i="4"/>
  <c r="AC350" i="4"/>
  <c r="AB350" i="4"/>
  <c r="AG350" i="4"/>
  <c r="AB233" i="4"/>
  <c r="AG233" i="4"/>
  <c r="AG483" i="4"/>
  <c r="AB483" i="4"/>
  <c r="AG79" i="4"/>
  <c r="AB79" i="4"/>
  <c r="AG470" i="4"/>
  <c r="AC470" i="4"/>
  <c r="AB470" i="4"/>
  <c r="AG237" i="4"/>
  <c r="AB237" i="4"/>
  <c r="AG501" i="4"/>
  <c r="AB501" i="4"/>
  <c r="AB174" i="4"/>
  <c r="AG174" i="4"/>
  <c r="AB19" i="4"/>
  <c r="AG296" i="4"/>
  <c r="AB296" i="4"/>
  <c r="M500" i="4"/>
  <c r="AG244" i="4"/>
  <c r="AB244" i="4"/>
  <c r="AG388" i="4"/>
  <c r="AB388" i="4"/>
  <c r="AG188" i="4"/>
  <c r="AB188" i="4"/>
  <c r="AC188" i="4"/>
  <c r="M418" i="4"/>
  <c r="AG392" i="4"/>
  <c r="AB392" i="4"/>
  <c r="M18" i="4"/>
  <c r="AB18" i="4" s="1"/>
  <c r="AG226" i="4"/>
  <c r="AB226" i="4"/>
  <c r="AG429" i="4"/>
  <c r="AB429" i="4"/>
  <c r="M294" i="4"/>
  <c r="AC294" i="4" s="1"/>
  <c r="AG456" i="4"/>
  <c r="AB456" i="4"/>
  <c r="M211" i="4"/>
  <c r="M57" i="4"/>
  <c r="AG342" i="4"/>
  <c r="AB342" i="4"/>
  <c r="AG132" i="4"/>
  <c r="AB132" i="4"/>
  <c r="AG431" i="4"/>
  <c r="AC431" i="4"/>
  <c r="AB431" i="4"/>
  <c r="AG169" i="4"/>
  <c r="AC169" i="4"/>
  <c r="AB169" i="4"/>
  <c r="AB398" i="4"/>
  <c r="AG398" i="4"/>
  <c r="AG387" i="4"/>
  <c r="AB387" i="4"/>
  <c r="M148" i="4"/>
  <c r="AB148" i="4" s="1"/>
  <c r="AG75" i="4"/>
  <c r="AB75" i="4"/>
  <c r="AG499" i="4"/>
  <c r="AB499" i="4"/>
  <c r="AG422" i="4"/>
  <c r="AB422" i="4"/>
  <c r="M4" i="4"/>
  <c r="M140" i="4"/>
  <c r="AG103" i="4"/>
  <c r="AB103" i="4"/>
  <c r="AG297" i="4"/>
  <c r="AB297" i="4"/>
  <c r="AG516" i="4"/>
  <c r="AB516" i="4"/>
  <c r="AG507" i="4"/>
  <c r="AC507" i="4"/>
  <c r="AB507" i="4"/>
  <c r="M488" i="4"/>
  <c r="AC488" i="4" s="1"/>
  <c r="AB427" i="4"/>
  <c r="AG427" i="4"/>
  <c r="M33" i="4"/>
  <c r="AG109" i="4"/>
  <c r="AB109" i="4"/>
  <c r="AB318" i="4"/>
  <c r="AG318" i="4"/>
  <c r="AG384" i="4"/>
  <c r="AB384" i="4"/>
  <c r="AG439" i="4"/>
  <c r="AC439" i="4"/>
  <c r="AB439" i="4"/>
  <c r="M503" i="4"/>
  <c r="AB194" i="4"/>
  <c r="AG194" i="4"/>
  <c r="M45" i="4"/>
  <c r="M259" i="4"/>
  <c r="AG133" i="4"/>
  <c r="AB133" i="4"/>
  <c r="AG312" i="4"/>
  <c r="AB312" i="4"/>
  <c r="AG420" i="4"/>
  <c r="AB420" i="4"/>
  <c r="AG458" i="4"/>
  <c r="AC458" i="4"/>
  <c r="AB458" i="4"/>
  <c r="M208" i="4"/>
  <c r="AG208" i="4" s="1"/>
  <c r="M377" i="4"/>
  <c r="AC377" i="4" s="1"/>
  <c r="AG168" i="4"/>
  <c r="AB168" i="4"/>
  <c r="AG232" i="4"/>
  <c r="AB232" i="4"/>
  <c r="AG417" i="4"/>
  <c r="AB417" i="4"/>
  <c r="AB464" i="4"/>
  <c r="AG464" i="4"/>
  <c r="AG305" i="4"/>
  <c r="AC305" i="4"/>
  <c r="AB305" i="4"/>
  <c r="AG282" i="4"/>
  <c r="AB282" i="4"/>
  <c r="AG400" i="4"/>
  <c r="AC400" i="4"/>
  <c r="AB400" i="4"/>
  <c r="AG136" i="4"/>
  <c r="AB136" i="4"/>
  <c r="AG269" i="4"/>
  <c r="AB269" i="4"/>
  <c r="M125" i="4"/>
  <c r="AC125" i="4" s="1"/>
  <c r="M466" i="4"/>
  <c r="AG64" i="4"/>
  <c r="AC64" i="4"/>
  <c r="AB64" i="4"/>
  <c r="M30" i="4"/>
  <c r="AC30" i="4" s="1"/>
  <c r="AG525" i="4"/>
  <c r="AB525" i="4"/>
  <c r="AG255" i="4"/>
  <c r="AB255" i="4"/>
  <c r="AG192" i="4"/>
  <c r="AC192" i="4"/>
  <c r="AB192" i="4"/>
  <c r="AG130" i="4"/>
  <c r="AB130" i="4"/>
  <c r="AG412" i="4"/>
  <c r="AB412" i="4"/>
  <c r="AG474" i="4"/>
  <c r="AB474" i="4"/>
  <c r="AG85" i="4"/>
  <c r="AB85" i="4"/>
  <c r="AG146" i="4"/>
  <c r="AC146" i="4"/>
  <c r="AB146" i="4"/>
  <c r="AG116" i="4"/>
  <c r="AB116" i="4"/>
  <c r="AG322" i="4"/>
  <c r="AC322" i="4"/>
  <c r="AB322" i="4"/>
  <c r="AG401" i="4"/>
  <c r="AB401" i="4"/>
  <c r="AG482" i="4"/>
  <c r="AB482" i="4"/>
  <c r="AB56" i="4"/>
  <c r="AG56" i="4"/>
  <c r="AC76" i="4"/>
  <c r="AG76" i="4"/>
  <c r="AB76" i="4"/>
  <c r="AG264" i="4"/>
  <c r="AB264" i="4"/>
  <c r="AG405" i="4"/>
  <c r="AB405" i="4"/>
  <c r="AG106" i="4"/>
  <c r="AC106" i="4"/>
  <c r="AB106" i="4"/>
  <c r="AG353" i="4"/>
  <c r="AB353" i="4"/>
  <c r="AG376" i="4"/>
  <c r="AB376" i="4"/>
  <c r="AG16" i="4"/>
  <c r="AC16" i="4"/>
  <c r="AB16" i="4"/>
  <c r="M55" i="4"/>
  <c r="AC55" i="4" s="1"/>
  <c r="AG203" i="4"/>
  <c r="AB203" i="4"/>
  <c r="AG341" i="4"/>
  <c r="AB341" i="4"/>
  <c r="AG363" i="4"/>
  <c r="AC363" i="4"/>
  <c r="AB363" i="4"/>
  <c r="AB379" i="4"/>
  <c r="AG379" i="4"/>
  <c r="AC379" i="4"/>
  <c r="AB523" i="4"/>
  <c r="AG523" i="4"/>
  <c r="AG257" i="4"/>
  <c r="AB257" i="4"/>
  <c r="AG289" i="4"/>
  <c r="AB289" i="4"/>
  <c r="AG502" i="4"/>
  <c r="AC502" i="4"/>
  <c r="AB502" i="4"/>
  <c r="M368" i="4"/>
  <c r="AG519" i="4"/>
  <c r="AC519" i="4"/>
  <c r="AB519" i="4"/>
  <c r="AB94" i="4"/>
  <c r="AG94" i="4"/>
  <c r="AG258" i="4"/>
  <c r="AB258" i="4"/>
  <c r="AG107" i="4"/>
  <c r="AB107" i="4"/>
  <c r="AB160" i="4"/>
  <c r="AG160" i="4"/>
  <c r="AG88" i="4"/>
  <c r="AB88" i="4"/>
  <c r="M98" i="4"/>
  <c r="M315" i="4"/>
  <c r="M462" i="4"/>
  <c r="AG473" i="4"/>
  <c r="AB473" i="4"/>
  <c r="AG285" i="4"/>
  <c r="AB285" i="4"/>
  <c r="AG323" i="4"/>
  <c r="AB323" i="4"/>
  <c r="AG320" i="4"/>
  <c r="AB320" i="4"/>
  <c r="AG185" i="4"/>
  <c r="AB185" i="4"/>
  <c r="AG403" i="4"/>
  <c r="AB403" i="4"/>
  <c r="AB494" i="4"/>
  <c r="AG494" i="4"/>
  <c r="AG137" i="4"/>
  <c r="AB137" i="4"/>
  <c r="AG326" i="4"/>
  <c r="AC326" i="4"/>
  <c r="AB326" i="4"/>
  <c r="M414" i="4"/>
  <c r="M251" i="4"/>
  <c r="AG239" i="4"/>
  <c r="AB239" i="4"/>
  <c r="AB478" i="4"/>
  <c r="AG478" i="4"/>
  <c r="AG43" i="4"/>
  <c r="AC43" i="4"/>
  <c r="AB43" i="4"/>
  <c r="AG223" i="4"/>
  <c r="AB223" i="4"/>
  <c r="AG220" i="4"/>
  <c r="AB220" i="4"/>
  <c r="AC220" i="4"/>
  <c r="AB340" i="4"/>
  <c r="AC340" i="4"/>
  <c r="AG340" i="4"/>
  <c r="AG518" i="4"/>
  <c r="AB518" i="4"/>
  <c r="AG95" i="4"/>
  <c r="AB95" i="4"/>
  <c r="AG193" i="4"/>
  <c r="AB193" i="4"/>
  <c r="AC271" i="4"/>
  <c r="AG271" i="4"/>
  <c r="AB271" i="4"/>
  <c r="AG20" i="4"/>
  <c r="AC20" i="4"/>
  <c r="AB20" i="4"/>
  <c r="AG385" i="4"/>
  <c r="AB385" i="4"/>
  <c r="AG308" i="4"/>
  <c r="AB308" i="4"/>
  <c r="AG493" i="4"/>
  <c r="AB493" i="4"/>
  <c r="AG475" i="4"/>
  <c r="AB475" i="4"/>
  <c r="AB52" i="4"/>
  <c r="AG52" i="4"/>
  <c r="AG469" i="4"/>
  <c r="AC469" i="4"/>
  <c r="AB469" i="4"/>
  <c r="AB149" i="4"/>
  <c r="AG149" i="4"/>
  <c r="M37" i="4"/>
  <c r="AC37" i="4" s="1"/>
  <c r="M310" i="4"/>
  <c r="AG310" i="4" s="1"/>
  <c r="M428" i="4"/>
  <c r="AG167" i="4"/>
  <c r="AB167" i="4"/>
  <c r="AG277" i="4"/>
  <c r="AC277" i="4"/>
  <c r="AB277" i="4"/>
  <c r="AG481" i="4"/>
  <c r="AC481" i="4"/>
  <c r="AB481" i="4"/>
  <c r="AG165" i="4"/>
  <c r="AB165" i="4"/>
  <c r="AG150" i="4"/>
  <c r="AC150" i="4"/>
  <c r="AB150" i="4"/>
  <c r="AG451" i="4"/>
  <c r="AB451" i="4"/>
  <c r="AG101" i="4"/>
  <c r="AB101" i="4"/>
  <c r="M442" i="4"/>
  <c r="AG204" i="4"/>
  <c r="AB204" i="4"/>
  <c r="AG22" i="4"/>
  <c r="AC22" i="4"/>
  <c r="AB22" i="4"/>
  <c r="AB46" i="4"/>
  <c r="AG46" i="4"/>
  <c r="AC155" i="4"/>
  <c r="AG425" i="4"/>
  <c r="AB425" i="4"/>
  <c r="AG120" i="4"/>
  <c r="AC120" i="4"/>
  <c r="AB120" i="4"/>
  <c r="AG307" i="4"/>
  <c r="AB307" i="4"/>
  <c r="AG113" i="4"/>
  <c r="AB113" i="4"/>
  <c r="AG319" i="4"/>
  <c r="AB319" i="4"/>
  <c r="M61" i="4"/>
  <c r="M313" i="4"/>
  <c r="AG413" i="4"/>
  <c r="AB413" i="4"/>
  <c r="M228" i="4"/>
  <c r="AC228" i="4" s="1"/>
  <c r="M477" i="4"/>
  <c r="AG528" i="4"/>
  <c r="AB528" i="4"/>
  <c r="AG186" i="4"/>
  <c r="AB186" i="4"/>
  <c r="AG328" i="4"/>
  <c r="AB328" i="4"/>
  <c r="AG511" i="4"/>
  <c r="AB511" i="4"/>
  <c r="AG284" i="4"/>
  <c r="AB284" i="4"/>
  <c r="AG495" i="4"/>
  <c r="AC495" i="4"/>
  <c r="AB495" i="4"/>
  <c r="AB394" i="4"/>
  <c r="AG394" i="4"/>
  <c r="M361" i="4"/>
  <c r="AG361" i="4" s="1"/>
  <c r="AB73" i="4"/>
  <c r="AG73" i="4"/>
  <c r="AG12" i="4"/>
  <c r="AB12" i="4"/>
  <c r="AC12" i="4"/>
  <c r="AG212" i="4"/>
  <c r="AB212" i="4"/>
  <c r="M245" i="4"/>
  <c r="AG243" i="4"/>
  <c r="AC243" i="4"/>
  <c r="AB243" i="4"/>
  <c r="AG447" i="4"/>
  <c r="AB447" i="4"/>
  <c r="M26" i="4"/>
  <c r="AG324" i="4"/>
  <c r="AC324" i="4"/>
  <c r="AB324" i="4"/>
  <c r="AG472" i="4"/>
  <c r="AC472" i="4"/>
  <c r="AB472" i="4"/>
  <c r="AG138" i="4"/>
  <c r="AB138" i="4"/>
  <c r="M268" i="4"/>
  <c r="AC268" i="4" s="1"/>
  <c r="M260" i="4"/>
  <c r="AB260" i="4" s="1"/>
  <c r="AG134" i="4"/>
  <c r="AC134" i="4"/>
  <c r="AB134" i="4"/>
  <c r="AC397" i="4"/>
  <c r="AB397" i="4"/>
  <c r="AG397" i="4"/>
  <c r="AG486" i="4"/>
  <c r="AC486" i="4"/>
  <c r="AB486" i="4"/>
  <c r="AG455" i="4"/>
  <c r="AC455" i="4"/>
  <c r="AB455" i="4"/>
  <c r="M402" i="4"/>
  <c r="AG205" i="4"/>
  <c r="AB205" i="4"/>
  <c r="AG234" i="4"/>
  <c r="AC234" i="4"/>
  <c r="AB234" i="4"/>
  <c r="AG408" i="4"/>
  <c r="AC408" i="4"/>
  <c r="AB408" i="4"/>
  <c r="AG316" i="4"/>
  <c r="AB316" i="4"/>
  <c r="AB382" i="4"/>
  <c r="AG382" i="4"/>
  <c r="M238" i="4"/>
  <c r="AG416" i="4"/>
  <c r="AB416" i="4"/>
  <c r="AG47" i="4"/>
  <c r="AB47" i="4"/>
  <c r="AG161" i="4"/>
  <c r="AB161" i="4"/>
  <c r="M180" i="4"/>
  <c r="M224" i="4"/>
  <c r="AG386" i="4"/>
  <c r="AB386" i="4"/>
  <c r="M460" i="4"/>
  <c r="AG196" i="4"/>
  <c r="AB196" i="4"/>
  <c r="M276" i="4"/>
  <c r="AG276" i="4" s="1"/>
  <c r="AC213" i="4"/>
  <c r="AG213" i="4"/>
  <c r="AG444" i="4"/>
  <c r="AB444" i="4"/>
  <c r="AG443" i="4"/>
  <c r="AB443" i="4"/>
  <c r="AG301" i="4"/>
  <c r="AB301" i="4"/>
  <c r="AB300" i="4"/>
  <c r="AG300" i="4"/>
  <c r="M230" i="4"/>
  <c r="AG230" i="4" s="1"/>
  <c r="M126" i="4"/>
  <c r="AC126" i="4" s="1"/>
  <c r="AG274" i="4"/>
  <c r="AB274" i="4"/>
  <c r="AG275" i="4"/>
  <c r="AB275" i="4"/>
  <c r="M23" i="4"/>
  <c r="AB23" i="4" s="1"/>
  <c r="AB334" i="4"/>
  <c r="AG334" i="4"/>
  <c r="AG333" i="4"/>
  <c r="AB333" i="4"/>
  <c r="M151" i="4"/>
  <c r="AC151" i="4" s="1"/>
  <c r="AG489" i="4"/>
  <c r="AB489" i="4"/>
  <c r="AG479" i="4"/>
  <c r="AC479" i="4"/>
  <c r="AB127" i="4"/>
  <c r="AG127" i="4"/>
  <c r="AG69" i="4"/>
  <c r="AC69" i="4"/>
  <c r="AB69" i="4"/>
  <c r="AG526" i="4"/>
  <c r="AB526" i="4"/>
  <c r="Q473" i="4"/>
  <c r="S473" i="4" s="1"/>
  <c r="AD473" i="4" s="1"/>
  <c r="M10" i="4"/>
  <c r="AG10" i="4" s="1"/>
  <c r="M93" i="4"/>
  <c r="AG93" i="4" s="1"/>
  <c r="AG155" i="4"/>
  <c r="AB155" i="4"/>
  <c r="AG154" i="4"/>
  <c r="AB154" i="4"/>
  <c r="AG54" i="4"/>
  <c r="AB54" i="4"/>
  <c r="AG216" i="4"/>
  <c r="AB216" i="4"/>
  <c r="AG159" i="4"/>
  <c r="AC159" i="4"/>
  <c r="AG19" i="4"/>
  <c r="AC19" i="4"/>
  <c r="AG28" i="4"/>
  <c r="AB28" i="4"/>
  <c r="AG360" i="4"/>
  <c r="AB360" i="4"/>
  <c r="AB359" i="4"/>
  <c r="AG359" i="4"/>
  <c r="M68" i="4"/>
  <c r="AB68" i="4" s="1"/>
  <c r="AG164" i="4"/>
  <c r="AC164" i="4"/>
  <c r="AB164" i="4"/>
  <c r="AC520" i="4"/>
  <c r="AG520" i="4"/>
  <c r="AC512" i="4"/>
  <c r="AB512" i="4"/>
  <c r="AG512" i="4"/>
  <c r="AG529" i="4"/>
  <c r="AB529" i="4"/>
  <c r="AG309" i="4"/>
  <c r="AC309" i="4"/>
  <c r="AB309" i="4"/>
  <c r="AG82" i="4"/>
  <c r="AB82" i="4"/>
  <c r="AG59" i="4"/>
  <c r="AC59" i="4"/>
  <c r="AG38" i="4"/>
  <c r="AC38" i="4"/>
  <c r="AB38" i="4"/>
  <c r="AC531" i="4"/>
  <c r="AG531" i="4"/>
  <c r="AG527" i="4"/>
  <c r="AC527" i="4"/>
  <c r="AB527" i="4"/>
  <c r="AG115" i="4"/>
  <c r="AC115" i="4"/>
  <c r="AG42" i="4"/>
  <c r="AC42" i="4"/>
  <c r="AB42" i="4"/>
  <c r="AB87" i="4"/>
  <c r="AG87" i="4"/>
  <c r="AG336" i="4"/>
  <c r="AC336" i="4"/>
  <c r="AB336" i="4"/>
  <c r="AG299" i="4"/>
  <c r="AC299" i="4"/>
  <c r="AG214" i="4"/>
  <c r="AB214" i="4"/>
  <c r="AB215" i="4"/>
  <c r="AG215" i="4"/>
  <c r="AC158" i="4"/>
  <c r="AG158" i="4"/>
  <c r="AG14" i="4"/>
  <c r="AC14" i="4"/>
  <c r="AB14" i="4"/>
  <c r="AG36" i="4"/>
  <c r="AB36" i="4"/>
  <c r="AB31" i="4"/>
  <c r="AG31" i="4"/>
  <c r="AC92" i="4"/>
  <c r="AG92" i="4"/>
  <c r="AC445" i="4"/>
  <c r="AB445" i="4"/>
  <c r="AG445" i="4"/>
  <c r="AG452" i="4"/>
  <c r="AC452" i="4"/>
  <c r="C499" i="4"/>
  <c r="AE499" i="4" s="1"/>
  <c r="AC280" i="4"/>
  <c r="AG280" i="4"/>
  <c r="AC246" i="4"/>
  <c r="AB246" i="4"/>
  <c r="AG246" i="4"/>
  <c r="AB293" i="4"/>
  <c r="AG293" i="4"/>
  <c r="AG229" i="4"/>
  <c r="AC229" i="4"/>
  <c r="AB229" i="4"/>
  <c r="L442" i="4"/>
  <c r="I488" i="4"/>
  <c r="AG124" i="4"/>
  <c r="AC124" i="4"/>
  <c r="AG157" i="4"/>
  <c r="AB157" i="4"/>
  <c r="AG378" i="4"/>
  <c r="AC378" i="4"/>
  <c r="AG396" i="4"/>
  <c r="AB396" i="4"/>
  <c r="AG362" i="4"/>
  <c r="AC362" i="4"/>
  <c r="AB362" i="4"/>
  <c r="F472" i="4"/>
  <c r="C483" i="4"/>
  <c r="AE483" i="4" s="1"/>
  <c r="AG330" i="4"/>
  <c r="AC330" i="4"/>
  <c r="AB330" i="4"/>
  <c r="AG355" i="4"/>
  <c r="AC355" i="4"/>
  <c r="Q525" i="4"/>
  <c r="S525" i="4" s="1"/>
  <c r="AD525" i="4" s="1"/>
  <c r="F527" i="4"/>
  <c r="N527" i="4" s="1"/>
  <c r="C531" i="4"/>
  <c r="AE531" i="4" s="1"/>
  <c r="AG266" i="4"/>
  <c r="AC266" i="4"/>
  <c r="C451" i="4"/>
  <c r="AE451" i="4" s="1"/>
  <c r="C515" i="4"/>
  <c r="Q523" i="4"/>
  <c r="S523" i="4" s="1"/>
  <c r="AD523" i="4" s="1"/>
  <c r="C467" i="4"/>
  <c r="AB182" i="4"/>
  <c r="AG182" i="4"/>
  <c r="AB117" i="4"/>
  <c r="AC117" i="4"/>
  <c r="AG117" i="4"/>
  <c r="AG181" i="4"/>
  <c r="AB181" i="4"/>
  <c r="Q475" i="4"/>
  <c r="S475" i="4" s="1"/>
  <c r="AD475" i="4" s="1"/>
  <c r="Q474" i="4"/>
  <c r="S474" i="4" s="1"/>
  <c r="AD474" i="4" s="1"/>
  <c r="F460" i="4"/>
  <c r="AG393" i="4"/>
  <c r="AC393" i="4"/>
  <c r="Q524" i="4"/>
  <c r="S524" i="4" s="1"/>
  <c r="F507" i="4"/>
  <c r="N507" i="4" s="1"/>
  <c r="C360" i="4"/>
  <c r="AE360" i="4" s="1"/>
  <c r="I335" i="4"/>
  <c r="I162" i="4"/>
  <c r="C192" i="4"/>
  <c r="Q224" i="4"/>
  <c r="S224" i="4" s="1"/>
  <c r="F11" i="4"/>
  <c r="N11" i="4" s="1"/>
  <c r="C17" i="4"/>
  <c r="AE17" i="4" s="1"/>
  <c r="I238" i="4"/>
  <c r="C273" i="4"/>
  <c r="AE273" i="4" s="1"/>
  <c r="F520" i="4"/>
  <c r="N520" i="4" s="1"/>
  <c r="C529" i="4"/>
  <c r="AE529" i="4" s="1"/>
  <c r="F98" i="4"/>
  <c r="C130" i="4"/>
  <c r="AE130" i="4" s="1"/>
  <c r="C402" i="4"/>
  <c r="Q412" i="4"/>
  <c r="S412" i="4" s="1"/>
  <c r="AD412" i="4" s="1"/>
  <c r="Q413" i="4"/>
  <c r="S413" i="4" s="1"/>
  <c r="AD413" i="4" s="1"/>
  <c r="I390" i="4"/>
  <c r="Q414" i="4"/>
  <c r="S414" i="4" s="1"/>
  <c r="F61" i="4"/>
  <c r="C83" i="4"/>
  <c r="AE83" i="4" s="1"/>
  <c r="I313" i="4"/>
  <c r="Q364" i="4"/>
  <c r="S364" i="4" s="1"/>
  <c r="AD364" i="4" s="1"/>
  <c r="C339" i="4"/>
  <c r="Q365" i="4"/>
  <c r="S365" i="4" s="1"/>
  <c r="I146" i="4"/>
  <c r="Q210" i="4"/>
  <c r="S210" i="4" s="1"/>
  <c r="AD210" i="4" s="1"/>
  <c r="Q211" i="4"/>
  <c r="S211" i="4" s="1"/>
  <c r="C180" i="4"/>
  <c r="C436" i="4"/>
  <c r="L426" i="4"/>
  <c r="Q443" i="4"/>
  <c r="S443" i="4" s="1"/>
  <c r="AD443" i="4" s="1"/>
  <c r="Q444" i="4"/>
  <c r="S444" i="4" s="1"/>
  <c r="AD444" i="4" s="1"/>
  <c r="Q445" i="4"/>
  <c r="S445" i="4" s="1"/>
  <c r="C149" i="4"/>
  <c r="AE149" i="4" s="1"/>
  <c r="F120" i="4"/>
  <c r="N120" i="4" s="1"/>
  <c r="L391" i="4"/>
  <c r="C405" i="4"/>
  <c r="AE405" i="4" s="1"/>
  <c r="F66" i="4"/>
  <c r="C88" i="4"/>
  <c r="AE88" i="4" s="1"/>
  <c r="C251" i="4"/>
  <c r="Q285" i="4"/>
  <c r="S285" i="4" s="1"/>
  <c r="AD285" i="4" s="1"/>
  <c r="Q286" i="4"/>
  <c r="S286" i="4" s="1"/>
  <c r="AD286" i="4" s="1"/>
  <c r="I219" i="4"/>
  <c r="Q468" i="4"/>
  <c r="S468" i="4" s="1"/>
  <c r="AD468" i="4" s="1"/>
  <c r="Q469" i="4"/>
  <c r="S469" i="4" s="1"/>
  <c r="C462" i="4"/>
  <c r="I458" i="4"/>
  <c r="I361" i="4"/>
  <c r="C376" i="4"/>
  <c r="AE376" i="4" s="1"/>
  <c r="L199" i="4"/>
  <c r="Q269" i="4"/>
  <c r="S269" i="4" s="1"/>
  <c r="AD269" i="4" s="1"/>
  <c r="C234" i="4"/>
  <c r="Q17" i="4"/>
  <c r="S17" i="4" s="1"/>
  <c r="AD17" i="4" s="1"/>
  <c r="C11" i="4"/>
  <c r="F3" i="4"/>
  <c r="C267" i="4"/>
  <c r="Q299" i="4"/>
  <c r="S299" i="4" s="1"/>
  <c r="AD299" i="4" s="1"/>
  <c r="Q300" i="4"/>
  <c r="S300" i="4" s="1"/>
  <c r="Q301" i="4"/>
  <c r="S301" i="4" s="1"/>
  <c r="I230" i="4"/>
  <c r="C523" i="4"/>
  <c r="AE523" i="4" s="1"/>
  <c r="F515" i="4"/>
  <c r="C220" i="4"/>
  <c r="Q254" i="4"/>
  <c r="S254" i="4" s="1"/>
  <c r="F189" i="4"/>
  <c r="Q503" i="4"/>
  <c r="S503" i="4" s="1"/>
  <c r="Q504" i="4"/>
  <c r="S504" i="4" s="1"/>
  <c r="F485" i="4"/>
  <c r="C492" i="4"/>
  <c r="C237" i="4"/>
  <c r="AE237" i="4" s="1"/>
  <c r="F202" i="4"/>
  <c r="C493" i="4"/>
  <c r="AE493" i="4" s="1"/>
  <c r="I485" i="4"/>
  <c r="Q257" i="4"/>
  <c r="S257" i="4" s="1"/>
  <c r="AD257" i="4" s="1"/>
  <c r="C222" i="4"/>
  <c r="F188" i="4"/>
  <c r="N188" i="4" s="1"/>
  <c r="Q256" i="4"/>
  <c r="S256" i="4" s="1"/>
  <c r="AD256" i="4" s="1"/>
  <c r="Q255" i="4"/>
  <c r="S255" i="4" s="1"/>
  <c r="AD255" i="4" s="1"/>
  <c r="F469" i="4"/>
  <c r="N469" i="4" s="1"/>
  <c r="C478" i="4"/>
  <c r="AE478" i="4" s="1"/>
  <c r="L202" i="4"/>
  <c r="C239" i="4"/>
  <c r="AE239" i="4" s="1"/>
  <c r="Q531" i="4"/>
  <c r="S531" i="4" s="1"/>
  <c r="AD531" i="4" s="1"/>
  <c r="F517" i="4"/>
  <c r="C527" i="4"/>
  <c r="Q241" i="4"/>
  <c r="S241" i="4" s="1"/>
  <c r="AD241" i="4" s="1"/>
  <c r="Q242" i="4"/>
  <c r="S242" i="4" s="1"/>
  <c r="Q240" i="4"/>
  <c r="S240" i="4" s="1"/>
  <c r="AD240" i="4" s="1"/>
  <c r="C208" i="4"/>
  <c r="L177" i="4"/>
  <c r="Q49" i="4"/>
  <c r="S49" i="4" s="1"/>
  <c r="Q48" i="4"/>
  <c r="S48" i="4" s="1"/>
  <c r="C33" i="4"/>
  <c r="I21" i="4"/>
  <c r="Q47" i="4"/>
  <c r="S47" i="4" s="1"/>
  <c r="AD47" i="4" s="1"/>
  <c r="F254" i="4"/>
  <c r="N254" i="4" s="1"/>
  <c r="C289" i="4"/>
  <c r="AE289" i="4" s="1"/>
  <c r="C434" i="4"/>
  <c r="AE434" i="4" s="1"/>
  <c r="F426" i="4"/>
  <c r="I114" i="4"/>
  <c r="Q179" i="4"/>
  <c r="S179" i="4" s="1"/>
  <c r="AD179" i="4" s="1"/>
  <c r="Q180" i="4"/>
  <c r="S180" i="4" s="1"/>
  <c r="C146" i="4"/>
  <c r="C466" i="4"/>
  <c r="I460" i="4"/>
  <c r="Q476" i="4"/>
  <c r="S476" i="4" s="1"/>
  <c r="AD476" i="4" s="1"/>
  <c r="Q477" i="4"/>
  <c r="S477" i="4" s="1"/>
  <c r="C99" i="4"/>
  <c r="AE99" i="4" s="1"/>
  <c r="F72" i="4"/>
  <c r="F330" i="4"/>
  <c r="N330" i="4" s="1"/>
  <c r="C355" i="4"/>
  <c r="AE355" i="4" s="1"/>
  <c r="C196" i="4"/>
  <c r="AE196" i="4" s="1"/>
  <c r="F163" i="4"/>
  <c r="C452" i="4"/>
  <c r="AE452" i="4" s="1"/>
  <c r="F445" i="4"/>
  <c r="C165" i="4"/>
  <c r="AE165" i="4" s="1"/>
  <c r="F131" i="4"/>
  <c r="Q433" i="4"/>
  <c r="S433" i="4" s="1"/>
  <c r="I410" i="4"/>
  <c r="C421" i="4"/>
  <c r="C423" i="4"/>
  <c r="AE423" i="4" s="1"/>
  <c r="I411" i="4"/>
  <c r="Q515" i="4"/>
  <c r="S515" i="4" s="1"/>
  <c r="C507" i="4"/>
  <c r="F497" i="4"/>
  <c r="N497" i="4" s="1"/>
  <c r="F504" i="4"/>
  <c r="N504" i="4" s="1"/>
  <c r="C511" i="4"/>
  <c r="AE511" i="4" s="1"/>
  <c r="C454" i="4"/>
  <c r="F446" i="4"/>
  <c r="Q460" i="4"/>
  <c r="S460" i="4" s="1"/>
  <c r="F91" i="4"/>
  <c r="C121" i="4"/>
  <c r="AE121" i="4" s="1"/>
  <c r="Q232" i="4"/>
  <c r="S232" i="4" s="1"/>
  <c r="AD232" i="4" s="1"/>
  <c r="C199" i="4"/>
  <c r="Q233" i="4"/>
  <c r="S233" i="4" s="1"/>
  <c r="AD233" i="4" s="1"/>
  <c r="Q234" i="4"/>
  <c r="S234" i="4" s="1"/>
  <c r="I166" i="4"/>
  <c r="C137" i="4"/>
  <c r="AE137" i="4" s="1"/>
  <c r="F104" i="4"/>
  <c r="F219" i="4"/>
  <c r="C250" i="4"/>
  <c r="AE250" i="4" s="1"/>
  <c r="C283" i="4"/>
  <c r="Q314" i="4"/>
  <c r="S314" i="4" s="1"/>
  <c r="AD314" i="4" s="1"/>
  <c r="Q315" i="4"/>
  <c r="S315" i="4" s="1"/>
  <c r="L249" i="4"/>
  <c r="C444" i="4"/>
  <c r="AE444" i="4" s="1"/>
  <c r="I436" i="4"/>
  <c r="I201" i="4"/>
  <c r="C236" i="4"/>
  <c r="Q270" i="4"/>
  <c r="S270" i="4" s="1"/>
  <c r="F500" i="4"/>
  <c r="Q516" i="4"/>
  <c r="S516" i="4" s="1"/>
  <c r="AD516" i="4" s="1"/>
  <c r="Q517" i="4"/>
  <c r="S517" i="4" s="1"/>
  <c r="C508" i="4"/>
  <c r="C253" i="4"/>
  <c r="Q288" i="4"/>
  <c r="S288" i="4" s="1"/>
  <c r="I221" i="4"/>
  <c r="Q287" i="4"/>
  <c r="S287" i="4" s="1"/>
  <c r="AD287" i="4" s="1"/>
  <c r="C509" i="4"/>
  <c r="AE509" i="4" s="1"/>
  <c r="I500" i="4"/>
  <c r="Q273" i="4"/>
  <c r="S273" i="4" s="1"/>
  <c r="AD273" i="4" s="1"/>
  <c r="Q272" i="4"/>
  <c r="S272" i="4" s="1"/>
  <c r="C238" i="4"/>
  <c r="I202" i="4"/>
  <c r="F487" i="4"/>
  <c r="C494" i="4"/>
  <c r="AE494" i="4" s="1"/>
  <c r="F222" i="4"/>
  <c r="C255" i="4"/>
  <c r="AE255" i="4" s="1"/>
  <c r="F329" i="4"/>
  <c r="C352" i="4"/>
  <c r="AE352" i="4" s="1"/>
  <c r="Q258" i="4"/>
  <c r="S258" i="4" s="1"/>
  <c r="AD258" i="4" s="1"/>
  <c r="Q259" i="4"/>
  <c r="S259" i="4" s="1"/>
  <c r="F192" i="4"/>
  <c r="N192" i="4" s="1"/>
  <c r="C224" i="4"/>
  <c r="Q67" i="4"/>
  <c r="S67" i="4" s="1"/>
  <c r="Q68" i="4"/>
  <c r="S68" i="4" s="1"/>
  <c r="C49" i="4"/>
  <c r="I33" i="4"/>
  <c r="Q330" i="4"/>
  <c r="S330" i="4" s="1"/>
  <c r="C305" i="4"/>
  <c r="F271" i="4"/>
  <c r="N271" i="4" s="1"/>
  <c r="C530" i="4"/>
  <c r="AE530" i="4" s="1"/>
  <c r="F524" i="4"/>
  <c r="N524" i="4" s="1"/>
  <c r="C162" i="4"/>
  <c r="L129" i="4"/>
  <c r="Q192" i="4"/>
  <c r="S192" i="4" s="1"/>
  <c r="Q191" i="4"/>
  <c r="S191" i="4" s="1"/>
  <c r="C482" i="4"/>
  <c r="AE482" i="4" s="1"/>
  <c r="F470" i="4"/>
  <c r="N470" i="4" s="1"/>
  <c r="F87" i="4"/>
  <c r="N87" i="4" s="1"/>
  <c r="C115" i="4"/>
  <c r="AE115" i="4" s="1"/>
  <c r="F354" i="4"/>
  <c r="C371" i="4"/>
  <c r="AE371" i="4" s="1"/>
  <c r="C212" i="4"/>
  <c r="AE212" i="4" s="1"/>
  <c r="F182" i="4"/>
  <c r="C468" i="4"/>
  <c r="AE468" i="4" s="1"/>
  <c r="F462" i="4"/>
  <c r="F148" i="4"/>
  <c r="C181" i="4"/>
  <c r="AE181" i="4" s="1"/>
  <c r="F428" i="4"/>
  <c r="C437" i="4"/>
  <c r="Q446" i="4"/>
  <c r="S446" i="4" s="1"/>
  <c r="Q447" i="4"/>
  <c r="S447" i="4" s="1"/>
  <c r="AD447" i="4" s="1"/>
  <c r="L78" i="4"/>
  <c r="C105" i="4"/>
  <c r="AE105" i="4" s="1"/>
  <c r="C204" i="4"/>
  <c r="AE204" i="4" s="1"/>
  <c r="F173" i="4"/>
  <c r="F190" i="4"/>
  <c r="N190" i="4" s="1"/>
  <c r="C223" i="4"/>
  <c r="AE223" i="4" s="1"/>
  <c r="C198" i="4"/>
  <c r="AE198" i="4" s="1"/>
  <c r="F166" i="4"/>
  <c r="C377" i="4"/>
  <c r="Q393" i="4"/>
  <c r="S393" i="4" s="1"/>
  <c r="AD393" i="4" s="1"/>
  <c r="Q394" i="4"/>
  <c r="S394" i="4" s="1"/>
  <c r="AD394" i="4" s="1"/>
  <c r="Q395" i="4"/>
  <c r="S395" i="4" s="1"/>
  <c r="L361" i="4"/>
  <c r="C214" i="4"/>
  <c r="AE214" i="4" s="1"/>
  <c r="F184" i="4"/>
  <c r="C470" i="4"/>
  <c r="Q482" i="4"/>
  <c r="S482" i="4" s="1"/>
  <c r="AD482" i="4" s="1"/>
  <c r="I461" i="4"/>
  <c r="I446" i="4"/>
  <c r="C455" i="4"/>
  <c r="Q459" i="4"/>
  <c r="S459" i="4" s="1"/>
  <c r="C120" i="4"/>
  <c r="I89" i="4"/>
  <c r="Q149" i="4"/>
  <c r="S149" i="4" s="1"/>
  <c r="AD149" i="4" s="1"/>
  <c r="C392" i="4"/>
  <c r="AE392" i="4" s="1"/>
  <c r="I373" i="4"/>
  <c r="F377" i="4"/>
  <c r="C393" i="4"/>
  <c r="AE393" i="4" s="1"/>
  <c r="F16" i="4"/>
  <c r="N16" i="4" s="1"/>
  <c r="C27" i="4"/>
  <c r="AE27" i="4" s="1"/>
  <c r="C230" i="4"/>
  <c r="F197" i="4"/>
  <c r="Q266" i="4"/>
  <c r="S266" i="4" s="1"/>
  <c r="AD266" i="4" s="1"/>
  <c r="Q267" i="4"/>
  <c r="S267" i="4" s="1"/>
  <c r="Q268" i="4"/>
  <c r="S268" i="4" s="1"/>
  <c r="C486" i="4"/>
  <c r="Q491" i="4"/>
  <c r="S491" i="4" s="1"/>
  <c r="AD491" i="4" s="1"/>
  <c r="I477" i="4"/>
  <c r="Q247" i="4"/>
  <c r="S247" i="4" s="1"/>
  <c r="AD247" i="4" s="1"/>
  <c r="C215" i="4"/>
  <c r="I184" i="4"/>
  <c r="Q481" i="4"/>
  <c r="S481" i="4" s="1"/>
  <c r="Q480" i="4"/>
  <c r="S480" i="4" s="1"/>
  <c r="AD480" i="4" s="1"/>
  <c r="C471" i="4"/>
  <c r="Q479" i="4"/>
  <c r="S479" i="4" s="1"/>
  <c r="F461" i="4"/>
  <c r="C136" i="4"/>
  <c r="AE136" i="4" s="1"/>
  <c r="F106" i="4"/>
  <c r="N106" i="4" s="1"/>
  <c r="Q417" i="4"/>
  <c r="S417" i="4" s="1"/>
  <c r="AD417" i="4" s="1"/>
  <c r="Q418" i="4"/>
  <c r="S418" i="4" s="1"/>
  <c r="C408" i="4"/>
  <c r="L395" i="4"/>
  <c r="C153" i="4"/>
  <c r="Q186" i="4"/>
  <c r="S186" i="4" s="1"/>
  <c r="AD186" i="4" s="1"/>
  <c r="Q187" i="4"/>
  <c r="S187" i="4" s="1"/>
  <c r="I123" i="4"/>
  <c r="Q419" i="4"/>
  <c r="S419" i="4" s="1"/>
  <c r="C409" i="4"/>
  <c r="F396" i="4"/>
  <c r="N396" i="4" s="1"/>
  <c r="Q18" i="4"/>
  <c r="S18" i="4" s="1"/>
  <c r="Q19" i="4"/>
  <c r="S19" i="4" s="1"/>
  <c r="I3" i="4"/>
  <c r="C10" i="4"/>
  <c r="F230" i="4"/>
  <c r="C266" i="4"/>
  <c r="AE266" i="4" s="1"/>
  <c r="F29" i="4"/>
  <c r="C43" i="4"/>
  <c r="Q62" i="4"/>
  <c r="S62" i="4" s="1"/>
  <c r="AD62" i="4" s="1"/>
  <c r="F267" i="4"/>
  <c r="C299" i="4"/>
  <c r="AE299" i="4" s="1"/>
  <c r="Q530" i="4"/>
  <c r="S530" i="4" s="1"/>
  <c r="AD530" i="4" s="1"/>
  <c r="L515" i="4"/>
  <c r="C524" i="4"/>
  <c r="C252" i="4"/>
  <c r="AE252" i="4" s="1"/>
  <c r="F221" i="4"/>
  <c r="C13" i="4"/>
  <c r="Q20" i="4"/>
  <c r="S20" i="4" s="1"/>
  <c r="Q21" i="4"/>
  <c r="S21" i="4" s="1"/>
  <c r="I7" i="4"/>
  <c r="C269" i="4"/>
  <c r="AE269" i="4" s="1"/>
  <c r="F234" i="4"/>
  <c r="N234" i="4" s="1"/>
  <c r="C525" i="4"/>
  <c r="AE525" i="4" s="1"/>
  <c r="I515" i="4"/>
  <c r="Q289" i="4"/>
  <c r="S289" i="4" s="1"/>
  <c r="AD289" i="4" s="1"/>
  <c r="C254" i="4"/>
  <c r="F220" i="4"/>
  <c r="N220" i="4" s="1"/>
  <c r="Q518" i="4"/>
  <c r="S518" i="4" s="1"/>
  <c r="AD518" i="4" s="1"/>
  <c r="Q519" i="4"/>
  <c r="S519" i="4" s="1"/>
  <c r="C510" i="4"/>
  <c r="F502" i="4"/>
  <c r="N502" i="4" s="1"/>
  <c r="C15" i="4"/>
  <c r="F9" i="4"/>
  <c r="N9" i="4" s="1"/>
  <c r="Q24" i="4"/>
  <c r="S24" i="4" s="1"/>
  <c r="AD24" i="4" s="1"/>
  <c r="Q25" i="4"/>
  <c r="S25" i="4" s="1"/>
  <c r="Q26" i="4"/>
  <c r="S26" i="4" s="1"/>
  <c r="Q305" i="4"/>
  <c r="S305" i="4" s="1"/>
  <c r="F235" i="4"/>
  <c r="N235" i="4" s="1"/>
  <c r="C271" i="4"/>
  <c r="L487" i="4"/>
  <c r="C496" i="4"/>
  <c r="Q505" i="4"/>
  <c r="S505" i="4" s="1"/>
  <c r="AD505" i="4" s="1"/>
  <c r="F208" i="4"/>
  <c r="C240" i="4"/>
  <c r="AE240" i="4" s="1"/>
  <c r="I45" i="4"/>
  <c r="Q90" i="4"/>
  <c r="S90" i="4" s="1"/>
  <c r="AD90" i="4" s="1"/>
  <c r="Q91" i="4"/>
  <c r="S91" i="4" s="1"/>
  <c r="C65" i="4"/>
  <c r="I294" i="4"/>
  <c r="C321" i="4"/>
  <c r="AE321" i="4" s="1"/>
  <c r="Q209" i="4"/>
  <c r="S209" i="4" s="1"/>
  <c r="C178" i="4"/>
  <c r="F144" i="4"/>
  <c r="N144" i="4" s="1"/>
  <c r="C498" i="4"/>
  <c r="AE498" i="4" s="1"/>
  <c r="F488" i="4"/>
  <c r="I98" i="4"/>
  <c r="Q165" i="4"/>
  <c r="S165" i="4" s="1"/>
  <c r="AD165" i="4" s="1"/>
  <c r="Q166" i="4"/>
  <c r="S166" i="4" s="1"/>
  <c r="C131" i="4"/>
  <c r="C387" i="4"/>
  <c r="AE387" i="4" s="1"/>
  <c r="F369" i="4"/>
  <c r="N369" i="4" s="1"/>
  <c r="C228" i="4"/>
  <c r="Q261" i="4"/>
  <c r="S261" i="4" s="1"/>
  <c r="AD261" i="4" s="1"/>
  <c r="Q262" i="4"/>
  <c r="S262" i="4" s="1"/>
  <c r="AD262" i="4" s="1"/>
  <c r="Q263" i="4"/>
  <c r="S263" i="4" s="1"/>
  <c r="AD263" i="4" s="1"/>
  <c r="F195" i="4"/>
  <c r="C484" i="4"/>
  <c r="Q490" i="4"/>
  <c r="S490" i="4" s="1"/>
  <c r="I472" i="4"/>
  <c r="Q230" i="4"/>
  <c r="S230" i="4" s="1"/>
  <c r="Q231" i="4"/>
  <c r="S231" i="4" s="1"/>
  <c r="I163" i="4"/>
  <c r="C197" i="4"/>
  <c r="C453" i="4"/>
  <c r="AE453" i="4" s="1"/>
  <c r="I445" i="4"/>
  <c r="C438" i="4"/>
  <c r="AE438" i="4" s="1"/>
  <c r="I428" i="4"/>
  <c r="F187" i="4"/>
  <c r="C218" i="4"/>
  <c r="AE218" i="4" s="1"/>
  <c r="I466" i="4"/>
  <c r="C477" i="4"/>
  <c r="Q485" i="4"/>
  <c r="S485" i="4" s="1"/>
  <c r="Q486" i="4"/>
  <c r="S486" i="4" s="1"/>
  <c r="I151" i="4"/>
  <c r="Q216" i="4"/>
  <c r="S216" i="4" s="1"/>
  <c r="AD216" i="4" s="1"/>
  <c r="C183" i="4"/>
  <c r="Q217" i="4"/>
  <c r="S217" i="4" s="1"/>
  <c r="I197" i="4"/>
  <c r="Q264" i="4"/>
  <c r="S264" i="4" s="1"/>
  <c r="AD264" i="4" s="1"/>
  <c r="C231" i="4"/>
  <c r="Q265" i="4"/>
  <c r="S265" i="4" s="1"/>
  <c r="F414" i="4"/>
  <c r="C424" i="4"/>
  <c r="AE424" i="4" s="1"/>
  <c r="L135" i="4"/>
  <c r="C169" i="4"/>
  <c r="Q200" i="4"/>
  <c r="S200" i="4" s="1"/>
  <c r="AD200" i="4" s="1"/>
  <c r="I414" i="4"/>
  <c r="C425" i="4"/>
  <c r="AE425" i="4" s="1"/>
  <c r="F15" i="4"/>
  <c r="N15" i="4" s="1"/>
  <c r="Q38" i="4"/>
  <c r="S38" i="4" s="1"/>
  <c r="Q39" i="4"/>
  <c r="S39" i="4" s="1"/>
  <c r="C26" i="4"/>
  <c r="I249" i="4"/>
  <c r="C282" i="4"/>
  <c r="AE282" i="4" s="1"/>
  <c r="Q340" i="4"/>
  <c r="S340" i="4" s="1"/>
  <c r="C315" i="4"/>
  <c r="Q341" i="4"/>
  <c r="S341" i="4" s="1"/>
  <c r="AD341" i="4" s="1"/>
  <c r="I283" i="4"/>
  <c r="Q296" i="4"/>
  <c r="S296" i="4" s="1"/>
  <c r="AD296" i="4" s="1"/>
  <c r="Q297" i="4"/>
  <c r="S297" i="4" s="1"/>
  <c r="AD297" i="4" s="1"/>
  <c r="Q298" i="4"/>
  <c r="S298" i="4" s="1"/>
  <c r="C268" i="4"/>
  <c r="L230" i="4"/>
  <c r="C285" i="4"/>
  <c r="AE285" i="4" s="1"/>
  <c r="F251" i="4"/>
  <c r="Q23" i="4"/>
  <c r="S23" i="4" s="1"/>
  <c r="C14" i="4"/>
  <c r="F6" i="4"/>
  <c r="N6" i="4" s="1"/>
  <c r="Q304" i="4"/>
  <c r="S304" i="4" s="1"/>
  <c r="C270" i="4"/>
  <c r="F236" i="4"/>
  <c r="N236" i="4" s="1"/>
  <c r="Q302" i="4"/>
  <c r="S302" i="4" s="1"/>
  <c r="AD302" i="4" s="1"/>
  <c r="Q303" i="4"/>
  <c r="S303" i="4" s="1"/>
  <c r="AD303" i="4" s="1"/>
  <c r="I517" i="4"/>
  <c r="C526" i="4"/>
  <c r="AE526" i="4" s="1"/>
  <c r="C31" i="4"/>
  <c r="F18" i="4"/>
  <c r="Q44" i="4"/>
  <c r="S44" i="4" s="1"/>
  <c r="AD44" i="4" s="1"/>
  <c r="C287" i="4"/>
  <c r="AE287" i="4" s="1"/>
  <c r="F253" i="4"/>
  <c r="I370" i="4"/>
  <c r="C386" i="4"/>
  <c r="AE386" i="4" s="1"/>
  <c r="I222" i="4"/>
  <c r="C256" i="4"/>
  <c r="AE256" i="4" s="1"/>
  <c r="F57" i="4"/>
  <c r="Q107" i="4"/>
  <c r="S107" i="4" s="1"/>
  <c r="AD107" i="4" s="1"/>
  <c r="Q108" i="4"/>
  <c r="S108" i="4" s="1"/>
  <c r="C81" i="4"/>
  <c r="F311" i="4"/>
  <c r="N311" i="4" s="1"/>
  <c r="Q363" i="4"/>
  <c r="S363" i="4" s="1"/>
  <c r="C337" i="4"/>
  <c r="I164" i="4"/>
  <c r="C194" i="4"/>
  <c r="AE194" i="4" s="1"/>
  <c r="C514" i="4"/>
  <c r="Q521" i="4"/>
  <c r="S521" i="4" s="1"/>
  <c r="AD521" i="4" s="1"/>
  <c r="Q522" i="4"/>
  <c r="S522" i="4" s="1"/>
  <c r="AD522" i="4" s="1"/>
  <c r="F506" i="4"/>
  <c r="N506" i="4" s="1"/>
  <c r="C147" i="4"/>
  <c r="AE147" i="4" s="1"/>
  <c r="F118" i="4"/>
  <c r="N118" i="4" s="1"/>
  <c r="F391" i="4"/>
  <c r="C403" i="4"/>
  <c r="AE403" i="4" s="1"/>
  <c r="C244" i="4"/>
  <c r="AE244" i="4" s="1"/>
  <c r="F211" i="4"/>
  <c r="C500" i="4"/>
  <c r="L488" i="4"/>
  <c r="Q508" i="4"/>
  <c r="S508" i="4" s="1"/>
  <c r="Q509" i="4"/>
  <c r="S509" i="4" s="1"/>
  <c r="AD509" i="4" s="1"/>
  <c r="Q246" i="4"/>
  <c r="S246" i="4" s="1"/>
  <c r="C213" i="4"/>
  <c r="I182" i="4"/>
  <c r="I462" i="4"/>
  <c r="C469" i="4"/>
  <c r="Q478" i="4"/>
  <c r="S478" i="4" s="1"/>
  <c r="AD478" i="4" s="1"/>
  <c r="C221" i="4"/>
  <c r="Q252" i="4"/>
  <c r="S252" i="4" s="1"/>
  <c r="AD252" i="4" s="1"/>
  <c r="Q253" i="4"/>
  <c r="S253" i="4" s="1"/>
  <c r="I189" i="4"/>
  <c r="C104" i="4"/>
  <c r="F78" i="4"/>
  <c r="Q137" i="4"/>
  <c r="S137" i="4" s="1"/>
  <c r="AD137" i="4" s="1"/>
  <c r="Q138" i="4"/>
  <c r="S138" i="4" s="1"/>
  <c r="AD138" i="4" s="1"/>
  <c r="C246" i="4"/>
  <c r="Q280" i="4"/>
  <c r="S280" i="4" s="1"/>
  <c r="AD280" i="4" s="1"/>
  <c r="F213" i="4"/>
  <c r="N213" i="4" s="1"/>
  <c r="F123" i="4"/>
  <c r="C152" i="4"/>
  <c r="AE152" i="4" s="1"/>
  <c r="F7" i="4"/>
  <c r="Q22" i="4"/>
  <c r="S22" i="4" s="1"/>
  <c r="C12" i="4"/>
  <c r="C518" i="4"/>
  <c r="AE518" i="4" s="1"/>
  <c r="F510" i="4"/>
  <c r="Q513" i="4"/>
  <c r="S513" i="4" s="1"/>
  <c r="AD513" i="4" s="1"/>
  <c r="C503" i="4"/>
  <c r="F492" i="4"/>
  <c r="Q512" i="4"/>
  <c r="S512" i="4" s="1"/>
  <c r="F432" i="4"/>
  <c r="N432" i="4" s="1"/>
  <c r="C440" i="4"/>
  <c r="AE440" i="4" s="1"/>
  <c r="C185" i="4"/>
  <c r="AE185" i="4" s="1"/>
  <c r="F150" i="4"/>
  <c r="N150" i="4" s="1"/>
  <c r="C441" i="4"/>
  <c r="AE441" i="4" s="1"/>
  <c r="F433" i="4"/>
  <c r="Q324" i="4"/>
  <c r="S324" i="4" s="1"/>
  <c r="L268" i="4"/>
  <c r="C298" i="4"/>
  <c r="C75" i="4"/>
  <c r="AE75" i="4" s="1"/>
  <c r="F55" i="4"/>
  <c r="F306" i="4"/>
  <c r="Q356" i="4"/>
  <c r="S356" i="4" s="1"/>
  <c r="AD356" i="4" s="1"/>
  <c r="C331" i="4"/>
  <c r="Q357" i="4"/>
  <c r="S357" i="4" s="1"/>
  <c r="Q358" i="4"/>
  <c r="S358" i="4" s="1"/>
  <c r="AD358" i="4" s="1"/>
  <c r="F19" i="4"/>
  <c r="C28" i="4"/>
  <c r="AE28" i="4" s="1"/>
  <c r="C284" i="4"/>
  <c r="AE284" i="4" s="1"/>
  <c r="F248" i="4"/>
  <c r="N248" i="4" s="1"/>
  <c r="Q65" i="4"/>
  <c r="S65" i="4" s="1"/>
  <c r="Q66" i="4"/>
  <c r="S66" i="4" s="1"/>
  <c r="C45" i="4"/>
  <c r="F30" i="4"/>
  <c r="C301" i="4"/>
  <c r="Q325" i="4"/>
  <c r="S325" i="4" s="1"/>
  <c r="Q326" i="4"/>
  <c r="S326" i="4" s="1"/>
  <c r="L267" i="4"/>
  <c r="I18" i="4"/>
  <c r="C30" i="4"/>
  <c r="Q45" i="4"/>
  <c r="S45" i="4" s="1"/>
  <c r="Q46" i="4"/>
  <c r="S46" i="4" s="1"/>
  <c r="AD46" i="4" s="1"/>
  <c r="C286" i="4"/>
  <c r="AE286" i="4" s="1"/>
  <c r="Q316" i="4"/>
  <c r="S316" i="4" s="1"/>
  <c r="AD316" i="4" s="1"/>
  <c r="I251" i="4"/>
  <c r="F404" i="4"/>
  <c r="Q427" i="4"/>
  <c r="S427" i="4" s="1"/>
  <c r="AD427" i="4" s="1"/>
  <c r="Q428" i="4"/>
  <c r="S428" i="4" s="1"/>
  <c r="Q429" i="4"/>
  <c r="S429" i="4" s="1"/>
  <c r="AD429" i="4" s="1"/>
  <c r="C415" i="4"/>
  <c r="C47" i="4"/>
  <c r="AE47" i="4" s="1"/>
  <c r="L33" i="4"/>
  <c r="I270" i="4"/>
  <c r="C303" i="4"/>
  <c r="AE303" i="4" s="1"/>
  <c r="C16" i="4"/>
  <c r="Q27" i="4"/>
  <c r="S27" i="4" s="1"/>
  <c r="AD27" i="4" s="1"/>
  <c r="F8" i="4"/>
  <c r="N8" i="4" s="1"/>
  <c r="C288" i="4"/>
  <c r="Q317" i="4"/>
  <c r="S317" i="4" s="1"/>
  <c r="AD317" i="4" s="1"/>
  <c r="Q318" i="4"/>
  <c r="S318" i="4" s="1"/>
  <c r="AD318" i="4" s="1"/>
  <c r="I253" i="4"/>
  <c r="C97" i="4"/>
  <c r="AE97" i="4" s="1"/>
  <c r="F70" i="4"/>
  <c r="I329" i="4"/>
  <c r="C353" i="4"/>
  <c r="AE353" i="4" s="1"/>
  <c r="F180" i="4"/>
  <c r="C210" i="4"/>
  <c r="AE210" i="4" s="1"/>
  <c r="Q196" i="4"/>
  <c r="S196" i="4" s="1"/>
  <c r="AD196" i="4" s="1"/>
  <c r="Q197" i="4"/>
  <c r="S197" i="4" s="1"/>
  <c r="F128" i="4"/>
  <c r="C163" i="4"/>
  <c r="F409" i="4"/>
  <c r="N409" i="4" s="1"/>
  <c r="Q432" i="4"/>
  <c r="S432" i="4" s="1"/>
  <c r="C419" i="4"/>
  <c r="C4" i="4"/>
  <c r="F2" i="4"/>
  <c r="Q8" i="4"/>
  <c r="S8" i="4" s="1"/>
  <c r="Q9" i="4"/>
  <c r="S9" i="4" s="1"/>
  <c r="C260" i="4"/>
  <c r="Q293" i="4"/>
  <c r="S293" i="4" s="1"/>
  <c r="AD293" i="4" s="1"/>
  <c r="Q294" i="4"/>
  <c r="S294" i="4" s="1"/>
  <c r="F229" i="4"/>
  <c r="N229" i="4" s="1"/>
  <c r="C516" i="4"/>
  <c r="AE516" i="4" s="1"/>
  <c r="I508" i="4"/>
  <c r="Q260" i="4"/>
  <c r="S260" i="4" s="1"/>
  <c r="I195" i="4"/>
  <c r="C229" i="4"/>
  <c r="C485" i="4"/>
  <c r="Q492" i="4"/>
  <c r="S492" i="4" s="1"/>
  <c r="Q493" i="4"/>
  <c r="S493" i="4" s="1"/>
  <c r="AD493" i="4" s="1"/>
  <c r="F477" i="4"/>
  <c r="C182" i="4"/>
  <c r="Q212" i="4"/>
  <c r="S212" i="4" s="1"/>
  <c r="AD212" i="4" s="1"/>
  <c r="Q213" i="4"/>
  <c r="S213" i="4" s="1"/>
  <c r="I148" i="4"/>
  <c r="C361" i="4"/>
  <c r="Q375" i="4"/>
  <c r="S375" i="4" s="1"/>
  <c r="AD375" i="4" s="1"/>
  <c r="Q376" i="4"/>
  <c r="S376" i="4" s="1"/>
  <c r="AD376" i="4" s="1"/>
  <c r="Q377" i="4"/>
  <c r="S377" i="4" s="1"/>
  <c r="L335" i="4"/>
  <c r="F466" i="4"/>
  <c r="C476" i="4"/>
  <c r="AE476" i="4" s="1"/>
  <c r="C439" i="4"/>
  <c r="Q448" i="4"/>
  <c r="S448" i="4" s="1"/>
  <c r="F431" i="4"/>
  <c r="N431" i="4" s="1"/>
  <c r="Q496" i="4"/>
  <c r="S496" i="4" s="1"/>
  <c r="C487" i="4"/>
  <c r="F481" i="4"/>
  <c r="N481" i="4" s="1"/>
  <c r="Q494" i="4"/>
  <c r="S494" i="4" s="1"/>
  <c r="AD494" i="4" s="1"/>
  <c r="Q495" i="4"/>
  <c r="S495" i="4" s="1"/>
  <c r="C29" i="4"/>
  <c r="I19" i="4"/>
  <c r="Q42" i="4"/>
  <c r="S42" i="4" s="1"/>
  <c r="Q43" i="4"/>
  <c r="S43" i="4" s="1"/>
  <c r="C262" i="4"/>
  <c r="AE262" i="4" s="1"/>
  <c r="F215" i="4"/>
  <c r="N215" i="4" s="1"/>
  <c r="C247" i="4"/>
  <c r="AE247" i="4" s="1"/>
  <c r="I29" i="4"/>
  <c r="Q64" i="4"/>
  <c r="S64" i="4" s="1"/>
  <c r="C42" i="4"/>
  <c r="Q63" i="4"/>
  <c r="S63" i="4" s="1"/>
  <c r="C22" i="4"/>
  <c r="Q35" i="4"/>
  <c r="S35" i="4" s="1"/>
  <c r="F12" i="4"/>
  <c r="N12" i="4" s="1"/>
  <c r="C278" i="4"/>
  <c r="AE278" i="4" s="1"/>
  <c r="F245" i="4"/>
  <c r="I5" i="4"/>
  <c r="N5" i="4" s="1"/>
  <c r="C7" i="4"/>
  <c r="Q12" i="4"/>
  <c r="S12" i="4" s="1"/>
  <c r="Q13" i="4"/>
  <c r="S13" i="4" s="1"/>
  <c r="I228" i="4"/>
  <c r="C263" i="4"/>
  <c r="AE263" i="4" s="1"/>
  <c r="I510" i="4"/>
  <c r="C519" i="4"/>
  <c r="Q528" i="4"/>
  <c r="S528" i="4" s="1"/>
  <c r="AD528" i="4" s="1"/>
  <c r="Q214" i="4"/>
  <c r="S214" i="4" s="1"/>
  <c r="AD214" i="4" s="1"/>
  <c r="F151" i="4"/>
  <c r="Q215" i="4"/>
  <c r="S215" i="4" s="1"/>
  <c r="C184" i="4"/>
  <c r="Q483" i="4"/>
  <c r="S483" i="4" s="1"/>
  <c r="AD483" i="4" s="1"/>
  <c r="Q484" i="4"/>
  <c r="S484" i="4" s="1"/>
  <c r="C472" i="4"/>
  <c r="F465" i="4"/>
  <c r="N465" i="4" s="1"/>
  <c r="C201" i="4"/>
  <c r="F172" i="4"/>
  <c r="N172" i="4" s="1"/>
  <c r="Q235" i="4"/>
  <c r="S235" i="4" s="1"/>
  <c r="Q236" i="4"/>
  <c r="S236" i="4" s="1"/>
  <c r="I450" i="4"/>
  <c r="C457" i="4"/>
  <c r="Q464" i="4"/>
  <c r="S464" i="4" s="1"/>
  <c r="AD464" i="4" s="1"/>
  <c r="Q463" i="4"/>
  <c r="S463" i="4" s="1"/>
  <c r="AD463" i="4" s="1"/>
  <c r="F39" i="4"/>
  <c r="N39" i="4" s="1"/>
  <c r="Q77" i="4"/>
  <c r="S77" i="4" s="1"/>
  <c r="AD77" i="4" s="1"/>
  <c r="Q78" i="4"/>
  <c r="S78" i="4" s="1"/>
  <c r="C58" i="4"/>
  <c r="F283" i="4"/>
  <c r="C314" i="4"/>
  <c r="AE314" i="4" s="1"/>
  <c r="C91" i="4"/>
  <c r="Q121" i="4"/>
  <c r="S121" i="4" s="1"/>
  <c r="AD121" i="4" s="1"/>
  <c r="Q122" i="4"/>
  <c r="S122" i="4" s="1"/>
  <c r="AD122" i="4" s="1"/>
  <c r="Q123" i="4"/>
  <c r="S123" i="4" s="1"/>
  <c r="I65" i="4"/>
  <c r="C347" i="4"/>
  <c r="AE347" i="4" s="1"/>
  <c r="I325" i="4"/>
  <c r="F31" i="4"/>
  <c r="N31" i="4" s="1"/>
  <c r="C44" i="4"/>
  <c r="AE44" i="4" s="1"/>
  <c r="Q327" i="4"/>
  <c r="S327" i="4" s="1"/>
  <c r="C300" i="4"/>
  <c r="I267" i="4"/>
  <c r="Q83" i="4"/>
  <c r="S83" i="4" s="1"/>
  <c r="AD83" i="4" s="1"/>
  <c r="C61" i="4"/>
  <c r="I41" i="4"/>
  <c r="Q84" i="4"/>
  <c r="S84" i="4" s="1"/>
  <c r="C317" i="4"/>
  <c r="AE317" i="4" s="1"/>
  <c r="F288" i="4"/>
  <c r="I30" i="4"/>
  <c r="C46" i="4"/>
  <c r="AE46" i="4" s="1"/>
  <c r="F270" i="4"/>
  <c r="C302" i="4"/>
  <c r="AE302" i="4" s="1"/>
  <c r="I487" i="4"/>
  <c r="Q506" i="4"/>
  <c r="S506" i="4" s="1"/>
  <c r="C495" i="4"/>
  <c r="C63" i="4"/>
  <c r="Q86" i="4"/>
  <c r="S86" i="4" s="1"/>
  <c r="Q87" i="4"/>
  <c r="S87" i="4" s="1"/>
  <c r="I42" i="4"/>
  <c r="F292" i="4"/>
  <c r="N292" i="4" s="1"/>
  <c r="C319" i="4"/>
  <c r="AE319" i="4" s="1"/>
  <c r="Q50" i="4"/>
  <c r="S50" i="4" s="1"/>
  <c r="C32" i="4"/>
  <c r="F21" i="4"/>
  <c r="L270" i="4"/>
  <c r="C304" i="4"/>
  <c r="Q328" i="4"/>
  <c r="S328" i="4" s="1"/>
  <c r="AD328" i="4" s="1"/>
  <c r="Q329" i="4"/>
  <c r="S329" i="4" s="1"/>
  <c r="F84" i="4"/>
  <c r="C113" i="4"/>
  <c r="AE113" i="4" s="1"/>
  <c r="Q387" i="4"/>
  <c r="S387" i="4" s="1"/>
  <c r="AD387" i="4" s="1"/>
  <c r="F350" i="4"/>
  <c r="C369" i="4"/>
  <c r="C226" i="4"/>
  <c r="AE226" i="4" s="1"/>
  <c r="I191" i="4"/>
  <c r="F146" i="4"/>
  <c r="C179" i="4"/>
  <c r="AE179" i="4" s="1"/>
  <c r="I426" i="4"/>
  <c r="C435" i="4"/>
  <c r="AE435" i="4" s="1"/>
  <c r="F13" i="4"/>
  <c r="Q34" i="4"/>
  <c r="S34" i="4" s="1"/>
  <c r="C20" i="4"/>
  <c r="L242" i="4"/>
  <c r="C276" i="4"/>
  <c r="Q308" i="4"/>
  <c r="S308" i="4" s="1"/>
  <c r="AD308" i="4" s="1"/>
  <c r="Q309" i="4"/>
  <c r="S309" i="4" s="1"/>
  <c r="Q310" i="4"/>
  <c r="S310" i="4" s="1"/>
  <c r="Q3" i="4"/>
  <c r="S3" i="4" s="1"/>
  <c r="Q4" i="4"/>
  <c r="S4" i="4" s="1"/>
  <c r="Q5" i="4"/>
  <c r="S5" i="4" s="1"/>
  <c r="C2" i="4"/>
  <c r="Q278" i="4"/>
  <c r="S278" i="4" s="1"/>
  <c r="AD278" i="4" s="1"/>
  <c r="Q279" i="4"/>
  <c r="S279" i="4" s="1"/>
  <c r="I211" i="4"/>
  <c r="C245" i="4"/>
  <c r="C501" i="4"/>
  <c r="AE501" i="4" s="1"/>
  <c r="F490" i="4"/>
  <c r="I135" i="4"/>
  <c r="C167" i="4"/>
  <c r="AE167" i="4" s="1"/>
  <c r="I514" i="4"/>
  <c r="C522" i="4"/>
  <c r="AE522" i="4" s="1"/>
  <c r="L228" i="4"/>
  <c r="C206" i="4"/>
  <c r="AE206" i="4" s="1"/>
  <c r="F177" i="4"/>
  <c r="C502" i="4"/>
  <c r="I490" i="4"/>
  <c r="Q510" i="4"/>
  <c r="S510" i="4" s="1"/>
  <c r="Q82" i="4"/>
  <c r="S82" i="4" s="1"/>
  <c r="C59" i="4"/>
  <c r="F38" i="4"/>
  <c r="N38" i="4" s="1"/>
  <c r="C168" i="4"/>
  <c r="AE168" i="4" s="1"/>
  <c r="F135" i="4"/>
  <c r="C38" i="4"/>
  <c r="I26" i="4"/>
  <c r="Q59" i="4"/>
  <c r="S59" i="4" s="1"/>
  <c r="Q321" i="4"/>
  <c r="S321" i="4" s="1"/>
  <c r="AD321" i="4" s="1"/>
  <c r="C294" i="4"/>
  <c r="Q322" i="4"/>
  <c r="S322" i="4" s="1"/>
  <c r="Q320" i="4"/>
  <c r="S320" i="4" s="1"/>
  <c r="AD320" i="4" s="1"/>
  <c r="I260" i="4"/>
  <c r="F14" i="4"/>
  <c r="N14" i="4" s="1"/>
  <c r="Q36" i="4"/>
  <c r="S36" i="4" s="1"/>
  <c r="AD36" i="4" s="1"/>
  <c r="Q37" i="4"/>
  <c r="S37" i="4" s="1"/>
  <c r="C23" i="4"/>
  <c r="I245" i="4"/>
  <c r="Q312" i="4"/>
  <c r="S312" i="4" s="1"/>
  <c r="AD312" i="4" s="1"/>
  <c r="C279" i="4"/>
  <c r="Q313" i="4"/>
  <c r="S313" i="4" s="1"/>
  <c r="F326" i="4"/>
  <c r="N326" i="4" s="1"/>
  <c r="C344" i="4"/>
  <c r="AE344" i="4" s="1"/>
  <c r="F169" i="4"/>
  <c r="N169" i="4" s="1"/>
  <c r="C200" i="4"/>
  <c r="AE200" i="4" s="1"/>
  <c r="Q498" i="4"/>
  <c r="S498" i="4" s="1"/>
  <c r="AD498" i="4" s="1"/>
  <c r="Q499" i="4"/>
  <c r="S499" i="4" s="1"/>
  <c r="AD499" i="4" s="1"/>
  <c r="Q500" i="4"/>
  <c r="S500" i="4" s="1"/>
  <c r="C488" i="4"/>
  <c r="I479" i="4"/>
  <c r="C217" i="4"/>
  <c r="Q248" i="4"/>
  <c r="S248" i="4" s="1"/>
  <c r="Q249" i="4"/>
  <c r="S249" i="4" s="1"/>
  <c r="C473" i="4"/>
  <c r="AE473" i="4" s="1"/>
  <c r="F467" i="4"/>
  <c r="Q101" i="4"/>
  <c r="S101" i="4" s="1"/>
  <c r="AD101" i="4" s="1"/>
  <c r="Q102" i="4"/>
  <c r="S102" i="4" s="1"/>
  <c r="I53" i="4"/>
  <c r="C74" i="4"/>
  <c r="Q355" i="4"/>
  <c r="S355" i="4" s="1"/>
  <c r="AD355" i="4" s="1"/>
  <c r="F305" i="4"/>
  <c r="N305" i="4" s="1"/>
  <c r="C330" i="4"/>
  <c r="C107" i="4"/>
  <c r="AE107" i="4" s="1"/>
  <c r="I81" i="4"/>
  <c r="C363" i="4"/>
  <c r="Q379" i="4"/>
  <c r="S379" i="4" s="1"/>
  <c r="F337" i="4"/>
  <c r="N337" i="4" s="1"/>
  <c r="F41" i="4"/>
  <c r="C60" i="4"/>
  <c r="AE60" i="4" s="1"/>
  <c r="C316" i="4"/>
  <c r="AE316" i="4" s="1"/>
  <c r="C77" i="4"/>
  <c r="AE77" i="4" s="1"/>
  <c r="I58" i="4"/>
  <c r="C333" i="4"/>
  <c r="AE333" i="4" s="1"/>
  <c r="F310" i="4"/>
  <c r="F43" i="4"/>
  <c r="N43" i="4" s="1"/>
  <c r="C62" i="4"/>
  <c r="AE62" i="4" s="1"/>
  <c r="I288" i="4"/>
  <c r="C318" i="4"/>
  <c r="AE318" i="4" s="1"/>
  <c r="Q306" i="4"/>
  <c r="S306" i="4" s="1"/>
  <c r="Q307" i="4"/>
  <c r="S307" i="4" s="1"/>
  <c r="AD307" i="4" s="1"/>
  <c r="C272" i="4"/>
  <c r="F238" i="4"/>
  <c r="C79" i="4"/>
  <c r="AE79" i="4" s="1"/>
  <c r="L57" i="4"/>
  <c r="Q359" i="4"/>
  <c r="S359" i="4" s="1"/>
  <c r="AD359" i="4" s="1"/>
  <c r="Q360" i="4"/>
  <c r="S360" i="4" s="1"/>
  <c r="AD360" i="4" s="1"/>
  <c r="Q361" i="4"/>
  <c r="S361" i="4" s="1"/>
  <c r="L310" i="4"/>
  <c r="C335" i="4"/>
  <c r="Q69" i="4"/>
  <c r="S69" i="4" s="1"/>
  <c r="C48" i="4"/>
  <c r="F33" i="4"/>
  <c r="F294" i="4"/>
  <c r="C320" i="4"/>
  <c r="AE320" i="4" s="1"/>
  <c r="Q161" i="4"/>
  <c r="S161" i="4" s="1"/>
  <c r="AD161" i="4" s="1"/>
  <c r="Q162" i="4"/>
  <c r="S162" i="4" s="1"/>
  <c r="L96" i="4"/>
  <c r="C129" i="4"/>
  <c r="Q160" i="4"/>
  <c r="S160" i="4" s="1"/>
  <c r="AD160" i="4" s="1"/>
  <c r="F370" i="4"/>
  <c r="C385" i="4"/>
  <c r="AE385" i="4" s="1"/>
  <c r="L208" i="4"/>
  <c r="Q274" i="4"/>
  <c r="S274" i="4" s="1"/>
  <c r="AD274" i="4" s="1"/>
  <c r="Q275" i="4"/>
  <c r="S275" i="4" s="1"/>
  <c r="AD275" i="4" s="1"/>
  <c r="Q276" i="4"/>
  <c r="S276" i="4" s="1"/>
  <c r="C242" i="4"/>
  <c r="Q228" i="4"/>
  <c r="S228" i="4" s="1"/>
  <c r="Q229" i="4"/>
  <c r="S229" i="4" s="1"/>
  <c r="C195" i="4"/>
  <c r="L164" i="4"/>
  <c r="F23" i="4"/>
  <c r="C36" i="4"/>
  <c r="AE36" i="4" s="1"/>
  <c r="C292" i="4"/>
  <c r="L259" i="4"/>
  <c r="Q319" i="4"/>
  <c r="S319" i="4" s="1"/>
  <c r="AD319" i="4" s="1"/>
  <c r="Q6" i="4"/>
  <c r="S6" i="4" s="1"/>
  <c r="Q7" i="4"/>
  <c r="S7" i="4" s="1"/>
  <c r="C5" i="4"/>
  <c r="L2" i="4"/>
  <c r="F228" i="4"/>
  <c r="C261" i="4"/>
  <c r="AE261" i="4" s="1"/>
  <c r="F508" i="4"/>
  <c r="C517" i="4"/>
  <c r="Q526" i="4"/>
  <c r="S526" i="4" s="1"/>
  <c r="AD526" i="4" s="1"/>
  <c r="Q527" i="4"/>
  <c r="S527" i="4" s="1"/>
  <c r="F65" i="4"/>
  <c r="C90" i="4"/>
  <c r="AE90" i="4" s="1"/>
  <c r="I306" i="4"/>
  <c r="C332" i="4"/>
  <c r="AE332" i="4" s="1"/>
  <c r="C334" i="4"/>
  <c r="AE334" i="4" s="1"/>
  <c r="I310" i="4"/>
  <c r="I368" i="4"/>
  <c r="C384" i="4"/>
  <c r="AE384" i="4" s="1"/>
  <c r="C95" i="4"/>
  <c r="AE95" i="4" s="1"/>
  <c r="I67" i="4"/>
  <c r="I327" i="4"/>
  <c r="Q368" i="4"/>
  <c r="S368" i="4" s="1"/>
  <c r="C351" i="4"/>
  <c r="Q85" i="4"/>
  <c r="S85" i="4" s="1"/>
  <c r="AD85" i="4" s="1"/>
  <c r="C64" i="4"/>
  <c r="F42" i="4"/>
  <c r="F390" i="4"/>
  <c r="C401" i="4"/>
  <c r="AE401" i="4" s="1"/>
  <c r="Q244" i="4"/>
  <c r="S244" i="4" s="1"/>
  <c r="AD244" i="4" s="1"/>
  <c r="Q245" i="4"/>
  <c r="S245" i="4" s="1"/>
  <c r="I180" i="4"/>
  <c r="C211" i="4"/>
  <c r="C52" i="4"/>
  <c r="AE52" i="4" s="1"/>
  <c r="F35" i="4"/>
  <c r="F276" i="4"/>
  <c r="C308" i="4"/>
  <c r="AE308" i="4" s="1"/>
  <c r="Q33" i="4"/>
  <c r="S33" i="4" s="1"/>
  <c r="I13" i="4"/>
  <c r="C21" i="4"/>
  <c r="Q32" i="4"/>
  <c r="S32" i="4" s="1"/>
  <c r="Q311" i="4"/>
  <c r="S311" i="4" s="1"/>
  <c r="C277" i="4"/>
  <c r="F243" i="4"/>
  <c r="N243" i="4" s="1"/>
  <c r="Q529" i="4"/>
  <c r="S529" i="4" s="1"/>
  <c r="AD529" i="4" s="1"/>
  <c r="F512" i="4"/>
  <c r="N512" i="4" s="1"/>
  <c r="C520" i="4"/>
  <c r="F363" i="4"/>
  <c r="N363" i="4" s="1"/>
  <c r="C379" i="4"/>
  <c r="Q397" i="4"/>
  <c r="S397" i="4" s="1"/>
  <c r="C336" i="4"/>
  <c r="F309" i="4"/>
  <c r="N309" i="4" s="1"/>
  <c r="Q362" i="4"/>
  <c r="S362" i="4" s="1"/>
  <c r="I37" i="4"/>
  <c r="C55" i="4"/>
  <c r="Q75" i="4"/>
  <c r="S75" i="4" s="1"/>
  <c r="AD75" i="4" s="1"/>
  <c r="Q76" i="4"/>
  <c r="S76" i="4" s="1"/>
  <c r="F199" i="4"/>
  <c r="C232" i="4"/>
  <c r="AE232" i="4" s="1"/>
  <c r="I217" i="4"/>
  <c r="C249" i="4"/>
  <c r="Q281" i="4"/>
  <c r="S281" i="4" s="1"/>
  <c r="AD281" i="4" s="1"/>
  <c r="Q282" i="4"/>
  <c r="S282" i="4" s="1"/>
  <c r="AD282" i="4" s="1"/>
  <c r="Q283" i="4"/>
  <c r="S283" i="4" s="1"/>
  <c r="F336" i="4"/>
  <c r="N336" i="4" s="1"/>
  <c r="Q378" i="4"/>
  <c r="S378" i="4" s="1"/>
  <c r="C362" i="4"/>
  <c r="C395" i="4"/>
  <c r="Q406" i="4"/>
  <c r="S406" i="4" s="1"/>
  <c r="AD406" i="4" s="1"/>
  <c r="Q407" i="4"/>
  <c r="S407" i="4" s="1"/>
  <c r="AD407" i="4" s="1"/>
  <c r="Q408" i="4"/>
  <c r="S408" i="4" s="1"/>
  <c r="L377" i="4"/>
  <c r="C92" i="4"/>
  <c r="Q126" i="4"/>
  <c r="S126" i="4" s="1"/>
  <c r="I68" i="4"/>
  <c r="L325" i="4"/>
  <c r="C348" i="4"/>
  <c r="Q367" i="4"/>
  <c r="S367" i="4" s="1"/>
  <c r="AD367" i="4" s="1"/>
  <c r="C109" i="4"/>
  <c r="AE109" i="4" s="1"/>
  <c r="I80" i="4"/>
  <c r="C365" i="4"/>
  <c r="I339" i="4"/>
  <c r="Q380" i="4"/>
  <c r="S380" i="4" s="1"/>
  <c r="AD380" i="4" s="1"/>
  <c r="Q381" i="4"/>
  <c r="S381" i="4" s="1"/>
  <c r="C94" i="4"/>
  <c r="AE94" i="4" s="1"/>
  <c r="F67" i="4"/>
  <c r="Q369" i="4"/>
  <c r="S369" i="4" s="1"/>
  <c r="Q370" i="4"/>
  <c r="S370" i="4" s="1"/>
  <c r="F327" i="4"/>
  <c r="C350" i="4"/>
  <c r="C432" i="4"/>
  <c r="Q440" i="4"/>
  <c r="S440" i="4" s="1"/>
  <c r="AD440" i="4" s="1"/>
  <c r="F419" i="4"/>
  <c r="N419" i="4" s="1"/>
  <c r="L80" i="4"/>
  <c r="Q141" i="4"/>
  <c r="S141" i="4" s="1"/>
  <c r="AD141" i="4" s="1"/>
  <c r="Q142" i="4"/>
  <c r="S142" i="4" s="1"/>
  <c r="AD142" i="4" s="1"/>
  <c r="Q143" i="4"/>
  <c r="S143" i="4" s="1"/>
  <c r="C111" i="4"/>
  <c r="F348" i="4"/>
  <c r="N348" i="4" s="1"/>
  <c r="C367" i="4"/>
  <c r="AE367" i="4" s="1"/>
  <c r="I57" i="4"/>
  <c r="C80" i="4"/>
  <c r="Q109" i="4"/>
  <c r="S109" i="4" s="1"/>
  <c r="AD109" i="4" s="1"/>
  <c r="Q110" i="4"/>
  <c r="S110" i="4" s="1"/>
  <c r="AD110" i="4" s="1"/>
  <c r="Q111" i="4"/>
  <c r="S111" i="4" s="1"/>
  <c r="C368" i="4"/>
  <c r="Q384" i="4"/>
  <c r="S384" i="4" s="1"/>
  <c r="AD384" i="4" s="1"/>
  <c r="F351" i="4"/>
  <c r="N351" i="4" s="1"/>
  <c r="Q383" i="4"/>
  <c r="S383" i="4" s="1"/>
  <c r="AD383" i="4" s="1"/>
  <c r="I129" i="4"/>
  <c r="C161" i="4"/>
  <c r="AE161" i="4" s="1"/>
  <c r="F408" i="4"/>
  <c r="C417" i="4"/>
  <c r="AE417" i="4" s="1"/>
  <c r="C18" i="4"/>
  <c r="I10" i="4"/>
  <c r="Q30" i="4"/>
  <c r="S30" i="4" s="1"/>
  <c r="Q31" i="4"/>
  <c r="S31" i="4" s="1"/>
  <c r="F242" i="4"/>
  <c r="C274" i="4"/>
  <c r="AE274" i="4" s="1"/>
  <c r="L191" i="4"/>
  <c r="C227" i="4"/>
  <c r="AE227" i="4" s="1"/>
  <c r="C68" i="4"/>
  <c r="Q92" i="4"/>
  <c r="S92" i="4" s="1"/>
  <c r="Q93" i="4"/>
  <c r="S93" i="4" s="1"/>
  <c r="F49" i="4"/>
  <c r="C324" i="4"/>
  <c r="Q343" i="4"/>
  <c r="S343" i="4" s="1"/>
  <c r="AD343" i="4" s="1"/>
  <c r="F298" i="4"/>
  <c r="N298" i="4" s="1"/>
  <c r="I23" i="4"/>
  <c r="Q54" i="4"/>
  <c r="S54" i="4" s="1"/>
  <c r="AD54" i="4" s="1"/>
  <c r="Q55" i="4"/>
  <c r="S55" i="4" s="1"/>
  <c r="C37" i="4"/>
  <c r="F260" i="4"/>
  <c r="C293" i="4"/>
  <c r="AE293" i="4" s="1"/>
  <c r="C310" i="4"/>
  <c r="Q333" i="4"/>
  <c r="S333" i="4" s="1"/>
  <c r="AD333" i="4" s="1"/>
  <c r="L276" i="4"/>
  <c r="Q334" i="4"/>
  <c r="S334" i="4" s="1"/>
  <c r="AD334" i="4" s="1"/>
  <c r="Q335" i="4"/>
  <c r="S335" i="4" s="1"/>
  <c r="I199" i="4"/>
  <c r="C233" i="4"/>
  <c r="AE233" i="4" s="1"/>
  <c r="I55" i="4"/>
  <c r="Q103" i="4"/>
  <c r="S103" i="4" s="1"/>
  <c r="AD103" i="4" s="1"/>
  <c r="C76" i="4"/>
  <c r="C258" i="4"/>
  <c r="AE258" i="4" s="1"/>
  <c r="F224" i="4"/>
  <c r="Q337" i="4"/>
  <c r="S337" i="4" s="1"/>
  <c r="C311" i="4"/>
  <c r="F277" i="4"/>
  <c r="N277" i="4" s="1"/>
  <c r="F496" i="4"/>
  <c r="N496" i="4" s="1"/>
  <c r="C505" i="4"/>
  <c r="AE505" i="4" s="1"/>
  <c r="C86" i="4"/>
  <c r="Q116" i="4"/>
  <c r="S116" i="4" s="1"/>
  <c r="AD116" i="4" s="1"/>
  <c r="Q117" i="4"/>
  <c r="S117" i="4" s="1"/>
  <c r="Q118" i="4"/>
  <c r="S118" i="4" s="1"/>
  <c r="I63" i="4"/>
  <c r="C71" i="4"/>
  <c r="AE71" i="4" s="1"/>
  <c r="F51" i="4"/>
  <c r="C327" i="4"/>
  <c r="F300" i="4"/>
  <c r="N300" i="4" s="1"/>
  <c r="Q349" i="4"/>
  <c r="S349" i="4" s="1"/>
  <c r="AD349" i="4" s="1"/>
  <c r="Q350" i="4"/>
  <c r="S350" i="4" s="1"/>
  <c r="Q351" i="4"/>
  <c r="S351" i="4" s="1"/>
  <c r="Q449" i="4"/>
  <c r="S449" i="4" s="1"/>
  <c r="AD449" i="4" s="1"/>
  <c r="Q450" i="4"/>
  <c r="S450" i="4" s="1"/>
  <c r="Q451" i="4"/>
  <c r="S451" i="4" s="1"/>
  <c r="AD451" i="4" s="1"/>
  <c r="I433" i="4"/>
  <c r="C442" i="4"/>
  <c r="C248" i="4"/>
  <c r="F217" i="4"/>
  <c r="Q284" i="4"/>
  <c r="S284" i="4" s="1"/>
  <c r="AD284" i="4" s="1"/>
  <c r="F514" i="4"/>
  <c r="C521" i="4"/>
  <c r="AE521" i="4" s="1"/>
  <c r="I91" i="4"/>
  <c r="C122" i="4"/>
  <c r="AE122" i="4" s="1"/>
  <c r="F362" i="4"/>
  <c r="N362" i="4" s="1"/>
  <c r="Q396" i="4"/>
  <c r="S396" i="4" s="1"/>
  <c r="C378" i="4"/>
  <c r="C155" i="4"/>
  <c r="Q190" i="4"/>
  <c r="S190" i="4" s="1"/>
  <c r="I125" i="4"/>
  <c r="C411" i="4"/>
  <c r="F400" i="4"/>
  <c r="N400" i="4" s="1"/>
  <c r="Q422" i="4"/>
  <c r="S422" i="4" s="1"/>
  <c r="AD422" i="4" s="1"/>
  <c r="Q423" i="4"/>
  <c r="S423" i="4" s="1"/>
  <c r="AD423" i="4" s="1"/>
  <c r="Q139" i="4"/>
  <c r="S139" i="4" s="1"/>
  <c r="C108" i="4"/>
  <c r="Q140" i="4"/>
  <c r="S140" i="4" s="1"/>
  <c r="F81" i="4"/>
  <c r="F339" i="4"/>
  <c r="C364" i="4"/>
  <c r="AE364" i="4" s="1"/>
  <c r="C125" i="4"/>
  <c r="I93" i="4"/>
  <c r="Q154" i="4"/>
  <c r="S154" i="4" s="1"/>
  <c r="AD154" i="4" s="1"/>
  <c r="Q155" i="4"/>
  <c r="S155" i="4" s="1"/>
  <c r="Q156" i="4"/>
  <c r="S156" i="4" s="1"/>
  <c r="Q400" i="4"/>
  <c r="S400" i="4" s="1"/>
  <c r="C381" i="4"/>
  <c r="Q398" i="4"/>
  <c r="S398" i="4" s="1"/>
  <c r="AD398" i="4" s="1"/>
  <c r="I365" i="4"/>
  <c r="Q399" i="4"/>
  <c r="S399" i="4" s="1"/>
  <c r="AD399" i="4" s="1"/>
  <c r="F80" i="4"/>
  <c r="C110" i="4"/>
  <c r="AE110" i="4" s="1"/>
  <c r="F340" i="4"/>
  <c r="N340" i="4" s="1"/>
  <c r="C366" i="4"/>
  <c r="Q382" i="4"/>
  <c r="S382" i="4" s="1"/>
  <c r="AD382" i="4" s="1"/>
  <c r="I457" i="4"/>
  <c r="C464" i="4"/>
  <c r="AE464" i="4" s="1"/>
  <c r="F96" i="4"/>
  <c r="C127" i="4"/>
  <c r="AE127" i="4" s="1"/>
  <c r="F368" i="4"/>
  <c r="C383" i="4"/>
  <c r="AE383" i="4" s="1"/>
  <c r="Q129" i="4"/>
  <c r="S129" i="4" s="1"/>
  <c r="Q128" i="4"/>
  <c r="S128" i="4" s="1"/>
  <c r="C96" i="4"/>
  <c r="F69" i="4"/>
  <c r="N69" i="4" s="1"/>
  <c r="Q127" i="4"/>
  <c r="S127" i="4" s="1"/>
  <c r="AD127" i="4" s="1"/>
  <c r="C400" i="4"/>
  <c r="Q411" i="4"/>
  <c r="S411" i="4" s="1"/>
  <c r="L381" i="4"/>
  <c r="Q208" i="4"/>
  <c r="S208" i="4" s="1"/>
  <c r="L143" i="4"/>
  <c r="Q206" i="4"/>
  <c r="S206" i="4" s="1"/>
  <c r="AD206" i="4" s="1"/>
  <c r="C177" i="4"/>
  <c r="Q207" i="4"/>
  <c r="S207" i="4" s="1"/>
  <c r="AD207" i="4" s="1"/>
  <c r="F421" i="4"/>
  <c r="N421" i="4" s="1"/>
  <c r="Q441" i="4"/>
  <c r="S441" i="4" s="1"/>
  <c r="AD441" i="4" s="1"/>
  <c r="Q442" i="4"/>
  <c r="S442" i="4" s="1"/>
  <c r="C433" i="4"/>
  <c r="F20" i="4"/>
  <c r="N20" i="4" s="1"/>
  <c r="Q51" i="4"/>
  <c r="S51" i="4" s="1"/>
  <c r="C34" i="4"/>
  <c r="C290" i="4"/>
  <c r="AE290" i="4" s="1"/>
  <c r="F259" i="4"/>
  <c r="Q277" i="4"/>
  <c r="S277" i="4" s="1"/>
  <c r="C243" i="4"/>
  <c r="F209" i="4"/>
  <c r="N209" i="4" s="1"/>
  <c r="Q113" i="4"/>
  <c r="S113" i="4" s="1"/>
  <c r="AD113" i="4" s="1"/>
  <c r="Q114" i="4"/>
  <c r="S114" i="4" s="1"/>
  <c r="I61" i="4"/>
  <c r="C84" i="4"/>
  <c r="F315" i="4"/>
  <c r="C340" i="4"/>
  <c r="Q366" i="4"/>
  <c r="S366" i="4" s="1"/>
  <c r="Q73" i="4"/>
  <c r="S73" i="4" s="1"/>
  <c r="AD73" i="4" s="1"/>
  <c r="I35" i="4"/>
  <c r="Q74" i="4"/>
  <c r="S74" i="4" s="1"/>
  <c r="C53" i="4"/>
  <c r="Q336" i="4"/>
  <c r="S336" i="4" s="1"/>
  <c r="I276" i="4"/>
  <c r="C309" i="4"/>
  <c r="Q323" i="4"/>
  <c r="S323" i="4" s="1"/>
  <c r="AD323" i="4" s="1"/>
  <c r="F265" i="4"/>
  <c r="N265" i="4" s="1"/>
  <c r="C295" i="4"/>
  <c r="Q97" i="4"/>
  <c r="S97" i="4" s="1"/>
  <c r="AD97" i="4" s="1"/>
  <c r="Q98" i="4"/>
  <c r="S98" i="4" s="1"/>
  <c r="C70" i="4"/>
  <c r="F50" i="4"/>
  <c r="N50" i="4" s="1"/>
  <c r="I492" i="4"/>
  <c r="C504" i="4"/>
  <c r="Q511" i="4"/>
  <c r="S511" i="4" s="1"/>
  <c r="AD511" i="4" s="1"/>
  <c r="I78" i="4"/>
  <c r="Q136" i="4"/>
  <c r="S136" i="4" s="1"/>
  <c r="AD136" i="4" s="1"/>
  <c r="C106" i="4"/>
  <c r="C342" i="4"/>
  <c r="AE342" i="4" s="1"/>
  <c r="F322" i="4"/>
  <c r="N322" i="4" s="1"/>
  <c r="I231" i="4"/>
  <c r="C265" i="4"/>
  <c r="Q295" i="4"/>
  <c r="S295" i="4" s="1"/>
  <c r="C102" i="4"/>
  <c r="Q134" i="4"/>
  <c r="S134" i="4" s="1"/>
  <c r="Q135" i="4"/>
  <c r="S135" i="4" s="1"/>
  <c r="I74" i="4"/>
  <c r="C358" i="4"/>
  <c r="AE358" i="4" s="1"/>
  <c r="L331" i="4"/>
  <c r="Q115" i="4"/>
  <c r="S115" i="4" s="1"/>
  <c r="AD115" i="4" s="1"/>
  <c r="C87" i="4"/>
  <c r="F63" i="4"/>
  <c r="F324" i="4"/>
  <c r="N324" i="4" s="1"/>
  <c r="C343" i="4"/>
  <c r="AE343" i="4" s="1"/>
  <c r="Q16" i="4"/>
  <c r="S16" i="4" s="1"/>
  <c r="C8" i="4"/>
  <c r="I4" i="4"/>
  <c r="F231" i="4"/>
  <c r="C264" i="4"/>
  <c r="AE264" i="4" s="1"/>
  <c r="C25" i="4"/>
  <c r="Q40" i="4"/>
  <c r="S40" i="4" s="1"/>
  <c r="AD40" i="4" s="1"/>
  <c r="Q41" i="4"/>
  <c r="S41" i="4" s="1"/>
  <c r="F249" i="4"/>
  <c r="C281" i="4"/>
  <c r="AE281" i="4" s="1"/>
  <c r="F450" i="4"/>
  <c r="Q461" i="4"/>
  <c r="S461" i="4" s="1"/>
  <c r="C458" i="4"/>
  <c r="Q462" i="4"/>
  <c r="S462" i="4" s="1"/>
  <c r="I104" i="4"/>
  <c r="C138" i="4"/>
  <c r="AE138" i="4" s="1"/>
  <c r="I377" i="4"/>
  <c r="C394" i="4"/>
  <c r="AE394" i="4" s="1"/>
  <c r="C171" i="4"/>
  <c r="F140" i="4"/>
  <c r="Q202" i="4"/>
  <c r="S202" i="4" s="1"/>
  <c r="Q203" i="4"/>
  <c r="S203" i="4" s="1"/>
  <c r="AD203" i="4" s="1"/>
  <c r="C427" i="4"/>
  <c r="AE427" i="4" s="1"/>
  <c r="F415" i="4"/>
  <c r="F93" i="4"/>
  <c r="C124" i="4"/>
  <c r="Q157" i="4"/>
  <c r="S157" i="4" s="1"/>
  <c r="AD157" i="4" s="1"/>
  <c r="C380" i="4"/>
  <c r="AE380" i="4" s="1"/>
  <c r="F365" i="4"/>
  <c r="C141" i="4"/>
  <c r="AE141" i="4" s="1"/>
  <c r="I111" i="4"/>
  <c r="C397" i="4"/>
  <c r="F379" i="4"/>
  <c r="N379" i="4" s="1"/>
  <c r="Q410" i="4"/>
  <c r="S410" i="4" s="1"/>
  <c r="C126" i="4"/>
  <c r="F92" i="4"/>
  <c r="N92" i="4" s="1"/>
  <c r="Q158" i="4"/>
  <c r="S158" i="4" s="1"/>
  <c r="AD158" i="4" s="1"/>
  <c r="Q159" i="4"/>
  <c r="S159" i="4" s="1"/>
  <c r="AD159" i="4" s="1"/>
  <c r="F366" i="4"/>
  <c r="N366" i="4" s="1"/>
  <c r="C382" i="4"/>
  <c r="AE382" i="4" s="1"/>
  <c r="F503" i="4"/>
  <c r="C512" i="4"/>
  <c r="Q520" i="4"/>
  <c r="S520" i="4" s="1"/>
  <c r="Q177" i="4"/>
  <c r="S177" i="4" s="1"/>
  <c r="Q176" i="4"/>
  <c r="S176" i="4" s="1"/>
  <c r="AD176" i="4" s="1"/>
  <c r="L111" i="4"/>
  <c r="Q175" i="4"/>
  <c r="S175" i="4" s="1"/>
  <c r="AD175" i="4" s="1"/>
  <c r="C143" i="4"/>
  <c r="I381" i="4"/>
  <c r="C399" i="4"/>
  <c r="AE399" i="4" s="1"/>
  <c r="F82" i="4"/>
  <c r="N82" i="4" s="1"/>
  <c r="C112" i="4"/>
  <c r="Q144" i="4"/>
  <c r="S144" i="4" s="1"/>
  <c r="C416" i="4"/>
  <c r="AE416" i="4" s="1"/>
  <c r="I404" i="4"/>
  <c r="F164" i="4"/>
  <c r="C193" i="4"/>
  <c r="AE193" i="4" s="1"/>
  <c r="I442" i="4"/>
  <c r="C449" i="4"/>
  <c r="AE449" i="4" s="1"/>
  <c r="Q70" i="4"/>
  <c r="S70" i="4" s="1"/>
  <c r="C50" i="4"/>
  <c r="F32" i="4"/>
  <c r="N32" i="4" s="1"/>
  <c r="C306" i="4"/>
  <c r="F272" i="4"/>
  <c r="Q331" i="4"/>
  <c r="S331" i="4" s="1"/>
  <c r="Q332" i="4"/>
  <c r="S332" i="4" s="1"/>
  <c r="AD332" i="4" s="1"/>
  <c r="I2" i="4"/>
  <c r="Q10" i="4"/>
  <c r="S10" i="4" s="1"/>
  <c r="Q11" i="4"/>
  <c r="S11" i="4" s="1"/>
  <c r="C3" i="4"/>
  <c r="Q290" i="4"/>
  <c r="S290" i="4" s="1"/>
  <c r="AD290" i="4" s="1"/>
  <c r="Q291" i="4"/>
  <c r="S291" i="4" s="1"/>
  <c r="AD291" i="4" s="1"/>
  <c r="I224" i="4"/>
  <c r="Q292" i="4"/>
  <c r="S292" i="4" s="1"/>
  <c r="C259" i="4"/>
  <c r="C100" i="4"/>
  <c r="Q132" i="4"/>
  <c r="S132" i="4" s="1"/>
  <c r="AD132" i="4" s="1"/>
  <c r="Q133" i="4"/>
  <c r="S133" i="4" s="1"/>
  <c r="AD133" i="4" s="1"/>
  <c r="I72" i="4"/>
  <c r="F331" i="4"/>
  <c r="C356" i="4"/>
  <c r="AE356" i="4" s="1"/>
  <c r="F48" i="4"/>
  <c r="N48" i="4" s="1"/>
  <c r="Q96" i="4"/>
  <c r="S96" i="4" s="1"/>
  <c r="C69" i="4"/>
  <c r="Q346" i="4"/>
  <c r="S346" i="4" s="1"/>
  <c r="AD346" i="4" s="1"/>
  <c r="C325" i="4"/>
  <c r="Q347" i="4"/>
  <c r="S347" i="4" s="1"/>
  <c r="AD347" i="4" s="1"/>
  <c r="Q348" i="4"/>
  <c r="S348" i="4" s="1"/>
  <c r="F301" i="4"/>
  <c r="N301" i="4" s="1"/>
  <c r="F448" i="4"/>
  <c r="N448" i="4" s="1"/>
  <c r="C456" i="4"/>
  <c r="AE456" i="4" s="1"/>
  <c r="Q497" i="4"/>
  <c r="S497" i="4" s="1"/>
  <c r="C489" i="4"/>
  <c r="F479" i="4"/>
  <c r="F325" i="4"/>
  <c r="C346" i="4"/>
  <c r="AE346" i="4" s="1"/>
  <c r="C123" i="4"/>
  <c r="Q152" i="4"/>
  <c r="S152" i="4" s="1"/>
  <c r="AD152" i="4" s="1"/>
  <c r="Q153" i="4"/>
  <c r="S153" i="4" s="1"/>
  <c r="L91" i="4"/>
  <c r="F68" i="4"/>
  <c r="C93" i="4"/>
  <c r="Q124" i="4"/>
  <c r="S124" i="4" s="1"/>
  <c r="Q125" i="4"/>
  <c r="S125" i="4" s="1"/>
  <c r="F114" i="4"/>
  <c r="C145" i="4"/>
  <c r="AE145" i="4" s="1"/>
  <c r="C326" i="4"/>
  <c r="Q344" i="4"/>
  <c r="S344" i="4" s="1"/>
  <c r="AD344" i="4" s="1"/>
  <c r="Q345" i="4"/>
  <c r="S345" i="4" s="1"/>
  <c r="AD345" i="4" s="1"/>
  <c r="C139" i="4"/>
  <c r="F108" i="4"/>
  <c r="Q173" i="4"/>
  <c r="S173" i="4" s="1"/>
  <c r="Q174" i="4"/>
  <c r="S174" i="4" s="1"/>
  <c r="AD174" i="4" s="1"/>
  <c r="F4" i="4"/>
  <c r="C9" i="4"/>
  <c r="Q15" i="4"/>
  <c r="S15" i="4" s="1"/>
  <c r="C118" i="4"/>
  <c r="Q147" i="4"/>
  <c r="S147" i="4" s="1"/>
  <c r="AD147" i="4" s="1"/>
  <c r="F86" i="4"/>
  <c r="C374" i="4"/>
  <c r="AE374" i="4" s="1"/>
  <c r="I357" i="4"/>
  <c r="C103" i="4"/>
  <c r="AE103" i="4" s="1"/>
  <c r="F76" i="4"/>
  <c r="N76" i="4" s="1"/>
  <c r="C359" i="4"/>
  <c r="AE359" i="4" s="1"/>
  <c r="F335" i="4"/>
  <c r="C24" i="4"/>
  <c r="AE24" i="4" s="1"/>
  <c r="C280" i="4"/>
  <c r="AE280" i="4" s="1"/>
  <c r="F246" i="4"/>
  <c r="N246" i="4" s="1"/>
  <c r="C41" i="4"/>
  <c r="I25" i="4"/>
  <c r="Q60" i="4"/>
  <c r="S60" i="4" s="1"/>
  <c r="AD60" i="4" s="1"/>
  <c r="Q61" i="4"/>
  <c r="S61" i="4" s="1"/>
  <c r="C297" i="4"/>
  <c r="AE297" i="4" s="1"/>
  <c r="I268" i="4"/>
  <c r="AG375" i="4"/>
  <c r="AC375" i="4"/>
  <c r="L125" i="4"/>
  <c r="C154" i="4"/>
  <c r="AE154" i="4" s="1"/>
  <c r="Q420" i="4"/>
  <c r="S420" i="4" s="1"/>
  <c r="AD420" i="4" s="1"/>
  <c r="Q421" i="4"/>
  <c r="S421" i="4" s="1"/>
  <c r="C410" i="4"/>
  <c r="F397" i="4"/>
  <c r="N397" i="4" s="1"/>
  <c r="I153" i="4"/>
  <c r="C187" i="4"/>
  <c r="Q218" i="4"/>
  <c r="S218" i="4" s="1"/>
  <c r="AD218" i="4" s="1"/>
  <c r="Q219" i="4"/>
  <c r="S219" i="4" s="1"/>
  <c r="F436" i="4"/>
  <c r="C443" i="4"/>
  <c r="AE443" i="4" s="1"/>
  <c r="I108" i="4"/>
  <c r="Q171" i="4"/>
  <c r="S171" i="4" s="1"/>
  <c r="C140" i="4"/>
  <c r="Q172" i="4"/>
  <c r="S172" i="4" s="1"/>
  <c r="Q409" i="4"/>
  <c r="S409" i="4" s="1"/>
  <c r="C396" i="4"/>
  <c r="F378" i="4"/>
  <c r="N378" i="4" s="1"/>
  <c r="C157" i="4"/>
  <c r="AE157" i="4" s="1"/>
  <c r="F124" i="4"/>
  <c r="N124" i="4" s="1"/>
  <c r="I402" i="4"/>
  <c r="C413" i="4"/>
  <c r="AE413" i="4" s="1"/>
  <c r="C142" i="4"/>
  <c r="AE142" i="4" s="1"/>
  <c r="F111" i="4"/>
  <c r="C398" i="4"/>
  <c r="AE398" i="4" s="1"/>
  <c r="F381" i="4"/>
  <c r="C418" i="4"/>
  <c r="I408" i="4"/>
  <c r="Q430" i="4"/>
  <c r="S430" i="4" s="1"/>
  <c r="AD430" i="4" s="1"/>
  <c r="Q431" i="4"/>
  <c r="S431" i="4" s="1"/>
  <c r="I126" i="4"/>
  <c r="C159" i="4"/>
  <c r="AE159" i="4" s="1"/>
  <c r="I418" i="4"/>
  <c r="Q439" i="4"/>
  <c r="S439" i="4" s="1"/>
  <c r="C431" i="4"/>
  <c r="Q163" i="4"/>
  <c r="S163" i="4" s="1"/>
  <c r="Q164" i="4"/>
  <c r="S164" i="4" s="1"/>
  <c r="I96" i="4"/>
  <c r="C128" i="4"/>
  <c r="F439" i="4"/>
  <c r="N439" i="4" s="1"/>
  <c r="C448" i="4"/>
  <c r="Q456" i="4"/>
  <c r="S456" i="4" s="1"/>
  <c r="AD456" i="4" s="1"/>
  <c r="Q243" i="4"/>
  <c r="S243" i="4" s="1"/>
  <c r="F178" i="4"/>
  <c r="N178" i="4" s="1"/>
  <c r="C209" i="4"/>
  <c r="F459" i="4"/>
  <c r="N459" i="4" s="1"/>
  <c r="Q472" i="4"/>
  <c r="S472" i="4" s="1"/>
  <c r="C465" i="4"/>
  <c r="F45" i="4"/>
  <c r="C66" i="4"/>
  <c r="Q88" i="4"/>
  <c r="S88" i="4" s="1"/>
  <c r="AD88" i="4" s="1"/>
  <c r="Q89" i="4"/>
  <c r="S89" i="4" s="1"/>
  <c r="C322" i="4"/>
  <c r="Q342" i="4"/>
  <c r="S342" i="4" s="1"/>
  <c r="AD342" i="4" s="1"/>
  <c r="L294" i="4"/>
  <c r="Q28" i="4"/>
  <c r="S28" i="4" s="1"/>
  <c r="AD28" i="4" s="1"/>
  <c r="F10" i="4"/>
  <c r="Q29" i="4"/>
  <c r="S29" i="4" s="1"/>
  <c r="C19" i="4"/>
  <c r="I242" i="4"/>
  <c r="C275" i="4"/>
  <c r="AE275" i="4" s="1"/>
  <c r="C116" i="4"/>
  <c r="AE116" i="4" s="1"/>
  <c r="L86" i="4"/>
  <c r="I354" i="4"/>
  <c r="C372" i="4"/>
  <c r="Q388" i="4"/>
  <c r="S388" i="4" s="1"/>
  <c r="AD388" i="4" s="1"/>
  <c r="Q389" i="4"/>
  <c r="S389" i="4" s="1"/>
  <c r="AD389" i="4" s="1"/>
  <c r="Q390" i="4"/>
  <c r="S390" i="4" s="1"/>
  <c r="F64" i="4"/>
  <c r="N64" i="4" s="1"/>
  <c r="C85" i="4"/>
  <c r="AE85" i="4" s="1"/>
  <c r="C341" i="4"/>
  <c r="AE341" i="4" s="1"/>
  <c r="I315" i="4"/>
  <c r="F183" i="4"/>
  <c r="C216" i="4"/>
  <c r="AE216" i="4" s="1"/>
  <c r="F484" i="4"/>
  <c r="N484" i="4" s="1"/>
  <c r="Q501" i="4"/>
  <c r="S501" i="4" s="1"/>
  <c r="AD501" i="4" s="1"/>
  <c r="Q502" i="4"/>
  <c r="S502" i="4" s="1"/>
  <c r="C490" i="4"/>
  <c r="C134" i="4"/>
  <c r="Q170" i="4"/>
  <c r="S170" i="4" s="1"/>
  <c r="AD170" i="4" s="1"/>
  <c r="F102" i="4"/>
  <c r="Q401" i="4"/>
  <c r="S401" i="4" s="1"/>
  <c r="AD401" i="4" s="1"/>
  <c r="C390" i="4"/>
  <c r="Q402" i="4"/>
  <c r="S402" i="4" s="1"/>
  <c r="L372" i="4"/>
  <c r="F89" i="4"/>
  <c r="Q150" i="4"/>
  <c r="S150" i="4" s="1"/>
  <c r="Q151" i="4"/>
  <c r="S151" i="4" s="1"/>
  <c r="C119" i="4"/>
  <c r="F361" i="4"/>
  <c r="C375" i="4"/>
  <c r="AE375" i="4" s="1"/>
  <c r="F25" i="4"/>
  <c r="C40" i="4"/>
  <c r="AE40" i="4" s="1"/>
  <c r="C296" i="4"/>
  <c r="AE296" i="4" s="1"/>
  <c r="F268" i="4"/>
  <c r="Q81" i="4"/>
  <c r="S81" i="4" s="1"/>
  <c r="Q80" i="4"/>
  <c r="S80" i="4" s="1"/>
  <c r="C57" i="4"/>
  <c r="Q79" i="4"/>
  <c r="S79" i="4" s="1"/>
  <c r="AD79" i="4" s="1"/>
  <c r="Q338" i="4"/>
  <c r="S338" i="4" s="1"/>
  <c r="AD338" i="4" s="1"/>
  <c r="Q339" i="4"/>
  <c r="S339" i="4" s="1"/>
  <c r="I279" i="4"/>
  <c r="C313" i="4"/>
  <c r="F134" i="4"/>
  <c r="N134" i="4" s="1"/>
  <c r="C170" i="4"/>
  <c r="AE170" i="4" s="1"/>
  <c r="Q434" i="4"/>
  <c r="S434" i="4" s="1"/>
  <c r="AD434" i="4" s="1"/>
  <c r="Q435" i="4"/>
  <c r="S435" i="4" s="1"/>
  <c r="AD435" i="4" s="1"/>
  <c r="L414" i="4"/>
  <c r="Q436" i="4"/>
  <c r="S436" i="4" s="1"/>
  <c r="C426" i="4"/>
  <c r="C203" i="4"/>
  <c r="AE203" i="4" s="1"/>
  <c r="I171" i="4"/>
  <c r="Q465" i="4"/>
  <c r="S465" i="4" s="1"/>
  <c r="C459" i="4"/>
  <c r="F455" i="4"/>
  <c r="N455" i="4" s="1"/>
  <c r="C156" i="4"/>
  <c r="Q188" i="4"/>
  <c r="S188" i="4" s="1"/>
  <c r="Q189" i="4"/>
  <c r="S189" i="4" s="1"/>
  <c r="F125" i="4"/>
  <c r="F402" i="4"/>
  <c r="C412" i="4"/>
  <c r="AE412" i="4" s="1"/>
  <c r="C173" i="4"/>
  <c r="F139" i="4"/>
  <c r="Q204" i="4"/>
  <c r="S204" i="4" s="1"/>
  <c r="AD204" i="4" s="1"/>
  <c r="Q205" i="4"/>
  <c r="S205" i="4" s="1"/>
  <c r="AD205" i="4" s="1"/>
  <c r="C429" i="4"/>
  <c r="AE429" i="4" s="1"/>
  <c r="L415" i="4"/>
  <c r="F126" i="4"/>
  <c r="C158" i="4"/>
  <c r="AE158" i="4" s="1"/>
  <c r="Q424" i="4"/>
  <c r="S424" i="4" s="1"/>
  <c r="AD424" i="4" s="1"/>
  <c r="Q425" i="4"/>
  <c r="S425" i="4" s="1"/>
  <c r="AD425" i="4" s="1"/>
  <c r="C414" i="4"/>
  <c r="Q426" i="4"/>
  <c r="S426" i="4" s="1"/>
  <c r="L402" i="4"/>
  <c r="F143" i="4"/>
  <c r="C175" i="4"/>
  <c r="AE175" i="4" s="1"/>
  <c r="I437" i="4"/>
  <c r="C447" i="4"/>
  <c r="AE447" i="4" s="1"/>
  <c r="Q178" i="4"/>
  <c r="S178" i="4" s="1"/>
  <c r="F112" i="4"/>
  <c r="N112" i="4" s="1"/>
  <c r="C144" i="4"/>
  <c r="L471" i="4"/>
  <c r="C480" i="4"/>
  <c r="AE480" i="4" s="1"/>
  <c r="C225" i="4"/>
  <c r="AE225" i="4" s="1"/>
  <c r="F191" i="4"/>
  <c r="I471" i="4"/>
  <c r="Q487" i="4"/>
  <c r="S487" i="4" s="1"/>
  <c r="C481" i="4"/>
  <c r="F59" i="4"/>
  <c r="N59" i="4" s="1"/>
  <c r="C82" i="4"/>
  <c r="Q112" i="4"/>
  <c r="S112" i="4" s="1"/>
  <c r="F313" i="4"/>
  <c r="C338" i="4"/>
  <c r="AE338" i="4" s="1"/>
  <c r="Q52" i="4"/>
  <c r="S52" i="4" s="1"/>
  <c r="AD52" i="4" s="1"/>
  <c r="Q53" i="4"/>
  <c r="S53" i="4" s="1"/>
  <c r="C35" i="4"/>
  <c r="F22" i="4"/>
  <c r="N22" i="4" s="1"/>
  <c r="I259" i="4"/>
  <c r="C291" i="4"/>
  <c r="AE291" i="4" s="1"/>
  <c r="F100" i="4"/>
  <c r="C132" i="4"/>
  <c r="AE132" i="4" s="1"/>
  <c r="F372" i="4"/>
  <c r="C388" i="4"/>
  <c r="AE388" i="4" s="1"/>
  <c r="C101" i="4"/>
  <c r="AE101" i="4" s="1"/>
  <c r="F74" i="4"/>
  <c r="Q373" i="4"/>
  <c r="S373" i="4" s="1"/>
  <c r="Q374" i="4"/>
  <c r="S374" i="4" s="1"/>
  <c r="AD374" i="4" s="1"/>
  <c r="C357" i="4"/>
  <c r="I331" i="4"/>
  <c r="Q56" i="4"/>
  <c r="S56" i="4" s="1"/>
  <c r="AD56" i="4" s="1"/>
  <c r="Q57" i="4"/>
  <c r="S57" i="4" s="1"/>
  <c r="C39" i="4"/>
  <c r="Q58" i="4"/>
  <c r="S58" i="4" s="1"/>
  <c r="F26" i="4"/>
  <c r="C349" i="4"/>
  <c r="AE349" i="4" s="1"/>
  <c r="C150" i="4"/>
  <c r="I119" i="4"/>
  <c r="Q185" i="4"/>
  <c r="S185" i="4" s="1"/>
  <c r="AD185" i="4" s="1"/>
  <c r="I467" i="4"/>
  <c r="C474" i="4"/>
  <c r="AE474" i="4" s="1"/>
  <c r="C219" i="4"/>
  <c r="Q250" i="4"/>
  <c r="S250" i="4" s="1"/>
  <c r="AD250" i="4" s="1"/>
  <c r="Q251" i="4"/>
  <c r="S251" i="4" s="1"/>
  <c r="I187" i="4"/>
  <c r="C475" i="4"/>
  <c r="AE475" i="4" s="1"/>
  <c r="L467" i="4"/>
  <c r="I140" i="4"/>
  <c r="Q201" i="4"/>
  <c r="S201" i="4" s="1"/>
  <c r="C172" i="4"/>
  <c r="Q437" i="4"/>
  <c r="S437" i="4" s="1"/>
  <c r="Q438" i="4"/>
  <c r="S438" i="4" s="1"/>
  <c r="AD438" i="4" s="1"/>
  <c r="C428" i="4"/>
  <c r="I415" i="4"/>
  <c r="C189" i="4"/>
  <c r="F156" i="4"/>
  <c r="Q220" i="4"/>
  <c r="S220" i="4" s="1"/>
  <c r="Q221" i="4"/>
  <c r="S221" i="4" s="1"/>
  <c r="C445" i="4"/>
  <c r="Q452" i="4"/>
  <c r="S452" i="4" s="1"/>
  <c r="AD452" i="4" s="1"/>
  <c r="Q453" i="4"/>
  <c r="S453" i="4" s="1"/>
  <c r="AD453" i="4" s="1"/>
  <c r="L436" i="4"/>
  <c r="C174" i="4"/>
  <c r="AE174" i="4" s="1"/>
  <c r="I139" i="4"/>
  <c r="Q225" i="4"/>
  <c r="S225" i="4" s="1"/>
  <c r="AD225" i="4" s="1"/>
  <c r="Q226" i="4"/>
  <c r="S226" i="4" s="1"/>
  <c r="AD226" i="4" s="1"/>
  <c r="Q227" i="4"/>
  <c r="S227" i="4" s="1"/>
  <c r="AD227" i="4" s="1"/>
  <c r="F162" i="4"/>
  <c r="C191" i="4"/>
  <c r="F457" i="4"/>
  <c r="C463" i="4"/>
  <c r="AE463" i="4" s="1"/>
  <c r="C160" i="4"/>
  <c r="AE160" i="4" s="1"/>
  <c r="F129" i="4"/>
  <c r="F519" i="4"/>
  <c r="N519" i="4" s="1"/>
  <c r="C528" i="4"/>
  <c r="AE528" i="4" s="1"/>
  <c r="I208" i="4"/>
  <c r="C241" i="4"/>
  <c r="AE241" i="4" s="1"/>
  <c r="F489" i="4"/>
  <c r="N489" i="4" s="1"/>
  <c r="Q507" i="4"/>
  <c r="S507" i="4" s="1"/>
  <c r="C497" i="4"/>
  <c r="Q130" i="4"/>
  <c r="S130" i="4" s="1"/>
  <c r="AD130" i="4" s="1"/>
  <c r="Q131" i="4"/>
  <c r="S131" i="4" s="1"/>
  <c r="C98" i="4"/>
  <c r="I70" i="4"/>
  <c r="Q371" i="4"/>
  <c r="S371" i="4" s="1"/>
  <c r="AD371" i="4" s="1"/>
  <c r="Q372" i="4"/>
  <c r="S372" i="4" s="1"/>
  <c r="C354" i="4"/>
  <c r="L329" i="4"/>
  <c r="F34" i="4"/>
  <c r="N34" i="4" s="1"/>
  <c r="Q71" i="4"/>
  <c r="S71" i="4" s="1"/>
  <c r="AD71" i="4" s="1"/>
  <c r="Q72" i="4"/>
  <c r="S72" i="4" s="1"/>
  <c r="C51" i="4"/>
  <c r="I272" i="4"/>
  <c r="C307" i="4"/>
  <c r="AE307" i="4" s="1"/>
  <c r="C148" i="4"/>
  <c r="Q181" i="4"/>
  <c r="S181" i="4" s="1"/>
  <c r="AD181" i="4" s="1"/>
  <c r="Q182" i="4"/>
  <c r="S182" i="4" s="1"/>
  <c r="F117" i="4"/>
  <c r="N117" i="4" s="1"/>
  <c r="C404" i="4"/>
  <c r="I391" i="4"/>
  <c r="Q416" i="4"/>
  <c r="S416" i="4" s="1"/>
  <c r="AD416" i="4" s="1"/>
  <c r="Q415" i="4"/>
  <c r="S415" i="4" s="1"/>
  <c r="Q148" i="4"/>
  <c r="S148" i="4" s="1"/>
  <c r="C117" i="4"/>
  <c r="I86" i="4"/>
  <c r="Q391" i="4"/>
  <c r="S391" i="4" s="1"/>
  <c r="Q392" i="4"/>
  <c r="S392" i="4" s="1"/>
  <c r="AD392" i="4" s="1"/>
  <c r="F357" i="4"/>
  <c r="C373" i="4"/>
  <c r="C54" i="4"/>
  <c r="AE54" i="4" s="1"/>
  <c r="F37" i="4"/>
  <c r="Q104" i="4"/>
  <c r="S104" i="4" s="1"/>
  <c r="Q105" i="4"/>
  <c r="S105" i="4" s="1"/>
  <c r="AD105" i="4" s="1"/>
  <c r="Q106" i="4"/>
  <c r="S106" i="4" s="1"/>
  <c r="C78" i="4"/>
  <c r="F58" i="4"/>
  <c r="C406" i="4"/>
  <c r="AE406" i="4" s="1"/>
  <c r="F395" i="4"/>
  <c r="Q167" i="4"/>
  <c r="S167" i="4" s="1"/>
  <c r="AD167" i="4" s="1"/>
  <c r="Q168" i="4"/>
  <c r="S168" i="4" s="1"/>
  <c r="AD168" i="4" s="1"/>
  <c r="C135" i="4"/>
  <c r="Q169" i="4"/>
  <c r="S169" i="4" s="1"/>
  <c r="I102" i="4"/>
  <c r="Q403" i="4"/>
  <c r="S403" i="4" s="1"/>
  <c r="AD403" i="4" s="1"/>
  <c r="Q404" i="4"/>
  <c r="S404" i="4" s="1"/>
  <c r="Q405" i="4"/>
  <c r="S405" i="4" s="1"/>
  <c r="AD405" i="4" s="1"/>
  <c r="C391" i="4"/>
  <c r="F373" i="4"/>
  <c r="C56" i="4"/>
  <c r="AE56" i="4" s="1"/>
  <c r="F279" i="4"/>
  <c r="C312" i="4"/>
  <c r="AE312" i="4" s="1"/>
  <c r="C73" i="4"/>
  <c r="AE73" i="4" s="1"/>
  <c r="F53" i="4"/>
  <c r="Q353" i="4"/>
  <c r="S353" i="4" s="1"/>
  <c r="AD353" i="4" s="1"/>
  <c r="Q354" i="4"/>
  <c r="S354" i="4" s="1"/>
  <c r="I304" i="4"/>
  <c r="C329" i="4"/>
  <c r="Q352" i="4"/>
  <c r="S352" i="4" s="1"/>
  <c r="AD352" i="4" s="1"/>
  <c r="F153" i="4"/>
  <c r="C186" i="4"/>
  <c r="AE186" i="4" s="1"/>
  <c r="F418" i="4"/>
  <c r="C430" i="4"/>
  <c r="AE430" i="4" s="1"/>
  <c r="C166" i="4"/>
  <c r="Q198" i="4"/>
  <c r="S198" i="4" s="1"/>
  <c r="AD198" i="4" s="1"/>
  <c r="Q199" i="4"/>
  <c r="S199" i="4" s="1"/>
  <c r="I131" i="4"/>
  <c r="C422" i="4"/>
  <c r="AE422" i="4" s="1"/>
  <c r="F411" i="4"/>
  <c r="F119" i="4"/>
  <c r="Q183" i="4"/>
  <c r="S183" i="4" s="1"/>
  <c r="Q184" i="4"/>
  <c r="S184" i="4" s="1"/>
  <c r="C151" i="4"/>
  <c r="C407" i="4"/>
  <c r="AE407" i="4" s="1"/>
  <c r="I395" i="4"/>
  <c r="Q99" i="4"/>
  <c r="S99" i="4" s="1"/>
  <c r="AD99" i="4" s="1"/>
  <c r="Q100" i="4"/>
  <c r="S100" i="4" s="1"/>
  <c r="I51" i="4"/>
  <c r="C72" i="4"/>
  <c r="F304" i="4"/>
  <c r="C328" i="4"/>
  <c r="AE328" i="4" s="1"/>
  <c r="I66" i="4"/>
  <c r="Q119" i="4"/>
  <c r="S119" i="4" s="1"/>
  <c r="C89" i="4"/>
  <c r="Q120" i="4"/>
  <c r="S120" i="4" s="1"/>
  <c r="C345" i="4"/>
  <c r="AE345" i="4" s="1"/>
  <c r="F171" i="4"/>
  <c r="Q237" i="4"/>
  <c r="S237" i="4" s="1"/>
  <c r="AD237" i="4" s="1"/>
  <c r="C202" i="4"/>
  <c r="Q238" i="4"/>
  <c r="S238" i="4" s="1"/>
  <c r="Q239" i="4"/>
  <c r="S239" i="4" s="1"/>
  <c r="AD239" i="4" s="1"/>
  <c r="Q514" i="4"/>
  <c r="S514" i="4" s="1"/>
  <c r="I183" i="4"/>
  <c r="C506" i="4"/>
  <c r="F495" i="4"/>
  <c r="N495" i="4" s="1"/>
  <c r="C235" i="4"/>
  <c r="F201" i="4"/>
  <c r="Q271" i="4"/>
  <c r="S271" i="4" s="1"/>
  <c r="C491" i="4"/>
  <c r="AE491" i="4" s="1"/>
  <c r="F486" i="4"/>
  <c r="N486" i="4" s="1"/>
  <c r="I156" i="4"/>
  <c r="C188" i="4"/>
  <c r="Q222" i="4"/>
  <c r="S222" i="4" s="1"/>
  <c r="Q466" i="4"/>
  <c r="S466" i="4" s="1"/>
  <c r="Q467" i="4"/>
  <c r="S467" i="4" s="1"/>
  <c r="C460" i="4"/>
  <c r="F454" i="4"/>
  <c r="N454" i="4" s="1"/>
  <c r="C205" i="4"/>
  <c r="AE205" i="4" s="1"/>
  <c r="I173" i="4"/>
  <c r="C461" i="4"/>
  <c r="Q470" i="4"/>
  <c r="S470" i="4" s="1"/>
  <c r="Q471" i="4"/>
  <c r="S471" i="4" s="1"/>
  <c r="F458" i="4"/>
  <c r="F155" i="4"/>
  <c r="N155" i="4" s="1"/>
  <c r="C190" i="4"/>
  <c r="Q223" i="4"/>
  <c r="S223" i="4" s="1"/>
  <c r="AD223" i="4" s="1"/>
  <c r="Q454" i="4"/>
  <c r="S454" i="4" s="1"/>
  <c r="Q455" i="4"/>
  <c r="S455" i="4" s="1"/>
  <c r="F437" i="4"/>
  <c r="C446" i="4"/>
  <c r="I177" i="4"/>
  <c r="C207" i="4"/>
  <c r="AE207" i="4" s="1"/>
  <c r="F471" i="4"/>
  <c r="Q488" i="4"/>
  <c r="S488" i="4" s="1"/>
  <c r="Q489" i="4"/>
  <c r="S489" i="4" s="1"/>
  <c r="C479" i="4"/>
  <c r="C176" i="4"/>
  <c r="AE176" i="4" s="1"/>
  <c r="I143" i="4"/>
  <c r="C450" i="4"/>
  <c r="Q457" i="4"/>
  <c r="S457" i="4" s="1"/>
  <c r="Q458" i="4"/>
  <c r="S458" i="4" s="1"/>
  <c r="F442" i="4"/>
  <c r="L222" i="4"/>
  <c r="C257" i="4"/>
  <c r="AE257" i="4" s="1"/>
  <c r="I503" i="4"/>
  <c r="C513" i="4"/>
  <c r="AE513" i="4" s="1"/>
  <c r="Q145" i="4"/>
  <c r="S145" i="4" s="1"/>
  <c r="AD145" i="4" s="1"/>
  <c r="Q146" i="4"/>
  <c r="S146" i="4" s="1"/>
  <c r="C114" i="4"/>
  <c r="I84" i="4"/>
  <c r="Q385" i="4"/>
  <c r="S385" i="4" s="1"/>
  <c r="AD385" i="4" s="1"/>
  <c r="Q386" i="4"/>
  <c r="S386" i="4" s="1"/>
  <c r="AD386" i="4" s="1"/>
  <c r="C370" i="4"/>
  <c r="I350" i="4"/>
  <c r="I49" i="4"/>
  <c r="C67" i="4"/>
  <c r="Q94" i="4"/>
  <c r="S94" i="4" s="1"/>
  <c r="AD94" i="4" s="1"/>
  <c r="Q95" i="4"/>
  <c r="S95" i="4" s="1"/>
  <c r="AD95" i="4" s="1"/>
  <c r="F295" i="4"/>
  <c r="N295" i="4" s="1"/>
  <c r="C323" i="4"/>
  <c r="AE323" i="4" s="1"/>
  <c r="Q193" i="4"/>
  <c r="S193" i="4" s="1"/>
  <c r="AD193" i="4" s="1"/>
  <c r="Q194" i="4"/>
  <c r="S194" i="4" s="1"/>
  <c r="AD194" i="4" s="1"/>
  <c r="Q195" i="4"/>
  <c r="S195" i="4" s="1"/>
  <c r="C164" i="4"/>
  <c r="I128" i="4"/>
  <c r="C420" i="4"/>
  <c r="AE420" i="4" s="1"/>
  <c r="F410" i="4"/>
  <c r="C133" i="4"/>
  <c r="AE133" i="4" s="1"/>
  <c r="I100" i="4"/>
  <c r="C389" i="4"/>
  <c r="AE389" i="4" s="1"/>
  <c r="I372" i="4"/>
  <c r="AB487" i="4" l="1"/>
  <c r="AC487" i="4"/>
  <c r="AB100" i="4"/>
  <c r="AC100" i="4"/>
  <c r="AB199" i="4"/>
  <c r="AC199" i="4"/>
  <c r="AB267" i="4"/>
  <c r="AG426" i="4"/>
  <c r="AB426" i="4"/>
  <c r="AB156" i="4"/>
  <c r="AG156" i="4"/>
  <c r="AC139" i="4"/>
  <c r="AG139" i="4"/>
  <c r="AB173" i="4"/>
  <c r="AG78" i="4"/>
  <c r="AB78" i="4"/>
  <c r="AB450" i="4"/>
  <c r="AC450" i="4"/>
  <c r="AG253" i="4"/>
  <c r="AC184" i="4"/>
  <c r="AB253" i="4"/>
  <c r="AG184" i="4"/>
  <c r="AB72" i="4"/>
  <c r="AC72" i="4"/>
  <c r="AB339" i="4"/>
  <c r="AC339" i="4"/>
  <c r="AG53" i="4"/>
  <c r="AB53" i="4"/>
  <c r="AC5" i="4"/>
  <c r="AC104" i="4"/>
  <c r="AG104" i="4"/>
  <c r="AC517" i="4"/>
  <c r="AG517" i="4"/>
  <c r="AG123" i="4"/>
  <c r="AG5" i="4"/>
  <c r="AB123" i="4"/>
  <c r="AB143" i="4"/>
  <c r="AC272" i="4"/>
  <c r="AG272" i="4"/>
  <c r="AB510" i="4"/>
  <c r="AC510" i="4"/>
  <c r="AC515" i="4"/>
  <c r="AG515" i="4"/>
  <c r="AB279" i="4"/>
  <c r="AC143" i="4"/>
  <c r="AG279" i="4"/>
  <c r="AG433" i="4"/>
  <c r="AG195" i="4"/>
  <c r="AC433" i="4"/>
  <c r="AC2" i="4"/>
  <c r="AC25" i="4"/>
  <c r="AB354" i="4"/>
  <c r="AB492" i="4"/>
  <c r="AC354" i="4"/>
  <c r="AB197" i="4"/>
  <c r="AB471" i="4"/>
  <c r="AC197" i="4"/>
  <c r="AC471" i="4"/>
  <c r="AG377" i="4"/>
  <c r="AB219" i="4"/>
  <c r="AG129" i="4"/>
  <c r="AC219" i="4"/>
  <c r="AG171" i="4"/>
  <c r="AG201" i="4"/>
  <c r="AC195" i="4"/>
  <c r="AC446" i="4"/>
  <c r="AB86" i="4"/>
  <c r="AB171" i="4"/>
  <c r="AG86" i="4"/>
  <c r="AB446" i="4"/>
  <c r="AB201" i="4"/>
  <c r="AG373" i="4"/>
  <c r="AC411" i="4"/>
  <c r="AC508" i="4"/>
  <c r="AB508" i="4"/>
  <c r="AB129" i="4"/>
  <c r="AB25" i="4"/>
  <c r="AC373" i="4"/>
  <c r="AB111" i="4"/>
  <c r="AB81" i="4"/>
  <c r="AG89" i="4"/>
  <c r="AB102" i="4"/>
  <c r="AB89" i="4"/>
  <c r="AC102" i="4"/>
  <c r="AG492" i="4"/>
  <c r="AC111" i="4"/>
  <c r="AC163" i="4"/>
  <c r="AG163" i="4"/>
  <c r="AG81" i="4"/>
  <c r="AG63" i="4"/>
  <c r="AC63" i="4"/>
  <c r="AB490" i="4"/>
  <c r="AC490" i="4"/>
  <c r="AB329" i="4"/>
  <c r="AG411" i="4"/>
  <c r="AB30" i="4"/>
  <c r="AB370" i="4"/>
  <c r="AC370" i="4"/>
  <c r="AB183" i="4"/>
  <c r="AB283" i="4"/>
  <c r="AC283" i="4"/>
  <c r="AG29" i="4"/>
  <c r="AB29" i="4"/>
  <c r="AG228" i="4"/>
  <c r="AB228" i="4"/>
  <c r="AC189" i="4"/>
  <c r="AB125" i="4"/>
  <c r="AB288" i="4"/>
  <c r="AG125" i="4"/>
  <c r="AC183" i="4"/>
  <c r="AC288" i="4"/>
  <c r="AB391" i="4"/>
  <c r="AC391" i="4"/>
  <c r="AB217" i="4"/>
  <c r="AG217" i="4"/>
  <c r="AC461" i="4"/>
  <c r="AC335" i="4"/>
  <c r="AG335" i="4"/>
  <c r="AB381" i="4"/>
  <c r="AC381" i="4"/>
  <c r="AB128" i="4"/>
  <c r="AG461" i="4"/>
  <c r="AC7" i="4"/>
  <c r="AG7" i="4"/>
  <c r="AB404" i="4"/>
  <c r="AC404" i="4"/>
  <c r="AC128" i="4"/>
  <c r="AG514" i="4"/>
  <c r="AG41" i="4"/>
  <c r="AB304" i="4"/>
  <c r="AB41" i="4"/>
  <c r="AC304" i="4"/>
  <c r="AG365" i="4"/>
  <c r="AC329" i="4"/>
  <c r="AB488" i="4"/>
  <c r="AG488" i="4"/>
  <c r="AB55" i="4"/>
  <c r="AG55" i="4"/>
  <c r="AB208" i="4"/>
  <c r="AC208" i="4"/>
  <c r="AG268" i="4"/>
  <c r="AB514" i="4"/>
  <c r="AG267" i="4"/>
  <c r="AB96" i="4"/>
  <c r="AG30" i="4"/>
  <c r="AB249" i="4"/>
  <c r="AC249" i="4"/>
  <c r="AG153" i="4"/>
  <c r="AC96" i="4"/>
  <c r="AB415" i="4"/>
  <c r="AC415" i="4"/>
  <c r="AB153" i="4"/>
  <c r="AG294" i="4"/>
  <c r="AG325" i="4"/>
  <c r="AB66" i="4"/>
  <c r="AB325" i="4"/>
  <c r="AC66" i="4"/>
  <c r="AB202" i="4"/>
  <c r="AC202" i="4"/>
  <c r="AB221" i="4"/>
  <c r="AC221" i="4"/>
  <c r="AB365" i="4"/>
  <c r="AC436" i="4"/>
  <c r="AB361" i="4"/>
  <c r="AG436" i="4"/>
  <c r="AB189" i="4"/>
  <c r="AC361" i="4"/>
  <c r="AC260" i="4"/>
  <c r="AB80" i="4"/>
  <c r="AG260" i="4"/>
  <c r="AG222" i="4"/>
  <c r="AB70" i="4"/>
  <c r="AC80" i="4"/>
  <c r="AB268" i="4"/>
  <c r="AG151" i="4"/>
  <c r="AC67" i="4"/>
  <c r="AB222" i="4"/>
  <c r="AG70" i="4"/>
  <c r="AB37" i="4"/>
  <c r="AB276" i="4"/>
  <c r="AG67" i="4"/>
  <c r="AG37" i="4"/>
  <c r="AC276" i="4"/>
  <c r="AB310" i="4"/>
  <c r="AB485" i="4"/>
  <c r="AB58" i="4"/>
  <c r="AC485" i="4"/>
  <c r="AC58" i="4"/>
  <c r="AC108" i="4"/>
  <c r="AG231" i="4"/>
  <c r="AB377" i="4"/>
  <c r="AB108" i="4"/>
  <c r="AC231" i="4"/>
  <c r="AB294" i="4"/>
  <c r="AG119" i="4"/>
  <c r="AC119" i="4"/>
  <c r="AB119" i="4"/>
  <c r="AB500" i="4"/>
  <c r="AG500" i="4"/>
  <c r="AC500" i="4"/>
  <c r="AG131" i="4"/>
  <c r="AC131" i="4"/>
  <c r="AB131" i="4"/>
  <c r="AC310" i="4"/>
  <c r="AC238" i="4"/>
  <c r="AB238" i="4"/>
  <c r="AG238" i="4"/>
  <c r="AG402" i="4"/>
  <c r="AC402" i="4"/>
  <c r="AB402" i="4"/>
  <c r="AG26" i="4"/>
  <c r="AC26" i="4"/>
  <c r="AB26" i="4"/>
  <c r="AG45" i="4"/>
  <c r="AC45" i="4"/>
  <c r="AB45" i="4"/>
  <c r="AC357" i="4"/>
  <c r="AG357" i="4"/>
  <c r="AB357" i="4"/>
  <c r="AG410" i="4"/>
  <c r="AC410" i="4"/>
  <c r="AB410" i="4"/>
  <c r="AG466" i="4"/>
  <c r="AC466" i="4"/>
  <c r="AB466" i="4"/>
  <c r="AG270" i="4"/>
  <c r="AC270" i="4"/>
  <c r="AB270" i="4"/>
  <c r="AG65" i="4"/>
  <c r="AC65" i="4"/>
  <c r="AB65" i="4"/>
  <c r="AG418" i="4"/>
  <c r="AC418" i="4"/>
  <c r="AB418" i="4"/>
  <c r="AC135" i="4"/>
  <c r="AG135" i="4"/>
  <c r="AB135" i="4"/>
  <c r="AG372" i="4"/>
  <c r="AC372" i="4"/>
  <c r="AB372" i="4"/>
  <c r="AG61" i="4"/>
  <c r="AC61" i="4"/>
  <c r="AB61" i="4"/>
  <c r="AG35" i="4"/>
  <c r="AC35" i="4"/>
  <c r="AB35" i="4"/>
  <c r="AC148" i="4"/>
  <c r="AG460" i="4"/>
  <c r="AB460" i="4"/>
  <c r="AC460" i="4"/>
  <c r="AC462" i="4"/>
  <c r="AB462" i="4"/>
  <c r="AG462" i="4"/>
  <c r="AC4" i="4"/>
  <c r="AB4" i="4"/>
  <c r="AG4" i="4"/>
  <c r="AC166" i="4"/>
  <c r="AB166" i="4"/>
  <c r="AG166" i="4"/>
  <c r="AG177" i="4"/>
  <c r="AC177" i="4"/>
  <c r="AB177" i="4"/>
  <c r="AG148" i="4"/>
  <c r="AG126" i="4"/>
  <c r="AG315" i="4"/>
  <c r="AC315" i="4"/>
  <c r="AB315" i="4"/>
  <c r="AG503" i="4"/>
  <c r="AC503" i="4"/>
  <c r="AB503" i="4"/>
  <c r="AG467" i="4"/>
  <c r="AC467" i="4"/>
  <c r="AB467" i="4"/>
  <c r="AB126" i="4"/>
  <c r="AG98" i="4"/>
  <c r="AC98" i="4"/>
  <c r="AB98" i="4"/>
  <c r="AG57" i="4"/>
  <c r="AC57" i="4"/>
  <c r="AB57" i="4"/>
  <c r="AG327" i="4"/>
  <c r="AC327" i="4"/>
  <c r="AB327" i="4"/>
  <c r="AB91" i="4"/>
  <c r="AG91" i="4"/>
  <c r="AC91" i="4"/>
  <c r="AG224" i="4"/>
  <c r="AC224" i="4"/>
  <c r="AB224" i="4"/>
  <c r="AG477" i="4"/>
  <c r="AC477" i="4"/>
  <c r="AB477" i="4"/>
  <c r="AG211" i="4"/>
  <c r="AC211" i="4"/>
  <c r="AB211" i="4"/>
  <c r="AG457" i="4"/>
  <c r="AC457" i="4"/>
  <c r="AB457" i="4"/>
  <c r="AC242" i="4"/>
  <c r="AG180" i="4"/>
  <c r="AC180" i="4"/>
  <c r="AB180" i="4"/>
  <c r="AC251" i="4"/>
  <c r="AB251" i="4"/>
  <c r="AG251" i="4"/>
  <c r="AG368" i="4"/>
  <c r="AC368" i="4"/>
  <c r="AB368" i="4"/>
  <c r="AG84" i="4"/>
  <c r="AC84" i="4"/>
  <c r="AB84" i="4"/>
  <c r="AB428" i="4"/>
  <c r="AC428" i="4"/>
  <c r="AG428" i="4"/>
  <c r="AG33" i="4"/>
  <c r="AC33" i="4"/>
  <c r="AB33" i="4"/>
  <c r="AG259" i="4"/>
  <c r="AC259" i="4"/>
  <c r="AB259" i="4"/>
  <c r="AG140" i="4"/>
  <c r="AB140" i="4"/>
  <c r="AC140" i="4"/>
  <c r="AG331" i="4"/>
  <c r="AC331" i="4"/>
  <c r="AB331" i="4"/>
  <c r="AG242" i="4"/>
  <c r="AB414" i="4"/>
  <c r="AG414" i="4"/>
  <c r="AC414" i="4"/>
  <c r="AG187" i="4"/>
  <c r="AC187" i="4"/>
  <c r="AB187" i="4"/>
  <c r="AG245" i="4"/>
  <c r="AC245" i="4"/>
  <c r="AB245" i="4"/>
  <c r="AG114" i="4"/>
  <c r="AC114" i="4"/>
  <c r="AB114" i="4"/>
  <c r="AG74" i="4"/>
  <c r="AC74" i="4"/>
  <c r="AB74" i="4"/>
  <c r="AG395" i="4"/>
  <c r="AC395" i="4"/>
  <c r="AB395" i="4"/>
  <c r="AG18" i="4"/>
  <c r="AC13" i="4"/>
  <c r="AB13" i="4"/>
  <c r="AG13" i="4"/>
  <c r="AC18" i="4"/>
  <c r="AB151" i="4"/>
  <c r="AG313" i="4"/>
  <c r="AC313" i="4"/>
  <c r="AB313" i="4"/>
  <c r="AG442" i="4"/>
  <c r="AC442" i="4"/>
  <c r="AB442" i="4"/>
  <c r="AG3" i="4"/>
  <c r="AC3" i="4"/>
  <c r="AB3" i="4"/>
  <c r="AB306" i="4"/>
  <c r="AC306" i="4"/>
  <c r="AG306" i="4"/>
  <c r="AC51" i="4"/>
  <c r="AB51" i="4"/>
  <c r="AG51" i="4"/>
  <c r="N283" i="4"/>
  <c r="AD283" i="4" s="1"/>
  <c r="AC23" i="4"/>
  <c r="AG23" i="4"/>
  <c r="AB230" i="4"/>
  <c r="AC230" i="4"/>
  <c r="AB93" i="4"/>
  <c r="AC93" i="4"/>
  <c r="AB10" i="4"/>
  <c r="AC10" i="4"/>
  <c r="N508" i="4"/>
  <c r="AE508" i="4" s="1"/>
  <c r="N410" i="4"/>
  <c r="AE410" i="4" s="1"/>
  <c r="AG68" i="4"/>
  <c r="AC68" i="4"/>
  <c r="N63" i="4"/>
  <c r="AD63" i="4" s="1"/>
  <c r="N472" i="4"/>
  <c r="AE472" i="4" s="1"/>
  <c r="N373" i="4"/>
  <c r="AE373" i="4" s="1"/>
  <c r="AD507" i="4"/>
  <c r="N162" i="4"/>
  <c r="AE162" i="4" s="1"/>
  <c r="N390" i="4"/>
  <c r="AE390" i="4" s="1"/>
  <c r="AD527" i="4"/>
  <c r="AE507" i="4"/>
  <c r="N313" i="4"/>
  <c r="AE313" i="4" s="1"/>
  <c r="N21" i="4"/>
  <c r="AD21" i="4" s="1"/>
  <c r="N457" i="4"/>
  <c r="AE457" i="4" s="1"/>
  <c r="N114" i="4"/>
  <c r="AD114" i="4" s="1"/>
  <c r="N477" i="4"/>
  <c r="AE477" i="4" s="1"/>
  <c r="N45" i="4"/>
  <c r="AE45" i="4" s="1"/>
  <c r="AE527" i="4"/>
  <c r="N479" i="4"/>
  <c r="AE479" i="4" s="1"/>
  <c r="N164" i="4"/>
  <c r="AE164" i="4" s="1"/>
  <c r="N201" i="4"/>
  <c r="AD201" i="4" s="1"/>
  <c r="N42" i="4"/>
  <c r="AD42" i="4" s="1"/>
  <c r="N370" i="4"/>
  <c r="AE370" i="4" s="1"/>
  <c r="N219" i="4"/>
  <c r="AD219" i="4" s="1"/>
  <c r="N460" i="4"/>
  <c r="AE460" i="4" s="1"/>
  <c r="N58" i="4"/>
  <c r="AE58" i="4" s="1"/>
  <c r="N466" i="4"/>
  <c r="AD466" i="4" s="1"/>
  <c r="N458" i="4"/>
  <c r="AE458" i="4" s="1"/>
  <c r="N10" i="4"/>
  <c r="AE10" i="4" s="1"/>
  <c r="N65" i="4"/>
  <c r="AE65" i="4" s="1"/>
  <c r="N53" i="4"/>
  <c r="AD53" i="4" s="1"/>
  <c r="N89" i="4"/>
  <c r="AE89" i="4" s="1"/>
  <c r="N80" i="4"/>
  <c r="AE80" i="4" s="1"/>
  <c r="N437" i="4"/>
  <c r="AE437" i="4" s="1"/>
  <c r="N450" i="4"/>
  <c r="AD450" i="4" s="1"/>
  <c r="N81" i="4"/>
  <c r="AE81" i="4" s="1"/>
  <c r="N146" i="4"/>
  <c r="AE146" i="4" s="1"/>
  <c r="N418" i="4"/>
  <c r="AD418" i="4" s="1"/>
  <c r="N361" i="4"/>
  <c r="AE361" i="4" s="1"/>
  <c r="N7" i="4"/>
  <c r="AE7" i="4" s="1"/>
  <c r="N411" i="4"/>
  <c r="AE411" i="4" s="1"/>
  <c r="N249" i="4"/>
  <c r="AD249" i="4" s="1"/>
  <c r="N221" i="4"/>
  <c r="AE221" i="4" s="1"/>
  <c r="N238" i="4"/>
  <c r="AE238" i="4" s="1"/>
  <c r="N123" i="4"/>
  <c r="AE123" i="4" s="1"/>
  <c r="N26" i="4"/>
  <c r="AE26" i="4" s="1"/>
  <c r="N304" i="4"/>
  <c r="AE304" i="4" s="1"/>
  <c r="N228" i="4"/>
  <c r="AD228" i="4" s="1"/>
  <c r="N84" i="4"/>
  <c r="AE84" i="4" s="1"/>
  <c r="N270" i="4"/>
  <c r="AE270" i="4" s="1"/>
  <c r="N327" i="4"/>
  <c r="AD327" i="4" s="1"/>
  <c r="N199" i="4"/>
  <c r="AE199" i="4" s="1"/>
  <c r="N253" i="4"/>
  <c r="AE253" i="4" s="1"/>
  <c r="N184" i="4"/>
  <c r="AD184" i="4" s="1"/>
  <c r="N139" i="4"/>
  <c r="AE139" i="4" s="1"/>
  <c r="N93" i="4"/>
  <c r="AD93" i="4" s="1"/>
  <c r="N25" i="4"/>
  <c r="AD25" i="4" s="1"/>
  <c r="N68" i="4"/>
  <c r="AD68" i="4" s="1"/>
  <c r="N67" i="4"/>
  <c r="AE67" i="4" s="1"/>
  <c r="N151" i="4"/>
  <c r="AE151" i="4" s="1"/>
  <c r="N315" i="4"/>
  <c r="AD315" i="4" s="1"/>
  <c r="N260" i="4"/>
  <c r="AD260" i="4" s="1"/>
  <c r="N368" i="4"/>
  <c r="AE368" i="4" s="1"/>
  <c r="N111" i="4"/>
  <c r="AE111" i="4" s="1"/>
  <c r="N467" i="4"/>
  <c r="AE467" i="4" s="1"/>
  <c r="N140" i="4"/>
  <c r="AD140" i="4" s="1"/>
  <c r="N143" i="4"/>
  <c r="AE143" i="4" s="1"/>
  <c r="N436" i="4"/>
  <c r="AE436" i="4" s="1"/>
  <c r="N166" i="4"/>
  <c r="AD166" i="4" s="1"/>
  <c r="N86" i="4"/>
  <c r="AE86" i="4" s="1"/>
  <c r="N96" i="4"/>
  <c r="AE96" i="4" s="1"/>
  <c r="N180" i="4"/>
  <c r="AD180" i="4" s="1"/>
  <c r="N372" i="4"/>
  <c r="AE372" i="4" s="1"/>
  <c r="N126" i="4"/>
  <c r="AD126" i="4" s="1"/>
  <c r="N357" i="4"/>
  <c r="AD357" i="4" s="1"/>
  <c r="N514" i="4"/>
  <c r="AE514" i="4" s="1"/>
  <c r="N381" i="4"/>
  <c r="AD381" i="4" s="1"/>
  <c r="N485" i="4"/>
  <c r="AE485" i="4" s="1"/>
  <c r="N33" i="4"/>
  <c r="AD33" i="4" s="1"/>
  <c r="N402" i="4"/>
  <c r="AE402" i="4" s="1"/>
  <c r="N325" i="4"/>
  <c r="AE325" i="4" s="1"/>
  <c r="N51" i="4"/>
  <c r="AE51" i="4" s="1"/>
  <c r="N224" i="4"/>
  <c r="AE224" i="4" s="1"/>
  <c r="N276" i="4"/>
  <c r="AE276" i="4" s="1"/>
  <c r="N30" i="4"/>
  <c r="AE30" i="4" s="1"/>
  <c r="N279" i="4"/>
  <c r="AE279" i="4" s="1"/>
  <c r="N395" i="4"/>
  <c r="AE395" i="4" s="1"/>
  <c r="N217" i="4"/>
  <c r="AD217" i="4" s="1"/>
  <c r="N37" i="4"/>
  <c r="AD37" i="4" s="1"/>
  <c r="N197" i="4"/>
  <c r="AE197" i="4" s="1"/>
  <c r="AE32" i="4"/>
  <c r="AD32" i="4"/>
  <c r="AE265" i="4"/>
  <c r="AD265" i="4"/>
  <c r="AE69" i="4"/>
  <c r="AD69" i="4"/>
  <c r="AE300" i="4"/>
  <c r="AD300" i="4"/>
  <c r="AE38" i="4"/>
  <c r="AD38" i="4"/>
  <c r="N177" i="4"/>
  <c r="AE234" i="4"/>
  <c r="AD234" i="4"/>
  <c r="N182" i="4"/>
  <c r="N163" i="4"/>
  <c r="AE155" i="4"/>
  <c r="AD155" i="4"/>
  <c r="N153" i="4"/>
  <c r="AE34" i="4"/>
  <c r="AD34" i="4"/>
  <c r="AE76" i="4"/>
  <c r="AD76" i="4"/>
  <c r="N331" i="4"/>
  <c r="AE277" i="4"/>
  <c r="AD277" i="4"/>
  <c r="AE31" i="4"/>
  <c r="AD31" i="4"/>
  <c r="AE39" i="4"/>
  <c r="AD39" i="4"/>
  <c r="AE215" i="4"/>
  <c r="AD215" i="4"/>
  <c r="AE409" i="4"/>
  <c r="AD409" i="4"/>
  <c r="AE506" i="4"/>
  <c r="AD506" i="4"/>
  <c r="N487" i="4"/>
  <c r="N446" i="4"/>
  <c r="AE188" i="4"/>
  <c r="AD188" i="4"/>
  <c r="N202" i="4"/>
  <c r="N189" i="4"/>
  <c r="AE120" i="4"/>
  <c r="AD120" i="4"/>
  <c r="AE520" i="4"/>
  <c r="AD520" i="4"/>
  <c r="AE112" i="4"/>
  <c r="AD112" i="4"/>
  <c r="AE246" i="4"/>
  <c r="AD246" i="4"/>
  <c r="N49" i="4"/>
  <c r="N414" i="4"/>
  <c r="AE220" i="4"/>
  <c r="AD220" i="4"/>
  <c r="AE470" i="4"/>
  <c r="AD470" i="4"/>
  <c r="AE524" i="4"/>
  <c r="AD524" i="4"/>
  <c r="AE397" i="4"/>
  <c r="AD397" i="4"/>
  <c r="AE134" i="4"/>
  <c r="AD134" i="4"/>
  <c r="AE64" i="4"/>
  <c r="AD64" i="4"/>
  <c r="N259" i="4"/>
  <c r="N242" i="4"/>
  <c r="N408" i="4"/>
  <c r="N294" i="4"/>
  <c r="AE43" i="4"/>
  <c r="AD43" i="4"/>
  <c r="AE248" i="4"/>
  <c r="AD248" i="4"/>
  <c r="N306" i="4"/>
  <c r="N78" i="4"/>
  <c r="AE311" i="4"/>
  <c r="AD311" i="4"/>
  <c r="N500" i="4"/>
  <c r="N102" i="4"/>
  <c r="AE92" i="4"/>
  <c r="AD92" i="4"/>
  <c r="AE421" i="4"/>
  <c r="AD421" i="4"/>
  <c r="N339" i="4"/>
  <c r="AE172" i="4"/>
  <c r="AD172" i="4"/>
  <c r="N131" i="4"/>
  <c r="N119" i="4"/>
  <c r="N171" i="4"/>
  <c r="AE22" i="4"/>
  <c r="AD22" i="4"/>
  <c r="N191" i="4"/>
  <c r="AE178" i="4"/>
  <c r="AD178" i="4"/>
  <c r="AE50" i="4"/>
  <c r="AD50" i="4"/>
  <c r="AE400" i="4"/>
  <c r="AD400" i="4"/>
  <c r="AE348" i="4"/>
  <c r="AD348" i="4"/>
  <c r="N23" i="4"/>
  <c r="N490" i="4"/>
  <c r="N350" i="4"/>
  <c r="AE292" i="4"/>
  <c r="AD292" i="4"/>
  <c r="AE481" i="4"/>
  <c r="AD481" i="4"/>
  <c r="N404" i="4"/>
  <c r="N510" i="4"/>
  <c r="AE236" i="4"/>
  <c r="AD236" i="4"/>
  <c r="AE235" i="4"/>
  <c r="AD235" i="4"/>
  <c r="N148" i="4"/>
  <c r="N329" i="4"/>
  <c r="N129" i="4"/>
  <c r="N442" i="4"/>
  <c r="AE295" i="4"/>
  <c r="AD295" i="4"/>
  <c r="AE454" i="4"/>
  <c r="AD454" i="4"/>
  <c r="AD495" i="4"/>
  <c r="AE495" i="4"/>
  <c r="N503" i="4"/>
  <c r="AE419" i="4"/>
  <c r="AD419" i="4"/>
  <c r="AE243" i="4"/>
  <c r="AD243" i="4"/>
  <c r="AE432" i="4"/>
  <c r="AD432" i="4"/>
  <c r="N391" i="4"/>
  <c r="N18" i="4"/>
  <c r="N187" i="4"/>
  <c r="AE369" i="4"/>
  <c r="AD369" i="4"/>
  <c r="N488" i="4"/>
  <c r="N29" i="4"/>
  <c r="N426" i="4"/>
  <c r="N66" i="4"/>
  <c r="N471" i="4"/>
  <c r="AE59" i="4"/>
  <c r="AD59" i="4"/>
  <c r="N183" i="4"/>
  <c r="N4" i="4"/>
  <c r="AE448" i="4"/>
  <c r="AD448" i="4"/>
  <c r="AE362" i="4"/>
  <c r="AD362" i="4"/>
  <c r="AE169" i="4"/>
  <c r="AD169" i="4"/>
  <c r="N2" i="4"/>
  <c r="AD2" i="4" s="1"/>
  <c r="N251" i="4"/>
  <c r="N208" i="4"/>
  <c r="AE16" i="4"/>
  <c r="AD16" i="4"/>
  <c r="N354" i="4"/>
  <c r="AE330" i="4"/>
  <c r="AD330" i="4"/>
  <c r="AE379" i="4"/>
  <c r="AD379" i="4"/>
  <c r="AE486" i="4"/>
  <c r="AD486" i="4"/>
  <c r="N100" i="4"/>
  <c r="AE455" i="4"/>
  <c r="AD455" i="4"/>
  <c r="AE124" i="4"/>
  <c r="AD124" i="4"/>
  <c r="N272" i="4"/>
  <c r="N415" i="4"/>
  <c r="AE363" i="4"/>
  <c r="AD363" i="4"/>
  <c r="N310" i="4"/>
  <c r="N41" i="4"/>
  <c r="N288" i="4"/>
  <c r="N245" i="4"/>
  <c r="N128" i="4"/>
  <c r="AE502" i="4"/>
  <c r="AD502" i="4"/>
  <c r="AE106" i="4"/>
  <c r="AD106" i="4"/>
  <c r="AE271" i="4"/>
  <c r="AD271" i="4"/>
  <c r="N104" i="4"/>
  <c r="N433" i="4"/>
  <c r="AE213" i="4"/>
  <c r="AD213" i="4"/>
  <c r="N195" i="4"/>
  <c r="AD190" i="4"/>
  <c r="AE190" i="4"/>
  <c r="AE504" i="4"/>
  <c r="AD504" i="4"/>
  <c r="N515" i="4"/>
  <c r="N61" i="4"/>
  <c r="N156" i="4"/>
  <c r="AE48" i="4"/>
  <c r="AD48" i="4"/>
  <c r="N365" i="4"/>
  <c r="AE324" i="4"/>
  <c r="AD324" i="4"/>
  <c r="AE298" i="4"/>
  <c r="AD298" i="4"/>
  <c r="N135" i="4"/>
  <c r="N19" i="4"/>
  <c r="N462" i="4"/>
  <c r="N445" i="4"/>
  <c r="AE469" i="4"/>
  <c r="AD469" i="4"/>
  <c r="AE5" i="4"/>
  <c r="AD5" i="4"/>
  <c r="N335" i="4"/>
  <c r="AE209" i="4"/>
  <c r="AD209" i="4"/>
  <c r="AE20" i="4"/>
  <c r="AD20" i="4"/>
  <c r="AE229" i="4"/>
  <c r="AD229" i="4"/>
  <c r="N55" i="4"/>
  <c r="AE118" i="4"/>
  <c r="AD118" i="4"/>
  <c r="AE192" i="4"/>
  <c r="AD192" i="4"/>
  <c r="N222" i="4"/>
  <c r="N91" i="4"/>
  <c r="N517" i="4"/>
  <c r="N3" i="4"/>
  <c r="N98" i="4"/>
  <c r="AE519" i="4"/>
  <c r="AD519" i="4"/>
  <c r="N74" i="4"/>
  <c r="AE301" i="4"/>
  <c r="AD301" i="4"/>
  <c r="AE82" i="4"/>
  <c r="AD82" i="4"/>
  <c r="N231" i="4"/>
  <c r="AE496" i="4"/>
  <c r="AD496" i="4"/>
  <c r="AE336" i="4"/>
  <c r="AD336" i="4"/>
  <c r="AE305" i="4"/>
  <c r="AD305" i="4"/>
  <c r="N13" i="4"/>
  <c r="AE465" i="4"/>
  <c r="AD465" i="4"/>
  <c r="N492" i="4"/>
  <c r="N57" i="4"/>
  <c r="AE15" i="4"/>
  <c r="AD15" i="4"/>
  <c r="AE144" i="4"/>
  <c r="AD144" i="4"/>
  <c r="AE396" i="4"/>
  <c r="AD396" i="4"/>
  <c r="N72" i="4"/>
  <c r="N230" i="4"/>
  <c r="N377" i="4"/>
  <c r="N428" i="4"/>
  <c r="AE87" i="4"/>
  <c r="AD87" i="4"/>
  <c r="AE254" i="4"/>
  <c r="AD254" i="4"/>
  <c r="AE11" i="4"/>
  <c r="AD11" i="4"/>
  <c r="AE366" i="4"/>
  <c r="AD366" i="4"/>
  <c r="AE337" i="4"/>
  <c r="AD337" i="4"/>
  <c r="AE326" i="4"/>
  <c r="AD326" i="4"/>
  <c r="N70" i="4"/>
  <c r="AE8" i="4"/>
  <c r="AD8" i="4"/>
  <c r="AE117" i="4"/>
  <c r="AD117" i="4"/>
  <c r="AE489" i="4"/>
  <c r="AD489" i="4"/>
  <c r="N125" i="4"/>
  <c r="N268" i="4"/>
  <c r="AE459" i="4"/>
  <c r="AD459" i="4"/>
  <c r="AE439" i="4"/>
  <c r="AD439" i="4"/>
  <c r="AE378" i="4"/>
  <c r="AD378" i="4"/>
  <c r="N35" i="4"/>
  <c r="AE12" i="4"/>
  <c r="AD12" i="4"/>
  <c r="N461" i="4"/>
  <c r="N173" i="4"/>
  <c r="AE497" i="4"/>
  <c r="AD497" i="4"/>
  <c r="AE484" i="4"/>
  <c r="AD484" i="4"/>
  <c r="N108" i="4"/>
  <c r="AE322" i="4"/>
  <c r="AD322" i="4"/>
  <c r="AE340" i="4"/>
  <c r="AD340" i="4"/>
  <c r="AE351" i="4"/>
  <c r="AD351" i="4"/>
  <c r="AE309" i="4"/>
  <c r="AD309" i="4"/>
  <c r="AE512" i="4"/>
  <c r="AD512" i="4"/>
  <c r="AE14" i="4"/>
  <c r="AD14" i="4"/>
  <c r="AD431" i="4"/>
  <c r="AE431" i="4"/>
  <c r="AE150" i="4"/>
  <c r="AD150" i="4"/>
  <c r="N211" i="4"/>
  <c r="AE6" i="4"/>
  <c r="AD6" i="4"/>
  <c r="AE9" i="4"/>
  <c r="AD9" i="4"/>
  <c r="N267" i="4"/>
  <c r="AE283" i="4" l="1"/>
  <c r="AD508" i="4"/>
  <c r="AD457" i="4"/>
  <c r="AD162" i="4"/>
  <c r="AE63" i="4"/>
  <c r="AD472" i="4"/>
  <c r="AD410" i="4"/>
  <c r="AD373" i="4"/>
  <c r="AD390" i="4"/>
  <c r="AD479" i="4"/>
  <c r="AD197" i="4"/>
  <c r="AE219" i="4"/>
  <c r="AE418" i="4"/>
  <c r="AD164" i="4"/>
  <c r="AD402" i="4"/>
  <c r="AD51" i="4"/>
  <c r="AD458" i="4"/>
  <c r="AD84" i="4"/>
  <c r="AD313" i="4"/>
  <c r="AE201" i="4"/>
  <c r="AE228" i="4"/>
  <c r="AE21" i="4"/>
  <c r="AE315" i="4"/>
  <c r="AD304" i="4"/>
  <c r="AE249" i="4"/>
  <c r="AE114" i="4"/>
  <c r="AD370" i="4"/>
  <c r="AD460" i="4"/>
  <c r="AD437" i="4"/>
  <c r="AD58" i="4"/>
  <c r="AD80" i="4"/>
  <c r="AE37" i="4"/>
  <c r="AD477" i="4"/>
  <c r="AE357" i="4"/>
  <c r="AD467" i="4"/>
  <c r="AE53" i="4"/>
  <c r="AE450" i="4"/>
  <c r="AD143" i="4"/>
  <c r="AD45" i="4"/>
  <c r="AE42" i="4"/>
  <c r="AE260" i="4"/>
  <c r="AD10" i="4"/>
  <c r="AE140" i="4"/>
  <c r="AD146" i="4"/>
  <c r="AE466" i="4"/>
  <c r="AD81" i="4"/>
  <c r="AD411" i="4"/>
  <c r="AD65" i="4"/>
  <c r="AD111" i="4"/>
  <c r="AD368" i="4"/>
  <c r="AD325" i="4"/>
  <c r="AE381" i="4"/>
  <c r="AE180" i="4"/>
  <c r="AD139" i="4"/>
  <c r="AD89" i="4"/>
  <c r="AE25" i="4"/>
  <c r="AD30" i="4"/>
  <c r="AD123" i="4"/>
  <c r="AD485" i="4"/>
  <c r="AD67" i="4"/>
  <c r="AD26" i="4"/>
  <c r="AD395" i="4"/>
  <c r="AD279" i="4"/>
  <c r="AD514" i="4"/>
  <c r="AD238" i="4"/>
  <c r="AE217" i="4"/>
  <c r="AD151" i="4"/>
  <c r="AD199" i="4"/>
  <c r="AE33" i="4"/>
  <c r="AE327" i="4"/>
  <c r="AE68" i="4"/>
  <c r="AD361" i="4"/>
  <c r="AE184" i="4"/>
  <c r="AD7" i="4"/>
  <c r="AD221" i="4"/>
  <c r="AD86" i="4"/>
  <c r="AE166" i="4"/>
  <c r="AD253" i="4"/>
  <c r="AD276" i="4"/>
  <c r="AD224" i="4"/>
  <c r="AE93" i="4"/>
  <c r="AD270" i="4"/>
  <c r="AD436" i="4"/>
  <c r="AE126" i="4"/>
  <c r="AD372" i="4"/>
  <c r="AD96" i="4"/>
  <c r="AE230" i="4"/>
  <c r="AD230" i="4"/>
  <c r="AE98" i="4"/>
  <c r="AD98" i="4"/>
  <c r="AE310" i="4"/>
  <c r="AD310" i="4"/>
  <c r="AE251" i="4"/>
  <c r="AD251" i="4"/>
  <c r="AE503" i="4"/>
  <c r="AD503" i="4"/>
  <c r="AE35" i="4"/>
  <c r="AD35" i="4"/>
  <c r="AE135" i="4"/>
  <c r="AD135" i="4"/>
  <c r="AE4" i="4"/>
  <c r="AD4" i="4"/>
  <c r="AE129" i="4"/>
  <c r="AD129" i="4"/>
  <c r="AE339" i="4"/>
  <c r="AD339" i="4"/>
  <c r="AE153" i="4"/>
  <c r="AD153" i="4"/>
  <c r="AE211" i="4"/>
  <c r="AD211" i="4"/>
  <c r="AE108" i="4"/>
  <c r="AD108" i="4"/>
  <c r="AD3" i="4"/>
  <c r="AE3" i="4"/>
  <c r="AE183" i="4"/>
  <c r="AD183" i="4"/>
  <c r="AE187" i="4"/>
  <c r="AD187" i="4"/>
  <c r="AE350" i="4"/>
  <c r="AD350" i="4"/>
  <c r="AE119" i="4"/>
  <c r="AD119" i="4"/>
  <c r="AE294" i="4"/>
  <c r="AD294" i="4"/>
  <c r="AE414" i="4"/>
  <c r="AD414" i="4"/>
  <c r="AE446" i="4"/>
  <c r="AD446" i="4"/>
  <c r="AE487" i="4"/>
  <c r="AD487" i="4"/>
  <c r="AE72" i="4"/>
  <c r="AD72" i="4"/>
  <c r="AE13" i="4"/>
  <c r="AD13" i="4"/>
  <c r="AE517" i="4"/>
  <c r="AD517" i="4"/>
  <c r="AE18" i="4"/>
  <c r="AD18" i="4"/>
  <c r="AE329" i="4"/>
  <c r="AD329" i="4"/>
  <c r="AE490" i="4"/>
  <c r="AD490" i="4"/>
  <c r="AE70" i="4"/>
  <c r="AD70" i="4"/>
  <c r="AE391" i="4"/>
  <c r="AD391" i="4"/>
  <c r="AE148" i="4"/>
  <c r="AD148" i="4"/>
  <c r="AE131" i="4"/>
  <c r="AD131" i="4"/>
  <c r="AE500" i="4"/>
  <c r="AD500" i="4"/>
  <c r="AE91" i="4"/>
  <c r="AD91" i="4"/>
  <c r="AE23" i="4"/>
  <c r="AD23" i="4"/>
  <c r="AE408" i="4"/>
  <c r="AD408" i="4"/>
  <c r="AD222" i="4"/>
  <c r="AE222" i="4"/>
  <c r="AE195" i="4"/>
  <c r="AD195" i="4"/>
  <c r="AE242" i="4"/>
  <c r="AD242" i="4"/>
  <c r="AE331" i="4"/>
  <c r="AD331" i="4"/>
  <c r="AE163" i="4"/>
  <c r="AD163" i="4"/>
  <c r="AE471" i="4"/>
  <c r="AD471" i="4"/>
  <c r="AE259" i="4"/>
  <c r="AD259" i="4"/>
  <c r="AE182" i="4"/>
  <c r="AD182" i="4"/>
  <c r="AE365" i="4"/>
  <c r="AD365" i="4"/>
  <c r="AE128" i="4"/>
  <c r="AD128" i="4"/>
  <c r="AD415" i="4"/>
  <c r="AE415" i="4"/>
  <c r="AE66" i="4"/>
  <c r="AD66" i="4"/>
  <c r="AE191" i="4"/>
  <c r="AD191" i="4"/>
  <c r="AE74" i="4"/>
  <c r="AD74" i="4"/>
  <c r="AE445" i="4"/>
  <c r="AD445" i="4"/>
  <c r="AE272" i="4"/>
  <c r="AD272" i="4"/>
  <c r="AE49" i="4"/>
  <c r="AD49" i="4"/>
  <c r="AE268" i="4"/>
  <c r="AD268" i="4"/>
  <c r="AE462" i="4"/>
  <c r="AD462" i="4"/>
  <c r="AE433" i="4"/>
  <c r="AD433" i="4"/>
  <c r="AD78" i="4"/>
  <c r="AE78" i="4"/>
  <c r="AE267" i="4"/>
  <c r="AD267" i="4"/>
  <c r="AE173" i="4"/>
  <c r="AD173" i="4"/>
  <c r="AE125" i="4"/>
  <c r="AD125" i="4"/>
  <c r="AE335" i="4"/>
  <c r="AD335" i="4"/>
  <c r="AE61" i="4"/>
  <c r="AD61" i="4"/>
  <c r="AE245" i="4"/>
  <c r="AD245" i="4"/>
  <c r="AE426" i="4"/>
  <c r="AD426" i="4"/>
  <c r="AE102" i="4"/>
  <c r="AD102" i="4"/>
  <c r="AE306" i="4"/>
  <c r="AD306" i="4"/>
  <c r="AE461" i="4"/>
  <c r="AD461" i="4"/>
  <c r="AE428" i="4"/>
  <c r="AD428" i="4"/>
  <c r="AE57" i="4"/>
  <c r="AD57" i="4"/>
  <c r="AE156" i="4"/>
  <c r="AD156" i="4"/>
  <c r="AE354" i="4"/>
  <c r="AD354" i="4"/>
  <c r="AE510" i="4"/>
  <c r="AD510" i="4"/>
  <c r="AE377" i="4"/>
  <c r="AD377" i="4"/>
  <c r="AE492" i="4"/>
  <c r="AD492" i="4"/>
  <c r="AE515" i="4"/>
  <c r="AD515" i="4"/>
  <c r="AE442" i="4"/>
  <c r="AD442" i="4"/>
  <c r="AE404" i="4"/>
  <c r="AD404" i="4"/>
  <c r="AE189" i="4"/>
  <c r="AD189" i="4"/>
  <c r="AE231" i="4"/>
  <c r="AD231" i="4"/>
  <c r="AE55" i="4"/>
  <c r="AD55" i="4"/>
  <c r="AE288" i="4"/>
  <c r="AD288" i="4"/>
  <c r="AE100" i="4"/>
  <c r="AD100" i="4"/>
  <c r="AE29" i="4"/>
  <c r="AD29" i="4"/>
  <c r="AE202" i="4"/>
  <c r="AD202" i="4"/>
  <c r="AE19" i="4"/>
  <c r="AD19" i="4"/>
  <c r="AE104" i="4"/>
  <c r="AD104" i="4"/>
  <c r="AE41" i="4"/>
  <c r="AD41" i="4"/>
  <c r="AE208" i="4"/>
  <c r="AD208" i="4"/>
  <c r="AE488" i="4"/>
  <c r="AD488" i="4"/>
  <c r="AE171" i="4"/>
  <c r="AD171" i="4"/>
  <c r="AE177" i="4"/>
  <c r="AD177" i="4"/>
</calcChain>
</file>

<file path=xl/sharedStrings.xml><?xml version="1.0" encoding="utf-8"?>
<sst xmlns="http://schemas.openxmlformats.org/spreadsheetml/2006/main" count="3109" uniqueCount="236">
  <si>
    <t>[CONDUITS]</t>
  </si>
  <si>
    <t>[XSECTIONS]</t>
  </si>
  <si>
    <t>;;Link</t>
  </si>
  <si>
    <t>Shape</t>
  </si>
  <si>
    <t>Geom1</t>
  </si>
  <si>
    <t>Geom2</t>
  </si>
  <si>
    <t>Geom3</t>
  </si>
  <si>
    <t>Geom4</t>
  </si>
  <si>
    <t>Barrels    Culvert</t>
  </si>
  <si>
    <t>;;--------------</t>
  </si>
  <si>
    <t>------------</t>
  </si>
  <si>
    <t>----------------</t>
  </si>
  <si>
    <t>----------</t>
  </si>
  <si>
    <t>---------- ----------</t>
  </si>
  <si>
    <t>CIRCULAR</t>
  </si>
  <si>
    <t>;;Name</t>
  </si>
  <si>
    <t>From Node</t>
  </si>
  <si>
    <t>To Node</t>
  </si>
  <si>
    <t>Length</t>
  </si>
  <si>
    <t>Roughness</t>
  </si>
  <si>
    <t>InOffset</t>
  </si>
  <si>
    <t>OutOffset</t>
  </si>
  <si>
    <t>InitFlow</t>
  </si>
  <si>
    <t>MaxFlow</t>
  </si>
  <si>
    <t>z_0512_001_101</t>
  </si>
  <si>
    <t>z_0512_001_099</t>
  </si>
  <si>
    <t>z_0512_001_100</t>
  </si>
  <si>
    <t>z_0512_001_102</t>
  </si>
  <si>
    <t>z_0512_001_097</t>
  </si>
  <si>
    <t>z_0512_001_070</t>
  </si>
  <si>
    <t>z_0512_001_107</t>
  </si>
  <si>
    <t>z_0512_001_096</t>
  </si>
  <si>
    <t>z_0512_001_071</t>
  </si>
  <si>
    <t>z_0512_001_025</t>
  </si>
  <si>
    <t>z_0512_001_068</t>
  </si>
  <si>
    <t>z_0512_001_103</t>
  </si>
  <si>
    <t>z_0512_001_095</t>
  </si>
  <si>
    <t>z_0512_001_072</t>
  </si>
  <si>
    <t>z_0512_001_026</t>
  </si>
  <si>
    <t>z_0512_001_016</t>
  </si>
  <si>
    <t>z_0512_001_069</t>
  </si>
  <si>
    <t>z_0512_001_066</t>
  </si>
  <si>
    <t>z_0512_001_104</t>
  </si>
  <si>
    <t>z_0512_001_111</t>
  </si>
  <si>
    <t>z_0512_001_115</t>
  </si>
  <si>
    <t>z_0512_001_090</t>
  </si>
  <si>
    <t>z_0512_001_094</t>
  </si>
  <si>
    <t>z_0512_001_073</t>
  </si>
  <si>
    <t>z_0512_001_027</t>
  </si>
  <si>
    <t>z_0512_001_015</t>
  </si>
  <si>
    <t>z_0512_001_017</t>
  </si>
  <si>
    <t>z_0512_001_067</t>
  </si>
  <si>
    <t>z_0512_001_019</t>
  </si>
  <si>
    <t>z_0512_001_064</t>
  </si>
  <si>
    <t>z_0512_001_106</t>
  </si>
  <si>
    <t>z_0512_001_109</t>
  </si>
  <si>
    <t>z_0512_001_122</t>
  </si>
  <si>
    <t>z_0512_001_093</t>
  </si>
  <si>
    <t>z_0512_001_074</t>
  </si>
  <si>
    <t>z_0512_001_028</t>
  </si>
  <si>
    <t>z_0512_001_014</t>
  </si>
  <si>
    <t>z_0512_001_180</t>
  </si>
  <si>
    <t>z_0512_001_065</t>
  </si>
  <si>
    <t>z_0512_001_021</t>
  </si>
  <si>
    <t>z_0512_001_062</t>
  </si>
  <si>
    <t>z_0512_001_108</t>
  </si>
  <si>
    <t>z_0512_001_113</t>
  </si>
  <si>
    <t>z_0512_001_123</t>
  </si>
  <si>
    <t>z_0512_001_092</t>
  </si>
  <si>
    <t>z_0512_001_088</t>
  </si>
  <si>
    <t>z_0512_001_075</t>
  </si>
  <si>
    <t>z_0512_001_029</t>
  </si>
  <si>
    <t>z_0512_001_181</t>
  </si>
  <si>
    <t>z_0512_001_013</t>
  </si>
  <si>
    <t>z_0512_001_063</t>
  </si>
  <si>
    <t>z_0512_001_022</t>
  </si>
  <si>
    <t>z_0512_001_059</t>
  </si>
  <si>
    <t>z_0512_001_110</t>
  </si>
  <si>
    <t>z_0512_001_114</t>
  </si>
  <si>
    <t>z_0512_001_124</t>
  </si>
  <si>
    <t>z_0512_001_077</t>
  </si>
  <si>
    <t>z_0512_001_089</t>
  </si>
  <si>
    <t>z_0512_001_012</t>
  </si>
  <si>
    <t>z_0512_001_179</t>
  </si>
  <si>
    <t>z_0512_001_178</t>
  </si>
  <si>
    <t>z_0512_001_060</t>
  </si>
  <si>
    <t>z_0512_001_057</t>
  </si>
  <si>
    <t>z_0512_001_112</t>
  </si>
  <si>
    <t>z_0512_001_121</t>
  </si>
  <si>
    <t>z_0512_001_120</t>
  </si>
  <si>
    <t>z_0512_001_125</t>
  </si>
  <si>
    <t>z_0512_001_087</t>
  </si>
  <si>
    <t>z_0512_001_076</t>
  </si>
  <si>
    <t>z_0512_001_030</t>
  </si>
  <si>
    <t>z_0512_001_011</t>
  </si>
  <si>
    <t>z_0512_001_002</t>
  </si>
  <si>
    <t>z_0512_001_156</t>
  </si>
  <si>
    <t>z_0512_001_177</t>
  </si>
  <si>
    <t>z_0512_001_058</t>
  </si>
  <si>
    <t>z_0512_001_055</t>
  </si>
  <si>
    <t>z_0512_001_118</t>
  </si>
  <si>
    <t>z_0512_001_126</t>
  </si>
  <si>
    <t>z_0512_001_086</t>
  </si>
  <si>
    <t>z_0512_001_083</t>
  </si>
  <si>
    <t>z_0512_001_010</t>
  </si>
  <si>
    <t>z_0512_001_078</t>
  </si>
  <si>
    <t>z_0512_001_031</t>
  </si>
  <si>
    <t>z_0512_001_009</t>
  </si>
  <si>
    <t>z_0512_001_079</t>
  </si>
  <si>
    <t>z_0512_001_085</t>
  </si>
  <si>
    <t>z_0512_001_175</t>
  </si>
  <si>
    <t>z_0512_001_056</t>
  </si>
  <si>
    <t>z_0512_001_053</t>
  </si>
  <si>
    <t>z_0512_001_116</t>
  </si>
  <si>
    <t>z_0512_001_119</t>
  </si>
  <si>
    <t>z_0512_001_117</t>
  </si>
  <si>
    <t>z_0512_001_081</t>
  </si>
  <si>
    <t>z_0512_001_080</t>
  </si>
  <si>
    <t>z_0512_001_003</t>
  </si>
  <si>
    <t>z_0512_001_008</t>
  </si>
  <si>
    <t>z_0512_001_033</t>
  </si>
  <si>
    <t>z_0512_001_032</t>
  </si>
  <si>
    <t>z_0512_001_084</t>
  </si>
  <si>
    <t>z_0512_001_176</t>
  </si>
  <si>
    <t>z_0512_001_155</t>
  </si>
  <si>
    <t>z_0512_001_054</t>
  </si>
  <si>
    <t>z_0512_001_051</t>
  </si>
  <si>
    <t>z_0512_001_127</t>
  </si>
  <si>
    <t>z_0512_001_132</t>
  </si>
  <si>
    <t>z_0512_001_036</t>
  </si>
  <si>
    <t>z_0512_001_004</t>
  </si>
  <si>
    <t>z_0512_001_006</t>
  </si>
  <si>
    <t>z_0512_001_173</t>
  </si>
  <si>
    <t>z_0512_001_171</t>
  </si>
  <si>
    <t>z_0512_001_052</t>
  </si>
  <si>
    <t>z_0512_001_049</t>
  </si>
  <si>
    <t>z_0512_001_005</t>
  </si>
  <si>
    <t>z_0512_001_039</t>
  </si>
  <si>
    <t>z_0512_001_035</t>
  </si>
  <si>
    <t>z_0512_001_007</t>
  </si>
  <si>
    <t>z_0512_001_082</t>
  </si>
  <si>
    <t>z_0512_001_172</t>
  </si>
  <si>
    <t>z_0512_001_154</t>
  </si>
  <si>
    <t>z_0512_001_174</t>
  </si>
  <si>
    <t>z_0512_001_157</t>
  </si>
  <si>
    <t>z_0512_001_169</t>
  </si>
  <si>
    <t>z_0512_001_050</t>
  </si>
  <si>
    <t>z_0512_001_047</t>
  </si>
  <si>
    <t>z_0512_001_168</t>
  </si>
  <si>
    <t>z_0512_001_167</t>
  </si>
  <si>
    <t>z_0512_001_048</t>
  </si>
  <si>
    <t>z_0512_001_045</t>
  </si>
  <si>
    <t>z_0512_001_131</t>
  </si>
  <si>
    <t>z_0512_001_040</t>
  </si>
  <si>
    <t>z_0512_001_037</t>
  </si>
  <si>
    <t>z_0512_001_038</t>
  </si>
  <si>
    <t>z_0512_001_166</t>
  </si>
  <si>
    <t>z_0512_001_153</t>
  </si>
  <si>
    <t>z_0512_001_165</t>
  </si>
  <si>
    <t>z_0512_001_046</t>
  </si>
  <si>
    <t>z_0512_001_129</t>
  </si>
  <si>
    <t>z_0512_001_043</t>
  </si>
  <si>
    <t>z_0512_001_164</t>
  </si>
  <si>
    <t>z_0512_001_158</t>
  </si>
  <si>
    <t>z_0512_001_163</t>
  </si>
  <si>
    <t>z_0512_001_044</t>
  </si>
  <si>
    <t>z_0512_001_162</t>
  </si>
  <si>
    <t>z_0512_001_152</t>
  </si>
  <si>
    <t>z_0512_001_161</t>
  </si>
  <si>
    <t>z_0512_001_130</t>
  </si>
  <si>
    <t>z_0512_001_041</t>
  </si>
  <si>
    <t>z_0512_001_160</t>
  </si>
  <si>
    <t>z_0512_001_151</t>
  </si>
  <si>
    <t>z_0512_001_159</t>
  </si>
  <si>
    <t>z_0512_001_042</t>
  </si>
  <si>
    <t>z_0512_001_146</t>
  </si>
  <si>
    <t>z_0512_001_137</t>
  </si>
  <si>
    <t>z_0512_001_147</t>
  </si>
  <si>
    <t>z_0512_001_023</t>
  </si>
  <si>
    <t>z_0512_001_148</t>
  </si>
  <si>
    <t>z_0512_001_138</t>
  </si>
  <si>
    <t>z_0512_001_149</t>
  </si>
  <si>
    <t>z_0512_001_139</t>
  </si>
  <si>
    <t>z_0512_001_150</t>
  </si>
  <si>
    <t>z_0512_001_145</t>
  </si>
  <si>
    <t>z_0512_001_140</t>
  </si>
  <si>
    <t>z_0512_001_144</t>
  </si>
  <si>
    <t>z_0512_001_136</t>
  </si>
  <si>
    <t>z_0512_001_135</t>
  </si>
  <si>
    <t>z_0512_001_141</t>
  </si>
  <si>
    <t>z_0512_001_142</t>
  </si>
  <si>
    <t>z_0512_001_143</t>
  </si>
  <si>
    <t>z_0512_001_091</t>
  </si>
  <si>
    <t>z_0512_001_061</t>
  </si>
  <si>
    <t>z_0512_001_133</t>
  </si>
  <si>
    <t>z_0512_001_170</t>
  </si>
  <si>
    <t>z_0512_001_128</t>
  </si>
  <si>
    <t>z_0512_001_098</t>
  </si>
  <si>
    <t>z_0512_001_034</t>
  </si>
  <si>
    <t>z_0512_001_105</t>
  </si>
  <si>
    <t>z_0512_001_018</t>
  </si>
  <si>
    <t>z_0512_001_001</t>
  </si>
  <si>
    <t>z_0512_001_134</t>
  </si>
  <si>
    <t>z_0512_001_020</t>
  </si>
  <si>
    <t>z_0512_001_024</t>
  </si>
  <si>
    <t>[Capacity]</t>
  </si>
  <si>
    <t>Capacity</t>
  </si>
  <si>
    <t>Length(m)</t>
  </si>
  <si>
    <t>Geom1(m)</t>
  </si>
  <si>
    <t>D-Max</t>
  </si>
  <si>
    <t>D-Min</t>
  </si>
  <si>
    <t>Weighted-D</t>
  </si>
  <si>
    <t>Volume</t>
  </si>
  <si>
    <t>Diameter</t>
  </si>
  <si>
    <t xml:space="preserve">Input </t>
  </si>
  <si>
    <t>SUM-UP</t>
  </si>
  <si>
    <t>Output</t>
  </si>
  <si>
    <t>SUM-D</t>
  </si>
  <si>
    <t>SUM-Dup</t>
  </si>
  <si>
    <t>SUM-Dd</t>
  </si>
  <si>
    <t xml:space="preserve">Conduit </t>
  </si>
  <si>
    <t>I1</t>
  </si>
  <si>
    <t>Upstreams</t>
  </si>
  <si>
    <t>Downstreams</t>
  </si>
  <si>
    <t>A 1-1</t>
  </si>
  <si>
    <t>A 1-2</t>
  </si>
  <si>
    <t>A 2-1</t>
  </si>
  <si>
    <t>A 2-2</t>
  </si>
  <si>
    <t>A 1-3</t>
  </si>
  <si>
    <t>0</t>
  </si>
  <si>
    <t>PVI</t>
  </si>
  <si>
    <t>CD</t>
  </si>
  <si>
    <t xml:space="preserve">CPE </t>
  </si>
  <si>
    <t xml:space="preserve">Degree- Upstream pipes </t>
  </si>
  <si>
    <t xml:space="preserve">Degree- Downstream pipes </t>
  </si>
  <si>
    <t>CPE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</si>
</sst>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3" borderId="0" applyNumberFormat="0" applyBorder="0" applyAlignment="0" applyProtection="0"/>
    <xf numFmtId="0" fontId="2" fillId="4" borderId="0" applyNumberFormat="0" applyBorder="0" applyAlignment="0" applyProtection="0"/>
    <xf numFmtId="0" fontId="3" fillId="5" borderId="0" applyNumberFormat="0" applyBorder="0" applyAlignment="0" applyProtection="0"/>
  </cellStyleXfs>
  <cellXfs count="6">
    <xf numFmtId="0" fontId="0" fillId="0" borderId="0" xfId="0"/>
    <xf numFmtId="0" fontId="0" fillId="2" borderId="0" xfId="0" applyFill="1"/>
    <xf numFmtId="0" fontId="1" fillId="3" borderId="0" xfId="1"/>
    <xf numFmtId="0" fontId="2" fillId="4" borderId="0" xfId="2"/>
    <xf numFmtId="0" fontId="3" fillId="5" borderId="0" xfId="3"/>
    <xf numFmtId="0" fontId="0" fillId="6" borderId="0" xfId="0" applyFill="1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3"/>
  <sheetViews>
    <sheetView topLeftCell="A190" workbookViewId="0">
      <selection activeCell="A230" sqref="A230"/>
    </sheetView>
  </sheetViews>
  <sheetFormatPr defaultRowHeight="15" x14ac:dyDescent="0.25"/>
  <sheetData>
    <row r="1" spans="1:9" x14ac:dyDescent="0.25">
      <c r="A1" t="s">
        <v>0</v>
      </c>
    </row>
    <row r="2" spans="1:9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</row>
    <row r="3" spans="1:9" x14ac:dyDescent="0.25">
      <c r="A3" t="s">
        <v>9</v>
      </c>
      <c r="B3" t="s">
        <v>11</v>
      </c>
      <c r="C3" t="s">
        <v>11</v>
      </c>
      <c r="D3" t="s">
        <v>12</v>
      </c>
      <c r="E3" t="s">
        <v>12</v>
      </c>
      <c r="F3" t="s">
        <v>12</v>
      </c>
      <c r="G3" t="s">
        <v>12</v>
      </c>
      <c r="H3" t="s">
        <v>12</v>
      </c>
      <c r="I3" t="s">
        <v>12</v>
      </c>
    </row>
    <row r="4" spans="1:9" x14ac:dyDescent="0.25">
      <c r="A4">
        <v>158</v>
      </c>
      <c r="B4">
        <v>240</v>
      </c>
      <c r="C4">
        <v>347</v>
      </c>
      <c r="D4">
        <v>250</v>
      </c>
      <c r="E4">
        <v>0.01</v>
      </c>
      <c r="F4">
        <v>0</v>
      </c>
      <c r="G4">
        <v>0</v>
      </c>
      <c r="H4">
        <v>0</v>
      </c>
      <c r="I4">
        <v>0</v>
      </c>
    </row>
    <row r="5" spans="1:9" x14ac:dyDescent="0.25">
      <c r="A5">
        <v>163</v>
      </c>
      <c r="B5">
        <v>245</v>
      </c>
      <c r="C5">
        <v>240</v>
      </c>
      <c r="D5">
        <v>85</v>
      </c>
      <c r="E5">
        <v>0.01</v>
      </c>
      <c r="F5">
        <v>0</v>
      </c>
      <c r="G5">
        <v>2.0105</v>
      </c>
      <c r="H5">
        <v>0</v>
      </c>
      <c r="I5">
        <v>0</v>
      </c>
    </row>
    <row r="6" spans="1:9" x14ac:dyDescent="0.25">
      <c r="A6">
        <v>156</v>
      </c>
      <c r="B6">
        <v>239</v>
      </c>
      <c r="C6">
        <v>240</v>
      </c>
      <c r="D6">
        <v>220</v>
      </c>
      <c r="E6">
        <v>0.01</v>
      </c>
      <c r="F6">
        <v>0</v>
      </c>
      <c r="G6">
        <v>0.5</v>
      </c>
      <c r="H6">
        <v>0</v>
      </c>
      <c r="I6">
        <v>0</v>
      </c>
    </row>
    <row r="7" spans="1:9" x14ac:dyDescent="0.25">
      <c r="A7">
        <v>153</v>
      </c>
      <c r="B7">
        <v>236</v>
      </c>
      <c r="C7">
        <v>240</v>
      </c>
      <c r="D7">
        <v>85</v>
      </c>
      <c r="E7">
        <v>0.01</v>
      </c>
      <c r="F7">
        <v>0</v>
      </c>
      <c r="G7">
        <v>1.3035000000000001</v>
      </c>
      <c r="H7">
        <v>0</v>
      </c>
      <c r="I7">
        <v>0</v>
      </c>
    </row>
    <row r="8" spans="1:9" x14ac:dyDescent="0.25">
      <c r="A8">
        <v>152</v>
      </c>
      <c r="B8">
        <v>235</v>
      </c>
      <c r="C8">
        <v>236</v>
      </c>
      <c r="D8">
        <v>200</v>
      </c>
      <c r="E8">
        <v>0.01</v>
      </c>
      <c r="F8">
        <v>0</v>
      </c>
      <c r="G8">
        <v>1.9675</v>
      </c>
      <c r="H8">
        <v>0</v>
      </c>
      <c r="I8">
        <v>0</v>
      </c>
    </row>
    <row r="9" spans="1:9" x14ac:dyDescent="0.25">
      <c r="A9">
        <v>149</v>
      </c>
      <c r="B9">
        <v>232</v>
      </c>
      <c r="C9">
        <v>236</v>
      </c>
      <c r="D9">
        <v>85</v>
      </c>
      <c r="E9">
        <v>0.01</v>
      </c>
      <c r="F9">
        <v>0</v>
      </c>
      <c r="G9">
        <v>0</v>
      </c>
      <c r="H9">
        <v>0</v>
      </c>
      <c r="I9">
        <v>0</v>
      </c>
    </row>
    <row r="10" spans="1:9" x14ac:dyDescent="0.25">
      <c r="A10">
        <v>161</v>
      </c>
      <c r="B10">
        <v>243</v>
      </c>
      <c r="C10">
        <v>239</v>
      </c>
      <c r="D10">
        <v>80</v>
      </c>
      <c r="E10">
        <v>0.01</v>
      </c>
      <c r="F10">
        <v>0</v>
      </c>
      <c r="G10">
        <v>5.0069999999999997</v>
      </c>
      <c r="H10">
        <v>0</v>
      </c>
      <c r="I10">
        <v>0</v>
      </c>
    </row>
    <row r="11" spans="1:9" x14ac:dyDescent="0.25">
      <c r="A11">
        <v>155</v>
      </c>
      <c r="B11">
        <v>238</v>
      </c>
      <c r="C11">
        <v>239</v>
      </c>
      <c r="D11">
        <v>210</v>
      </c>
      <c r="E11">
        <v>0.01</v>
      </c>
      <c r="F11">
        <v>0</v>
      </c>
      <c r="G11">
        <v>0</v>
      </c>
      <c r="H11">
        <v>0</v>
      </c>
      <c r="I11">
        <v>0</v>
      </c>
    </row>
    <row r="12" spans="1:9" x14ac:dyDescent="0.25">
      <c r="A12">
        <v>169</v>
      </c>
      <c r="B12">
        <v>250</v>
      </c>
      <c r="C12">
        <v>245</v>
      </c>
      <c r="D12">
        <v>85</v>
      </c>
      <c r="E12">
        <v>0.01</v>
      </c>
      <c r="F12">
        <v>0</v>
      </c>
      <c r="G12">
        <v>0</v>
      </c>
      <c r="H12">
        <v>0</v>
      </c>
      <c r="I12">
        <v>0</v>
      </c>
    </row>
    <row r="13" spans="1:9" x14ac:dyDescent="0.25">
      <c r="A13">
        <v>162</v>
      </c>
      <c r="B13">
        <v>244</v>
      </c>
      <c r="C13">
        <v>245</v>
      </c>
      <c r="D13">
        <v>170</v>
      </c>
      <c r="E13">
        <v>0.01</v>
      </c>
      <c r="F13">
        <v>0</v>
      </c>
      <c r="G13">
        <v>4.4370000000000003</v>
      </c>
      <c r="H13">
        <v>0</v>
      </c>
      <c r="I13">
        <v>0</v>
      </c>
    </row>
    <row r="14" spans="1:9" x14ac:dyDescent="0.25">
      <c r="A14">
        <v>148</v>
      </c>
      <c r="B14">
        <v>231</v>
      </c>
      <c r="C14">
        <v>232</v>
      </c>
      <c r="D14">
        <v>190</v>
      </c>
      <c r="E14">
        <v>0.01</v>
      </c>
      <c r="F14">
        <v>0</v>
      </c>
      <c r="G14">
        <v>1.6</v>
      </c>
      <c r="H14">
        <v>0</v>
      </c>
      <c r="I14">
        <v>0</v>
      </c>
    </row>
    <row r="15" spans="1:9" x14ac:dyDescent="0.25">
      <c r="A15">
        <v>144</v>
      </c>
      <c r="B15">
        <v>228</v>
      </c>
      <c r="C15">
        <v>232</v>
      </c>
      <c r="D15">
        <v>85</v>
      </c>
      <c r="E15">
        <v>0.01</v>
      </c>
      <c r="F15">
        <v>0</v>
      </c>
      <c r="G15">
        <v>9.1499999999999998E-2</v>
      </c>
      <c r="H15">
        <v>0</v>
      </c>
      <c r="I15">
        <v>0</v>
      </c>
    </row>
    <row r="16" spans="1:9" x14ac:dyDescent="0.25">
      <c r="A16">
        <v>151</v>
      </c>
      <c r="B16">
        <v>234</v>
      </c>
      <c r="C16">
        <v>235</v>
      </c>
      <c r="D16">
        <v>200</v>
      </c>
      <c r="E16">
        <v>0.01</v>
      </c>
      <c r="F16">
        <v>0</v>
      </c>
      <c r="G16">
        <v>0</v>
      </c>
      <c r="H16">
        <v>0</v>
      </c>
      <c r="I16">
        <v>0</v>
      </c>
    </row>
    <row r="17" spans="1:9" x14ac:dyDescent="0.25">
      <c r="A17">
        <v>154</v>
      </c>
      <c r="B17">
        <v>237</v>
      </c>
      <c r="C17">
        <v>238</v>
      </c>
      <c r="D17">
        <v>220</v>
      </c>
      <c r="E17">
        <v>0.01</v>
      </c>
      <c r="F17">
        <v>0</v>
      </c>
      <c r="G17">
        <v>0</v>
      </c>
      <c r="H17">
        <v>0</v>
      </c>
      <c r="I17">
        <v>0</v>
      </c>
    </row>
    <row r="18" spans="1:9" x14ac:dyDescent="0.25">
      <c r="A18">
        <v>160</v>
      </c>
      <c r="B18">
        <v>242</v>
      </c>
      <c r="C18">
        <v>243</v>
      </c>
      <c r="D18">
        <v>215</v>
      </c>
      <c r="E18">
        <v>0.01</v>
      </c>
      <c r="F18">
        <v>0</v>
      </c>
      <c r="G18">
        <v>0.13</v>
      </c>
      <c r="H18">
        <v>0</v>
      </c>
      <c r="I18">
        <v>0</v>
      </c>
    </row>
    <row r="19" spans="1:9" x14ac:dyDescent="0.25">
      <c r="A19">
        <v>450</v>
      </c>
      <c r="B19" t="s">
        <v>24</v>
      </c>
      <c r="C19">
        <v>244</v>
      </c>
      <c r="D19">
        <v>70</v>
      </c>
      <c r="E19">
        <v>0.01</v>
      </c>
      <c r="F19">
        <v>0</v>
      </c>
      <c r="G19">
        <v>0</v>
      </c>
      <c r="H19">
        <v>0</v>
      </c>
      <c r="I19">
        <v>0</v>
      </c>
    </row>
    <row r="20" spans="1:9" x14ac:dyDescent="0.25">
      <c r="A20">
        <v>177</v>
      </c>
      <c r="B20">
        <v>258</v>
      </c>
      <c r="C20">
        <v>250</v>
      </c>
      <c r="D20">
        <v>160</v>
      </c>
      <c r="E20">
        <v>0.01</v>
      </c>
      <c r="F20">
        <v>0</v>
      </c>
      <c r="G20">
        <v>0</v>
      </c>
      <c r="H20">
        <v>0</v>
      </c>
      <c r="I20">
        <v>0</v>
      </c>
    </row>
    <row r="21" spans="1:9" x14ac:dyDescent="0.25">
      <c r="A21">
        <v>167</v>
      </c>
      <c r="B21">
        <v>249</v>
      </c>
      <c r="C21">
        <v>250</v>
      </c>
      <c r="D21">
        <v>155</v>
      </c>
      <c r="E21">
        <v>0.01</v>
      </c>
      <c r="F21">
        <v>0</v>
      </c>
      <c r="G21">
        <v>0.95450000000000002</v>
      </c>
      <c r="H21">
        <v>0</v>
      </c>
      <c r="I21">
        <v>0</v>
      </c>
    </row>
    <row r="22" spans="1:9" x14ac:dyDescent="0.25">
      <c r="A22">
        <v>143</v>
      </c>
      <c r="B22">
        <v>227</v>
      </c>
      <c r="C22">
        <v>228</v>
      </c>
      <c r="D22">
        <v>185</v>
      </c>
      <c r="E22">
        <v>0.01</v>
      </c>
      <c r="F22">
        <v>0</v>
      </c>
      <c r="G22">
        <v>2.0895000000000001</v>
      </c>
      <c r="H22">
        <v>0</v>
      </c>
      <c r="I22">
        <v>0</v>
      </c>
    </row>
    <row r="23" spans="1:9" x14ac:dyDescent="0.25">
      <c r="A23">
        <v>137</v>
      </c>
      <c r="B23">
        <v>221</v>
      </c>
      <c r="C23">
        <v>228</v>
      </c>
      <c r="D23">
        <v>85</v>
      </c>
      <c r="E23">
        <v>0.01</v>
      </c>
      <c r="F23">
        <v>0</v>
      </c>
      <c r="G23">
        <v>0</v>
      </c>
      <c r="H23">
        <v>0</v>
      </c>
      <c r="I23">
        <v>0</v>
      </c>
    </row>
    <row r="24" spans="1:9" x14ac:dyDescent="0.25">
      <c r="A24">
        <v>147</v>
      </c>
      <c r="B24">
        <v>230</v>
      </c>
      <c r="C24">
        <v>231</v>
      </c>
      <c r="D24">
        <v>190</v>
      </c>
      <c r="E24">
        <v>0.01</v>
      </c>
      <c r="F24">
        <v>0</v>
      </c>
      <c r="G24">
        <v>0</v>
      </c>
      <c r="H24">
        <v>0</v>
      </c>
      <c r="I24">
        <v>0</v>
      </c>
    </row>
    <row r="25" spans="1:9" x14ac:dyDescent="0.25">
      <c r="A25">
        <v>150</v>
      </c>
      <c r="B25">
        <v>233</v>
      </c>
      <c r="C25">
        <v>234</v>
      </c>
      <c r="D25">
        <v>200</v>
      </c>
      <c r="E25">
        <v>0.01</v>
      </c>
      <c r="F25">
        <v>0</v>
      </c>
      <c r="G25">
        <v>0.05</v>
      </c>
      <c r="H25">
        <v>0</v>
      </c>
      <c r="I25">
        <v>0</v>
      </c>
    </row>
    <row r="26" spans="1:9" x14ac:dyDescent="0.25">
      <c r="A26">
        <v>448</v>
      </c>
      <c r="B26" t="s">
        <v>25</v>
      </c>
      <c r="C26">
        <v>237</v>
      </c>
      <c r="D26">
        <v>80</v>
      </c>
      <c r="E26">
        <v>0.01</v>
      </c>
      <c r="F26">
        <v>0</v>
      </c>
      <c r="G26">
        <v>6.101</v>
      </c>
      <c r="H26">
        <v>0</v>
      </c>
      <c r="I26">
        <v>0</v>
      </c>
    </row>
    <row r="27" spans="1:9" x14ac:dyDescent="0.25">
      <c r="A27">
        <v>159</v>
      </c>
      <c r="B27">
        <v>241</v>
      </c>
      <c r="C27">
        <v>237</v>
      </c>
      <c r="D27">
        <v>80</v>
      </c>
      <c r="E27">
        <v>0.01</v>
      </c>
      <c r="F27">
        <v>0</v>
      </c>
      <c r="G27">
        <v>0.9</v>
      </c>
      <c r="H27">
        <v>0</v>
      </c>
      <c r="I27">
        <v>0</v>
      </c>
    </row>
    <row r="28" spans="1:9" x14ac:dyDescent="0.25">
      <c r="A28">
        <v>87</v>
      </c>
      <c r="B28">
        <v>177</v>
      </c>
      <c r="C28">
        <v>237</v>
      </c>
      <c r="D28">
        <v>220</v>
      </c>
      <c r="E28">
        <v>0.01</v>
      </c>
      <c r="F28">
        <v>0</v>
      </c>
      <c r="G28">
        <v>0.205786</v>
      </c>
      <c r="H28">
        <v>0</v>
      </c>
      <c r="I28">
        <v>0</v>
      </c>
    </row>
    <row r="29" spans="1:9" x14ac:dyDescent="0.25">
      <c r="A29">
        <v>449</v>
      </c>
      <c r="B29" t="s">
        <v>26</v>
      </c>
      <c r="C29">
        <v>242</v>
      </c>
      <c r="D29">
        <v>215</v>
      </c>
      <c r="E29">
        <v>0.01</v>
      </c>
      <c r="F29">
        <v>0</v>
      </c>
      <c r="G29">
        <v>0.05</v>
      </c>
      <c r="H29">
        <v>0</v>
      </c>
      <c r="I29">
        <v>0</v>
      </c>
    </row>
    <row r="30" spans="1:9" x14ac:dyDescent="0.25">
      <c r="A30">
        <v>451</v>
      </c>
      <c r="B30" t="s">
        <v>27</v>
      </c>
      <c r="C30">
        <v>249</v>
      </c>
      <c r="D30">
        <v>90</v>
      </c>
      <c r="E30">
        <v>0.01</v>
      </c>
      <c r="F30">
        <v>0</v>
      </c>
      <c r="G30">
        <v>3.5125000000000002</v>
      </c>
      <c r="H30">
        <v>0</v>
      </c>
      <c r="I30">
        <v>0</v>
      </c>
    </row>
    <row r="31" spans="1:9" x14ac:dyDescent="0.25">
      <c r="A31">
        <v>166</v>
      </c>
      <c r="B31">
        <v>248</v>
      </c>
      <c r="C31">
        <v>249</v>
      </c>
      <c r="D31">
        <v>215</v>
      </c>
      <c r="E31">
        <v>0.01</v>
      </c>
      <c r="F31">
        <v>0</v>
      </c>
      <c r="G31">
        <v>0</v>
      </c>
      <c r="H31">
        <v>0</v>
      </c>
      <c r="I31">
        <v>0</v>
      </c>
    </row>
    <row r="32" spans="1:9" x14ac:dyDescent="0.25">
      <c r="A32">
        <v>183</v>
      </c>
      <c r="B32">
        <v>263</v>
      </c>
      <c r="C32">
        <v>258</v>
      </c>
      <c r="D32">
        <v>80</v>
      </c>
      <c r="E32">
        <v>0.01</v>
      </c>
      <c r="F32">
        <v>0</v>
      </c>
      <c r="G32">
        <v>0</v>
      </c>
      <c r="H32">
        <v>0</v>
      </c>
      <c r="I32">
        <v>0</v>
      </c>
    </row>
    <row r="33" spans="1:9" x14ac:dyDescent="0.25">
      <c r="A33">
        <v>176</v>
      </c>
      <c r="B33">
        <v>257</v>
      </c>
      <c r="C33">
        <v>258</v>
      </c>
      <c r="D33">
        <v>200</v>
      </c>
      <c r="E33">
        <v>0.01</v>
      </c>
      <c r="F33">
        <v>0</v>
      </c>
      <c r="G33">
        <v>3.5905</v>
      </c>
      <c r="H33">
        <v>0</v>
      </c>
      <c r="I33">
        <v>0</v>
      </c>
    </row>
    <row r="34" spans="1:9" x14ac:dyDescent="0.25">
      <c r="A34">
        <v>138</v>
      </c>
      <c r="B34">
        <v>222</v>
      </c>
      <c r="C34">
        <v>221</v>
      </c>
      <c r="D34">
        <v>170</v>
      </c>
      <c r="E34">
        <v>0.01</v>
      </c>
      <c r="F34">
        <v>0</v>
      </c>
      <c r="G34">
        <v>2.1989999999999998</v>
      </c>
      <c r="H34">
        <v>0</v>
      </c>
      <c r="I34">
        <v>0</v>
      </c>
    </row>
    <row r="35" spans="1:9" x14ac:dyDescent="0.25">
      <c r="A35">
        <v>136</v>
      </c>
      <c r="B35">
        <v>220</v>
      </c>
      <c r="C35">
        <v>221</v>
      </c>
      <c r="D35">
        <v>85</v>
      </c>
      <c r="E35">
        <v>0.01</v>
      </c>
      <c r="F35">
        <v>0</v>
      </c>
      <c r="G35">
        <v>0.5</v>
      </c>
      <c r="H35">
        <v>0</v>
      </c>
      <c r="I35">
        <v>0</v>
      </c>
    </row>
    <row r="36" spans="1:9" x14ac:dyDescent="0.25">
      <c r="A36">
        <v>142</v>
      </c>
      <c r="B36">
        <v>226</v>
      </c>
      <c r="C36">
        <v>227</v>
      </c>
      <c r="D36">
        <v>185</v>
      </c>
      <c r="E36">
        <v>0.01</v>
      </c>
      <c r="F36">
        <v>0</v>
      </c>
      <c r="G36">
        <v>0</v>
      </c>
      <c r="H36">
        <v>0</v>
      </c>
      <c r="I36">
        <v>0</v>
      </c>
    </row>
    <row r="37" spans="1:9" x14ac:dyDescent="0.25">
      <c r="A37">
        <v>145</v>
      </c>
      <c r="B37">
        <v>229</v>
      </c>
      <c r="C37">
        <v>230</v>
      </c>
      <c r="D37">
        <v>190</v>
      </c>
      <c r="E37">
        <v>0.01</v>
      </c>
      <c r="F37">
        <v>0</v>
      </c>
      <c r="G37">
        <v>0</v>
      </c>
      <c r="H37">
        <v>0</v>
      </c>
      <c r="I37">
        <v>0</v>
      </c>
    </row>
    <row r="38" spans="1:9" x14ac:dyDescent="0.25">
      <c r="A38">
        <v>446</v>
      </c>
      <c r="B38" t="s">
        <v>28</v>
      </c>
      <c r="C38">
        <v>233</v>
      </c>
      <c r="D38">
        <v>80</v>
      </c>
      <c r="E38">
        <v>0.01</v>
      </c>
      <c r="F38">
        <v>0</v>
      </c>
      <c r="G38">
        <v>2.0154999999999998</v>
      </c>
      <c r="H38">
        <v>0</v>
      </c>
      <c r="I38">
        <v>0</v>
      </c>
    </row>
    <row r="39" spans="1:9" x14ac:dyDescent="0.25">
      <c r="A39">
        <v>88</v>
      </c>
      <c r="B39">
        <v>178</v>
      </c>
      <c r="C39">
        <v>233</v>
      </c>
      <c r="D39">
        <v>220</v>
      </c>
      <c r="E39">
        <v>0.01</v>
      </c>
      <c r="F39">
        <v>0</v>
      </c>
      <c r="G39">
        <v>0</v>
      </c>
      <c r="H39">
        <v>0</v>
      </c>
      <c r="I39">
        <v>0</v>
      </c>
    </row>
    <row r="40" spans="1:9" x14ac:dyDescent="0.25">
      <c r="A40">
        <v>86</v>
      </c>
      <c r="B40">
        <v>176</v>
      </c>
      <c r="C40">
        <v>177</v>
      </c>
      <c r="D40">
        <v>80</v>
      </c>
      <c r="E40">
        <v>0.01</v>
      </c>
      <c r="F40">
        <v>0</v>
      </c>
      <c r="G40">
        <v>0.3</v>
      </c>
      <c r="H40">
        <v>0</v>
      </c>
      <c r="I40">
        <v>0</v>
      </c>
    </row>
    <row r="41" spans="1:9" x14ac:dyDescent="0.25">
      <c r="A41">
        <v>48</v>
      </c>
      <c r="B41">
        <v>141</v>
      </c>
      <c r="C41">
        <v>177</v>
      </c>
      <c r="D41">
        <v>225</v>
      </c>
      <c r="E41">
        <v>0.01</v>
      </c>
      <c r="F41">
        <v>0</v>
      </c>
      <c r="G41">
        <v>1.1117140000000001</v>
      </c>
      <c r="H41">
        <v>0</v>
      </c>
      <c r="I41">
        <v>0</v>
      </c>
    </row>
    <row r="42" spans="1:9" x14ac:dyDescent="0.25">
      <c r="A42">
        <v>419</v>
      </c>
      <c r="B42" t="s">
        <v>29</v>
      </c>
      <c r="C42">
        <v>241</v>
      </c>
      <c r="D42">
        <v>220</v>
      </c>
      <c r="E42">
        <v>0.01</v>
      </c>
      <c r="F42">
        <v>0</v>
      </c>
      <c r="G42">
        <v>4.6589999999999998</v>
      </c>
      <c r="H42">
        <v>0</v>
      </c>
      <c r="I42">
        <v>0</v>
      </c>
    </row>
    <row r="43" spans="1:9" x14ac:dyDescent="0.25">
      <c r="A43">
        <v>164</v>
      </c>
      <c r="B43">
        <v>246</v>
      </c>
      <c r="C43">
        <v>241</v>
      </c>
      <c r="D43">
        <v>80</v>
      </c>
      <c r="E43">
        <v>0.01</v>
      </c>
      <c r="F43">
        <v>0</v>
      </c>
      <c r="G43">
        <v>0</v>
      </c>
      <c r="H43">
        <v>0</v>
      </c>
      <c r="I43">
        <v>0</v>
      </c>
    </row>
    <row r="44" spans="1:9" x14ac:dyDescent="0.25">
      <c r="A44">
        <v>172</v>
      </c>
      <c r="B44">
        <v>253</v>
      </c>
      <c r="C44">
        <v>248</v>
      </c>
      <c r="D44">
        <v>80</v>
      </c>
      <c r="E44">
        <v>0.01</v>
      </c>
      <c r="F44">
        <v>0</v>
      </c>
      <c r="G44">
        <v>0</v>
      </c>
      <c r="H44">
        <v>0</v>
      </c>
      <c r="I44">
        <v>0</v>
      </c>
    </row>
    <row r="45" spans="1:9" x14ac:dyDescent="0.25">
      <c r="A45">
        <v>165</v>
      </c>
      <c r="B45">
        <v>247</v>
      </c>
      <c r="C45">
        <v>248</v>
      </c>
      <c r="D45">
        <v>165</v>
      </c>
      <c r="E45">
        <v>0.01</v>
      </c>
      <c r="F45">
        <v>0</v>
      </c>
      <c r="G45">
        <v>2.4079999999999999</v>
      </c>
      <c r="H45">
        <v>0</v>
      </c>
      <c r="I45">
        <v>0</v>
      </c>
    </row>
    <row r="46" spans="1:9" x14ac:dyDescent="0.25">
      <c r="A46">
        <v>456</v>
      </c>
      <c r="B46" t="s">
        <v>30</v>
      </c>
      <c r="C46">
        <v>257</v>
      </c>
      <c r="D46">
        <v>200</v>
      </c>
      <c r="E46">
        <v>0.01</v>
      </c>
      <c r="F46">
        <v>0</v>
      </c>
      <c r="G46">
        <v>0</v>
      </c>
      <c r="H46">
        <v>0</v>
      </c>
      <c r="I46">
        <v>0</v>
      </c>
    </row>
    <row r="47" spans="1:9" x14ac:dyDescent="0.25">
      <c r="A47">
        <v>188</v>
      </c>
      <c r="B47">
        <v>268</v>
      </c>
      <c r="C47">
        <v>263</v>
      </c>
      <c r="D47">
        <v>80</v>
      </c>
      <c r="E47">
        <v>0.01</v>
      </c>
      <c r="F47">
        <v>0</v>
      </c>
      <c r="G47">
        <v>0</v>
      </c>
      <c r="H47">
        <v>0</v>
      </c>
      <c r="I47">
        <v>0</v>
      </c>
    </row>
    <row r="48" spans="1:9" x14ac:dyDescent="0.25">
      <c r="A48">
        <v>182</v>
      </c>
      <c r="B48">
        <v>262</v>
      </c>
      <c r="C48">
        <v>263</v>
      </c>
      <c r="D48">
        <v>200</v>
      </c>
      <c r="E48">
        <v>0.01</v>
      </c>
      <c r="F48">
        <v>0</v>
      </c>
      <c r="G48">
        <v>4.0345000000000004</v>
      </c>
      <c r="H48">
        <v>0</v>
      </c>
      <c r="I48">
        <v>0</v>
      </c>
    </row>
    <row r="49" spans="1:9" x14ac:dyDescent="0.25">
      <c r="A49">
        <v>276</v>
      </c>
      <c r="B49">
        <v>348</v>
      </c>
      <c r="C49">
        <v>220</v>
      </c>
      <c r="D49">
        <v>250</v>
      </c>
      <c r="E49">
        <v>0.01</v>
      </c>
      <c r="F49">
        <v>0</v>
      </c>
      <c r="G49">
        <v>4.3620000000000001</v>
      </c>
      <c r="H49">
        <v>0</v>
      </c>
      <c r="I49">
        <v>0</v>
      </c>
    </row>
    <row r="50" spans="1:9" x14ac:dyDescent="0.25">
      <c r="A50">
        <v>134</v>
      </c>
      <c r="B50">
        <v>219</v>
      </c>
      <c r="C50">
        <v>220</v>
      </c>
      <c r="D50">
        <v>155</v>
      </c>
      <c r="E50">
        <v>0.01</v>
      </c>
      <c r="F50">
        <v>0</v>
      </c>
      <c r="G50">
        <v>0.59099999999999997</v>
      </c>
      <c r="H50">
        <v>0</v>
      </c>
      <c r="I50">
        <v>0</v>
      </c>
    </row>
    <row r="51" spans="1:9" x14ac:dyDescent="0.25">
      <c r="A51">
        <v>128</v>
      </c>
      <c r="B51">
        <v>213</v>
      </c>
      <c r="C51">
        <v>220</v>
      </c>
      <c r="D51">
        <v>110</v>
      </c>
      <c r="E51">
        <v>0.01</v>
      </c>
      <c r="F51">
        <v>0</v>
      </c>
      <c r="G51">
        <v>0.9</v>
      </c>
      <c r="H51">
        <v>0</v>
      </c>
      <c r="I51">
        <v>0</v>
      </c>
    </row>
    <row r="52" spans="1:9" x14ac:dyDescent="0.25">
      <c r="A52">
        <v>139</v>
      </c>
      <c r="B52">
        <v>223</v>
      </c>
      <c r="C52">
        <v>222</v>
      </c>
      <c r="D52">
        <v>170</v>
      </c>
      <c r="E52">
        <v>0.01</v>
      </c>
      <c r="F52">
        <v>0</v>
      </c>
      <c r="G52">
        <v>0</v>
      </c>
      <c r="H52">
        <v>0</v>
      </c>
      <c r="I52">
        <v>0</v>
      </c>
    </row>
    <row r="53" spans="1:9" x14ac:dyDescent="0.25">
      <c r="A53">
        <v>141</v>
      </c>
      <c r="B53">
        <v>225</v>
      </c>
      <c r="C53">
        <v>226</v>
      </c>
      <c r="D53">
        <v>185</v>
      </c>
      <c r="E53">
        <v>0.01</v>
      </c>
      <c r="F53">
        <v>0</v>
      </c>
      <c r="G53">
        <v>0</v>
      </c>
      <c r="H53">
        <v>0</v>
      </c>
      <c r="I53">
        <v>0</v>
      </c>
    </row>
    <row r="54" spans="1:9" x14ac:dyDescent="0.25">
      <c r="A54">
        <v>445</v>
      </c>
      <c r="B54" t="s">
        <v>31</v>
      </c>
      <c r="C54">
        <v>229</v>
      </c>
      <c r="D54">
        <v>80</v>
      </c>
      <c r="E54">
        <v>0.01</v>
      </c>
      <c r="F54">
        <v>0</v>
      </c>
      <c r="G54">
        <v>2.6084999999999998</v>
      </c>
      <c r="H54">
        <v>0</v>
      </c>
      <c r="I54">
        <v>0</v>
      </c>
    </row>
    <row r="55" spans="1:9" x14ac:dyDescent="0.25">
      <c r="A55">
        <v>89</v>
      </c>
      <c r="B55">
        <v>179</v>
      </c>
      <c r="C55">
        <v>229</v>
      </c>
      <c r="D55">
        <v>220</v>
      </c>
      <c r="E55">
        <v>0.01</v>
      </c>
      <c r="F55">
        <v>0</v>
      </c>
      <c r="G55">
        <v>0</v>
      </c>
      <c r="H55">
        <v>0</v>
      </c>
      <c r="I55">
        <v>0</v>
      </c>
    </row>
    <row r="56" spans="1:9" x14ac:dyDescent="0.25">
      <c r="A56">
        <v>420</v>
      </c>
      <c r="B56" t="s">
        <v>32</v>
      </c>
      <c r="C56">
        <v>178</v>
      </c>
      <c r="D56">
        <v>80</v>
      </c>
      <c r="E56">
        <v>0.01</v>
      </c>
      <c r="F56">
        <v>0</v>
      </c>
      <c r="G56">
        <v>1.3774999999999999</v>
      </c>
      <c r="H56">
        <v>0</v>
      </c>
      <c r="I56">
        <v>0</v>
      </c>
    </row>
    <row r="57" spans="1:9" x14ac:dyDescent="0.25">
      <c r="A57">
        <v>49</v>
      </c>
      <c r="B57">
        <v>142</v>
      </c>
      <c r="C57">
        <v>178</v>
      </c>
      <c r="D57">
        <v>225</v>
      </c>
      <c r="E57">
        <v>0.01</v>
      </c>
      <c r="F57">
        <v>0</v>
      </c>
      <c r="G57">
        <v>0</v>
      </c>
      <c r="H57">
        <v>0</v>
      </c>
      <c r="I57">
        <v>0</v>
      </c>
    </row>
    <row r="58" spans="1:9" x14ac:dyDescent="0.25">
      <c r="A58">
        <v>374</v>
      </c>
      <c r="B58" t="s">
        <v>33</v>
      </c>
      <c r="C58">
        <v>141</v>
      </c>
      <c r="D58">
        <v>80</v>
      </c>
      <c r="E58">
        <v>0.01</v>
      </c>
      <c r="F58">
        <v>0</v>
      </c>
      <c r="G58">
        <v>4.4275000000000002</v>
      </c>
      <c r="H58">
        <v>0</v>
      </c>
      <c r="I58">
        <v>0</v>
      </c>
    </row>
    <row r="59" spans="1:9" x14ac:dyDescent="0.25">
      <c r="A59">
        <v>47</v>
      </c>
      <c r="B59">
        <v>140</v>
      </c>
      <c r="C59">
        <v>141</v>
      </c>
      <c r="D59">
        <v>80</v>
      </c>
      <c r="E59">
        <v>0.01</v>
      </c>
      <c r="F59">
        <v>0</v>
      </c>
      <c r="G59">
        <v>0</v>
      </c>
      <c r="H59">
        <v>0</v>
      </c>
      <c r="I59">
        <v>0</v>
      </c>
    </row>
    <row r="60" spans="1:9" x14ac:dyDescent="0.25">
      <c r="A60">
        <v>23</v>
      </c>
      <c r="B60">
        <v>119</v>
      </c>
      <c r="C60">
        <v>141</v>
      </c>
      <c r="D60">
        <v>250</v>
      </c>
      <c r="E60">
        <v>0.01</v>
      </c>
      <c r="F60">
        <v>0</v>
      </c>
      <c r="G60">
        <v>2.9285000000000001</v>
      </c>
      <c r="H60">
        <v>0</v>
      </c>
      <c r="I60">
        <v>0</v>
      </c>
    </row>
    <row r="61" spans="1:9" x14ac:dyDescent="0.25">
      <c r="A61">
        <v>85</v>
      </c>
      <c r="B61">
        <v>175</v>
      </c>
      <c r="C61">
        <v>176</v>
      </c>
      <c r="D61">
        <v>80</v>
      </c>
      <c r="E61">
        <v>0.01</v>
      </c>
      <c r="F61">
        <v>0</v>
      </c>
      <c r="G61">
        <v>0</v>
      </c>
      <c r="H61">
        <v>0</v>
      </c>
      <c r="I61">
        <v>0</v>
      </c>
    </row>
    <row r="62" spans="1:9" x14ac:dyDescent="0.25">
      <c r="A62">
        <v>417</v>
      </c>
      <c r="B62" t="s">
        <v>34</v>
      </c>
      <c r="C62">
        <v>246</v>
      </c>
      <c r="D62">
        <v>220</v>
      </c>
      <c r="E62">
        <v>0.01</v>
      </c>
      <c r="F62">
        <v>0</v>
      </c>
      <c r="G62">
        <v>4.5069999999999997</v>
      </c>
      <c r="H62">
        <v>0</v>
      </c>
      <c r="I62">
        <v>0</v>
      </c>
    </row>
    <row r="63" spans="1:9" x14ac:dyDescent="0.25">
      <c r="A63">
        <v>170</v>
      </c>
      <c r="B63">
        <v>251</v>
      </c>
      <c r="C63">
        <v>246</v>
      </c>
      <c r="D63">
        <v>80</v>
      </c>
      <c r="E63">
        <v>0.01</v>
      </c>
      <c r="F63">
        <v>0</v>
      </c>
      <c r="G63">
        <v>0</v>
      </c>
      <c r="H63">
        <v>0</v>
      </c>
      <c r="I63">
        <v>0</v>
      </c>
    </row>
    <row r="64" spans="1:9" x14ac:dyDescent="0.25">
      <c r="A64">
        <v>452</v>
      </c>
      <c r="B64" t="s">
        <v>35</v>
      </c>
      <c r="C64">
        <v>247</v>
      </c>
      <c r="D64">
        <v>165</v>
      </c>
      <c r="E64">
        <v>0.01</v>
      </c>
      <c r="F64">
        <v>0</v>
      </c>
      <c r="G64">
        <v>0</v>
      </c>
      <c r="H64">
        <v>0</v>
      </c>
      <c r="I64">
        <v>0</v>
      </c>
    </row>
    <row r="65" spans="1:9" x14ac:dyDescent="0.25">
      <c r="A65">
        <v>175</v>
      </c>
      <c r="B65">
        <v>256</v>
      </c>
      <c r="C65">
        <v>253</v>
      </c>
      <c r="D65">
        <v>80</v>
      </c>
      <c r="E65">
        <v>0.01</v>
      </c>
      <c r="F65">
        <v>0</v>
      </c>
      <c r="G65">
        <v>7.0000000000000007E-2</v>
      </c>
      <c r="H65">
        <v>0</v>
      </c>
      <c r="I65">
        <v>0</v>
      </c>
    </row>
    <row r="66" spans="1:9" x14ac:dyDescent="0.25">
      <c r="A66">
        <v>171</v>
      </c>
      <c r="B66">
        <v>252</v>
      </c>
      <c r="C66">
        <v>253</v>
      </c>
      <c r="D66">
        <v>165</v>
      </c>
      <c r="E66">
        <v>0.01</v>
      </c>
      <c r="F66">
        <v>0</v>
      </c>
      <c r="G66">
        <v>2.2559999999999998</v>
      </c>
      <c r="H66">
        <v>0</v>
      </c>
      <c r="I66">
        <v>0</v>
      </c>
    </row>
    <row r="67" spans="1:9" x14ac:dyDescent="0.25">
      <c r="A67">
        <v>195</v>
      </c>
      <c r="B67">
        <v>274</v>
      </c>
      <c r="C67">
        <v>268</v>
      </c>
      <c r="D67">
        <v>165</v>
      </c>
      <c r="E67">
        <v>0.01</v>
      </c>
      <c r="F67">
        <v>0</v>
      </c>
      <c r="G67">
        <v>0.4</v>
      </c>
      <c r="H67">
        <v>0</v>
      </c>
      <c r="I67">
        <v>0</v>
      </c>
    </row>
    <row r="68" spans="1:9" x14ac:dyDescent="0.25">
      <c r="A68">
        <v>187</v>
      </c>
      <c r="B68">
        <v>267</v>
      </c>
      <c r="C68">
        <v>268</v>
      </c>
      <c r="D68">
        <v>200</v>
      </c>
      <c r="E68">
        <v>0.01</v>
      </c>
      <c r="F68">
        <v>0</v>
      </c>
      <c r="G68">
        <v>0.86350000000000005</v>
      </c>
      <c r="H68">
        <v>0</v>
      </c>
      <c r="I68">
        <v>0</v>
      </c>
    </row>
    <row r="69" spans="1:9" x14ac:dyDescent="0.25">
      <c r="A69">
        <v>129</v>
      </c>
      <c r="B69">
        <v>214</v>
      </c>
      <c r="C69">
        <v>213</v>
      </c>
      <c r="D69">
        <v>160</v>
      </c>
      <c r="E69">
        <v>0.01</v>
      </c>
      <c r="F69">
        <v>0</v>
      </c>
      <c r="G69">
        <v>2.8690000000000002</v>
      </c>
      <c r="H69">
        <v>0</v>
      </c>
      <c r="I69">
        <v>0</v>
      </c>
    </row>
    <row r="70" spans="1:9" x14ac:dyDescent="0.25">
      <c r="A70">
        <v>127</v>
      </c>
      <c r="B70">
        <v>212</v>
      </c>
      <c r="C70">
        <v>213</v>
      </c>
      <c r="D70">
        <v>160</v>
      </c>
      <c r="E70">
        <v>0.01</v>
      </c>
      <c r="F70">
        <v>0</v>
      </c>
      <c r="G70">
        <v>0</v>
      </c>
      <c r="H70">
        <v>0</v>
      </c>
      <c r="I70">
        <v>0</v>
      </c>
    </row>
    <row r="71" spans="1:9" x14ac:dyDescent="0.25">
      <c r="A71">
        <v>133</v>
      </c>
      <c r="B71">
        <v>218</v>
      </c>
      <c r="C71">
        <v>219</v>
      </c>
      <c r="D71">
        <v>155</v>
      </c>
      <c r="E71">
        <v>0.01</v>
      </c>
      <c r="F71">
        <v>0</v>
      </c>
      <c r="G71">
        <v>0</v>
      </c>
      <c r="H71">
        <v>0</v>
      </c>
      <c r="I71">
        <v>0</v>
      </c>
    </row>
    <row r="72" spans="1:9" x14ac:dyDescent="0.25">
      <c r="A72">
        <v>140</v>
      </c>
      <c r="B72">
        <v>224</v>
      </c>
      <c r="C72">
        <v>223</v>
      </c>
      <c r="D72">
        <v>160</v>
      </c>
      <c r="E72">
        <v>0.01</v>
      </c>
      <c r="F72">
        <v>0</v>
      </c>
      <c r="G72">
        <v>0</v>
      </c>
      <c r="H72">
        <v>0</v>
      </c>
      <c r="I72">
        <v>0</v>
      </c>
    </row>
    <row r="73" spans="1:9" x14ac:dyDescent="0.25">
      <c r="A73">
        <v>444</v>
      </c>
      <c r="B73" t="s">
        <v>36</v>
      </c>
      <c r="C73">
        <v>225</v>
      </c>
      <c r="D73">
        <v>80</v>
      </c>
      <c r="E73">
        <v>0.01</v>
      </c>
      <c r="F73">
        <v>0</v>
      </c>
      <c r="G73">
        <v>1.7835000000000001</v>
      </c>
      <c r="H73">
        <v>0</v>
      </c>
      <c r="I73">
        <v>0</v>
      </c>
    </row>
    <row r="74" spans="1:9" x14ac:dyDescent="0.25">
      <c r="A74">
        <v>91</v>
      </c>
      <c r="B74">
        <v>180</v>
      </c>
      <c r="C74">
        <v>225</v>
      </c>
      <c r="D74">
        <v>220</v>
      </c>
      <c r="E74">
        <v>0.01</v>
      </c>
      <c r="F74">
        <v>0</v>
      </c>
      <c r="G74">
        <v>0</v>
      </c>
      <c r="H74">
        <v>0</v>
      </c>
      <c r="I74">
        <v>0</v>
      </c>
    </row>
    <row r="75" spans="1:9" x14ac:dyDescent="0.25">
      <c r="A75">
        <v>421</v>
      </c>
      <c r="B75" t="s">
        <v>37</v>
      </c>
      <c r="C75">
        <v>179</v>
      </c>
      <c r="D75">
        <v>80</v>
      </c>
      <c r="E75">
        <v>0.01</v>
      </c>
      <c r="F75">
        <v>0</v>
      </c>
      <c r="G75">
        <v>2.0585</v>
      </c>
      <c r="H75">
        <v>0</v>
      </c>
      <c r="I75">
        <v>0</v>
      </c>
    </row>
    <row r="76" spans="1:9" x14ac:dyDescent="0.25">
      <c r="A76">
        <v>50</v>
      </c>
      <c r="B76">
        <v>143</v>
      </c>
      <c r="C76">
        <v>179</v>
      </c>
      <c r="D76">
        <v>225</v>
      </c>
      <c r="E76">
        <v>0.01</v>
      </c>
      <c r="F76">
        <v>0</v>
      </c>
      <c r="G76">
        <v>0</v>
      </c>
      <c r="H76">
        <v>0</v>
      </c>
      <c r="I76">
        <v>0</v>
      </c>
    </row>
    <row r="77" spans="1:9" x14ac:dyDescent="0.25">
      <c r="A77">
        <v>375</v>
      </c>
      <c r="B77" t="s">
        <v>38</v>
      </c>
      <c r="C77">
        <v>142</v>
      </c>
      <c r="D77">
        <v>80</v>
      </c>
      <c r="E77">
        <v>0.01</v>
      </c>
      <c r="F77">
        <v>0</v>
      </c>
      <c r="G77">
        <v>0.72499999999999998</v>
      </c>
      <c r="H77">
        <v>0</v>
      </c>
      <c r="I77">
        <v>0</v>
      </c>
    </row>
    <row r="78" spans="1:9" x14ac:dyDescent="0.25">
      <c r="A78">
        <v>22</v>
      </c>
      <c r="B78">
        <v>118</v>
      </c>
      <c r="C78">
        <v>142</v>
      </c>
      <c r="D78">
        <v>250</v>
      </c>
      <c r="E78">
        <v>0.01</v>
      </c>
      <c r="F78">
        <v>0</v>
      </c>
      <c r="G78">
        <v>0</v>
      </c>
      <c r="H78">
        <v>0</v>
      </c>
      <c r="I78">
        <v>0</v>
      </c>
    </row>
    <row r="79" spans="1:9" x14ac:dyDescent="0.25">
      <c r="A79">
        <v>365</v>
      </c>
      <c r="B79" t="s">
        <v>39</v>
      </c>
      <c r="C79">
        <v>119</v>
      </c>
      <c r="D79">
        <v>40</v>
      </c>
      <c r="E79">
        <v>0.01</v>
      </c>
      <c r="F79">
        <v>0</v>
      </c>
      <c r="G79">
        <v>1.19</v>
      </c>
      <c r="H79">
        <v>0</v>
      </c>
      <c r="I79">
        <v>0</v>
      </c>
    </row>
    <row r="80" spans="1:9" x14ac:dyDescent="0.25">
      <c r="A80">
        <v>348</v>
      </c>
      <c r="B80">
        <v>98</v>
      </c>
      <c r="C80">
        <v>119</v>
      </c>
      <c r="D80">
        <v>215</v>
      </c>
      <c r="E80">
        <v>0.01</v>
      </c>
      <c r="F80">
        <v>0</v>
      </c>
      <c r="G80">
        <v>0</v>
      </c>
      <c r="H80">
        <v>0</v>
      </c>
      <c r="I80">
        <v>0</v>
      </c>
    </row>
    <row r="81" spans="1:9" x14ac:dyDescent="0.25">
      <c r="A81">
        <v>418</v>
      </c>
      <c r="B81" t="s">
        <v>40</v>
      </c>
      <c r="C81">
        <v>140</v>
      </c>
      <c r="D81">
        <v>225</v>
      </c>
      <c r="E81">
        <v>0.01</v>
      </c>
      <c r="F81">
        <v>0</v>
      </c>
      <c r="G81">
        <v>3.9510000000000001</v>
      </c>
      <c r="H81">
        <v>0</v>
      </c>
      <c r="I81">
        <v>0</v>
      </c>
    </row>
    <row r="82" spans="1:9" x14ac:dyDescent="0.25">
      <c r="A82">
        <v>45</v>
      </c>
      <c r="B82">
        <v>139</v>
      </c>
      <c r="C82">
        <v>140</v>
      </c>
      <c r="D82">
        <v>80</v>
      </c>
      <c r="E82">
        <v>0.01</v>
      </c>
      <c r="F82">
        <v>0</v>
      </c>
      <c r="G82">
        <v>0.97150000000000003</v>
      </c>
      <c r="H82">
        <v>0</v>
      </c>
      <c r="I82">
        <v>0</v>
      </c>
    </row>
    <row r="83" spans="1:9" x14ac:dyDescent="0.25">
      <c r="A83">
        <v>25</v>
      </c>
      <c r="B83">
        <v>120</v>
      </c>
      <c r="C83">
        <v>140</v>
      </c>
      <c r="D83">
        <v>240</v>
      </c>
      <c r="E83">
        <v>0.01</v>
      </c>
      <c r="F83">
        <v>0</v>
      </c>
      <c r="G83">
        <v>0</v>
      </c>
      <c r="H83">
        <v>0</v>
      </c>
      <c r="I83">
        <v>0</v>
      </c>
    </row>
    <row r="84" spans="1:9" x14ac:dyDescent="0.25">
      <c r="A84">
        <v>84</v>
      </c>
      <c r="B84">
        <v>174</v>
      </c>
      <c r="C84">
        <v>175</v>
      </c>
      <c r="D84">
        <v>80</v>
      </c>
      <c r="E84">
        <v>0.01</v>
      </c>
      <c r="F84">
        <v>0</v>
      </c>
      <c r="G84">
        <v>0</v>
      </c>
      <c r="H84">
        <v>0</v>
      </c>
      <c r="I84">
        <v>0</v>
      </c>
    </row>
    <row r="85" spans="1:9" x14ac:dyDescent="0.25">
      <c r="A85">
        <v>415</v>
      </c>
      <c r="B85" t="s">
        <v>41</v>
      </c>
      <c r="C85">
        <v>251</v>
      </c>
      <c r="D85">
        <v>220</v>
      </c>
      <c r="E85">
        <v>0.01</v>
      </c>
      <c r="F85">
        <v>0</v>
      </c>
      <c r="G85">
        <v>4.3550000000000004</v>
      </c>
      <c r="H85">
        <v>0</v>
      </c>
      <c r="I85">
        <v>0</v>
      </c>
    </row>
    <row r="86" spans="1:9" x14ac:dyDescent="0.25">
      <c r="A86">
        <v>173</v>
      </c>
      <c r="B86">
        <v>254</v>
      </c>
      <c r="C86">
        <v>251</v>
      </c>
      <c r="D86">
        <v>80</v>
      </c>
      <c r="E86">
        <v>0.01</v>
      </c>
      <c r="F86">
        <v>0</v>
      </c>
      <c r="G86">
        <v>0</v>
      </c>
      <c r="H86">
        <v>0</v>
      </c>
      <c r="I86">
        <v>0</v>
      </c>
    </row>
    <row r="87" spans="1:9" x14ac:dyDescent="0.25">
      <c r="A87">
        <v>453</v>
      </c>
      <c r="B87" t="s">
        <v>42</v>
      </c>
      <c r="C87">
        <v>252</v>
      </c>
      <c r="D87">
        <v>165</v>
      </c>
      <c r="E87">
        <v>0.01</v>
      </c>
      <c r="F87">
        <v>0</v>
      </c>
      <c r="G87">
        <v>0</v>
      </c>
      <c r="H87">
        <v>0</v>
      </c>
      <c r="I87">
        <v>0</v>
      </c>
    </row>
    <row r="88" spans="1:9" x14ac:dyDescent="0.25">
      <c r="A88">
        <v>181</v>
      </c>
      <c r="B88">
        <v>261</v>
      </c>
      <c r="C88">
        <v>256</v>
      </c>
      <c r="D88">
        <v>80</v>
      </c>
      <c r="E88">
        <v>0.01</v>
      </c>
      <c r="F88">
        <v>0</v>
      </c>
      <c r="G88">
        <v>0</v>
      </c>
      <c r="H88">
        <v>0</v>
      </c>
      <c r="I88">
        <v>0</v>
      </c>
    </row>
    <row r="89" spans="1:9" x14ac:dyDescent="0.25">
      <c r="A89">
        <v>174</v>
      </c>
      <c r="B89">
        <v>255</v>
      </c>
      <c r="C89">
        <v>256</v>
      </c>
      <c r="D89">
        <v>165</v>
      </c>
      <c r="E89">
        <v>0.01</v>
      </c>
      <c r="F89">
        <v>0</v>
      </c>
      <c r="G89">
        <v>1.986</v>
      </c>
      <c r="H89">
        <v>0</v>
      </c>
      <c r="I89">
        <v>0</v>
      </c>
    </row>
    <row r="90" spans="1:9" x14ac:dyDescent="0.25">
      <c r="A90">
        <v>460</v>
      </c>
      <c r="B90" t="s">
        <v>43</v>
      </c>
      <c r="C90">
        <v>267</v>
      </c>
      <c r="D90">
        <v>200</v>
      </c>
      <c r="E90">
        <v>0.01</v>
      </c>
      <c r="F90">
        <v>0</v>
      </c>
      <c r="G90">
        <v>2.6949999999999998</v>
      </c>
      <c r="H90">
        <v>0</v>
      </c>
      <c r="I90">
        <v>0</v>
      </c>
    </row>
    <row r="91" spans="1:9" x14ac:dyDescent="0.25">
      <c r="A91">
        <v>194</v>
      </c>
      <c r="B91">
        <v>273</v>
      </c>
      <c r="C91">
        <v>267</v>
      </c>
      <c r="D91">
        <v>160</v>
      </c>
      <c r="E91">
        <v>0.01</v>
      </c>
      <c r="F91">
        <v>0</v>
      </c>
      <c r="G91">
        <v>0</v>
      </c>
      <c r="H91">
        <v>0</v>
      </c>
      <c r="I91">
        <v>0</v>
      </c>
    </row>
    <row r="92" spans="1:9" x14ac:dyDescent="0.25">
      <c r="A92">
        <v>464</v>
      </c>
      <c r="B92" t="s">
        <v>44</v>
      </c>
      <c r="C92">
        <v>274</v>
      </c>
      <c r="D92">
        <v>200</v>
      </c>
      <c r="E92">
        <v>0.01</v>
      </c>
      <c r="F92">
        <v>0</v>
      </c>
      <c r="G92">
        <v>3.02</v>
      </c>
      <c r="H92">
        <v>0</v>
      </c>
      <c r="I92">
        <v>0</v>
      </c>
    </row>
    <row r="93" spans="1:9" x14ac:dyDescent="0.25">
      <c r="A93">
        <v>216</v>
      </c>
      <c r="B93">
        <v>293</v>
      </c>
      <c r="C93">
        <v>274</v>
      </c>
      <c r="D93">
        <v>115</v>
      </c>
      <c r="E93">
        <v>0.01</v>
      </c>
      <c r="F93">
        <v>0</v>
      </c>
      <c r="G93">
        <v>0</v>
      </c>
      <c r="H93">
        <v>0</v>
      </c>
      <c r="I93">
        <v>0</v>
      </c>
    </row>
    <row r="94" spans="1:9" x14ac:dyDescent="0.25">
      <c r="A94">
        <v>126</v>
      </c>
      <c r="B94">
        <v>211</v>
      </c>
      <c r="C94">
        <v>212</v>
      </c>
      <c r="D94">
        <v>130</v>
      </c>
      <c r="E94">
        <v>0.01</v>
      </c>
      <c r="F94">
        <v>0</v>
      </c>
      <c r="G94">
        <v>2.2345000000000002</v>
      </c>
      <c r="H94">
        <v>0</v>
      </c>
      <c r="I94">
        <v>0</v>
      </c>
    </row>
    <row r="95" spans="1:9" x14ac:dyDescent="0.25">
      <c r="A95">
        <v>120</v>
      </c>
      <c r="B95">
        <v>206</v>
      </c>
      <c r="C95">
        <v>212</v>
      </c>
      <c r="D95">
        <v>85</v>
      </c>
      <c r="E95">
        <v>0.01</v>
      </c>
      <c r="F95">
        <v>0</v>
      </c>
      <c r="G95">
        <v>0.2</v>
      </c>
      <c r="H95">
        <v>0</v>
      </c>
      <c r="I95">
        <v>0</v>
      </c>
    </row>
    <row r="96" spans="1:9" x14ac:dyDescent="0.25">
      <c r="A96">
        <v>439</v>
      </c>
      <c r="B96" t="s">
        <v>45</v>
      </c>
      <c r="C96">
        <v>214</v>
      </c>
      <c r="D96">
        <v>160</v>
      </c>
      <c r="E96">
        <v>0.01</v>
      </c>
      <c r="F96">
        <v>0</v>
      </c>
      <c r="G96">
        <v>0.20300000000000001</v>
      </c>
      <c r="H96">
        <v>0</v>
      </c>
      <c r="I96">
        <v>0</v>
      </c>
    </row>
    <row r="97" spans="1:9" x14ac:dyDescent="0.25">
      <c r="A97">
        <v>131</v>
      </c>
      <c r="B97">
        <v>216</v>
      </c>
      <c r="C97">
        <v>214</v>
      </c>
      <c r="D97">
        <v>230</v>
      </c>
      <c r="E97">
        <v>0.01</v>
      </c>
      <c r="F97">
        <v>0</v>
      </c>
      <c r="G97">
        <v>0</v>
      </c>
      <c r="H97">
        <v>0</v>
      </c>
      <c r="I97">
        <v>0</v>
      </c>
    </row>
    <row r="98" spans="1:9" x14ac:dyDescent="0.25">
      <c r="A98">
        <v>132</v>
      </c>
      <c r="B98">
        <v>217</v>
      </c>
      <c r="C98">
        <v>218</v>
      </c>
      <c r="D98">
        <v>155</v>
      </c>
      <c r="E98">
        <v>0.01</v>
      </c>
      <c r="F98">
        <v>0</v>
      </c>
      <c r="G98">
        <v>0.3</v>
      </c>
      <c r="H98">
        <v>0</v>
      </c>
      <c r="I98">
        <v>0</v>
      </c>
    </row>
    <row r="99" spans="1:9" x14ac:dyDescent="0.25">
      <c r="A99">
        <v>443</v>
      </c>
      <c r="B99" t="s">
        <v>46</v>
      </c>
      <c r="C99">
        <v>224</v>
      </c>
      <c r="D99">
        <v>80</v>
      </c>
      <c r="E99">
        <v>0.01</v>
      </c>
      <c r="F99">
        <v>0</v>
      </c>
      <c r="G99">
        <v>2.274</v>
      </c>
      <c r="H99">
        <v>0</v>
      </c>
      <c r="I99">
        <v>0</v>
      </c>
    </row>
    <row r="100" spans="1:9" x14ac:dyDescent="0.25">
      <c r="A100">
        <v>92</v>
      </c>
      <c r="B100">
        <v>181</v>
      </c>
      <c r="C100">
        <v>224</v>
      </c>
      <c r="D100">
        <v>220</v>
      </c>
      <c r="E100">
        <v>0.01</v>
      </c>
      <c r="F100">
        <v>0</v>
      </c>
      <c r="G100">
        <v>7.0000000000000007E-2</v>
      </c>
      <c r="H100">
        <v>0</v>
      </c>
      <c r="I100">
        <v>0</v>
      </c>
    </row>
    <row r="101" spans="1:9" x14ac:dyDescent="0.25">
      <c r="A101">
        <v>422</v>
      </c>
      <c r="B101" t="s">
        <v>47</v>
      </c>
      <c r="C101">
        <v>180</v>
      </c>
      <c r="D101">
        <v>80</v>
      </c>
      <c r="E101">
        <v>0.01</v>
      </c>
      <c r="F101">
        <v>0</v>
      </c>
      <c r="G101">
        <v>1.1455</v>
      </c>
      <c r="H101">
        <v>0</v>
      </c>
      <c r="I101">
        <v>0</v>
      </c>
    </row>
    <row r="102" spans="1:9" x14ac:dyDescent="0.25">
      <c r="A102">
        <v>51</v>
      </c>
      <c r="B102">
        <v>144</v>
      </c>
      <c r="C102">
        <v>180</v>
      </c>
      <c r="D102">
        <v>225</v>
      </c>
      <c r="E102">
        <v>0.01</v>
      </c>
      <c r="F102">
        <v>0</v>
      </c>
      <c r="G102">
        <v>0</v>
      </c>
      <c r="H102">
        <v>0</v>
      </c>
      <c r="I102">
        <v>0</v>
      </c>
    </row>
    <row r="103" spans="1:9" x14ac:dyDescent="0.25">
      <c r="A103">
        <v>376</v>
      </c>
      <c r="B103" t="s">
        <v>48</v>
      </c>
      <c r="C103">
        <v>143</v>
      </c>
      <c r="D103">
        <v>80</v>
      </c>
      <c r="E103">
        <v>0.01</v>
      </c>
      <c r="F103">
        <v>0</v>
      </c>
      <c r="G103">
        <v>1.496</v>
      </c>
      <c r="H103">
        <v>0</v>
      </c>
      <c r="I103">
        <v>0</v>
      </c>
    </row>
    <row r="104" spans="1:9" x14ac:dyDescent="0.25">
      <c r="A104">
        <v>21</v>
      </c>
      <c r="B104">
        <v>117</v>
      </c>
      <c r="C104">
        <v>143</v>
      </c>
      <c r="D104">
        <v>250</v>
      </c>
      <c r="E104">
        <v>0.01</v>
      </c>
      <c r="F104">
        <v>0</v>
      </c>
      <c r="G104">
        <v>0</v>
      </c>
      <c r="H104">
        <v>0</v>
      </c>
      <c r="I104">
        <v>0</v>
      </c>
    </row>
    <row r="105" spans="1:9" x14ac:dyDescent="0.25">
      <c r="A105">
        <v>364</v>
      </c>
      <c r="B105" t="s">
        <v>49</v>
      </c>
      <c r="C105">
        <v>118</v>
      </c>
      <c r="D105">
        <v>80</v>
      </c>
      <c r="E105">
        <v>0.01</v>
      </c>
      <c r="F105">
        <v>0</v>
      </c>
      <c r="G105">
        <v>0</v>
      </c>
      <c r="H105">
        <v>0</v>
      </c>
      <c r="I105">
        <v>0</v>
      </c>
    </row>
    <row r="106" spans="1:9" x14ac:dyDescent="0.25">
      <c r="A106">
        <v>347</v>
      </c>
      <c r="B106">
        <v>97</v>
      </c>
      <c r="C106">
        <v>98</v>
      </c>
      <c r="D106">
        <v>75</v>
      </c>
      <c r="E106">
        <v>0.01</v>
      </c>
      <c r="F106">
        <v>0</v>
      </c>
      <c r="G106">
        <v>0.40300000000000002</v>
      </c>
      <c r="H106">
        <v>0</v>
      </c>
      <c r="I106">
        <v>0</v>
      </c>
    </row>
    <row r="107" spans="1:9" x14ac:dyDescent="0.25">
      <c r="A107">
        <v>248</v>
      </c>
      <c r="B107">
        <v>321</v>
      </c>
      <c r="C107">
        <v>98</v>
      </c>
      <c r="D107">
        <v>120</v>
      </c>
      <c r="E107">
        <v>0.01</v>
      </c>
      <c r="F107">
        <v>0</v>
      </c>
      <c r="G107">
        <v>0.46050000000000002</v>
      </c>
      <c r="H107">
        <v>0</v>
      </c>
      <c r="I107">
        <v>0</v>
      </c>
    </row>
    <row r="108" spans="1:9" x14ac:dyDescent="0.25">
      <c r="A108">
        <v>349</v>
      </c>
      <c r="B108">
        <v>99</v>
      </c>
      <c r="C108">
        <v>98</v>
      </c>
      <c r="D108">
        <v>75</v>
      </c>
      <c r="E108">
        <v>0.01</v>
      </c>
      <c r="F108">
        <v>0</v>
      </c>
      <c r="G108">
        <v>0.2</v>
      </c>
      <c r="H108">
        <v>0</v>
      </c>
      <c r="I108">
        <v>0</v>
      </c>
    </row>
    <row r="109" spans="1:9" x14ac:dyDescent="0.25">
      <c r="A109">
        <v>366</v>
      </c>
      <c r="B109" t="s">
        <v>50</v>
      </c>
      <c r="C109">
        <v>120</v>
      </c>
      <c r="D109">
        <v>80</v>
      </c>
      <c r="E109">
        <v>0.01</v>
      </c>
      <c r="F109">
        <v>0</v>
      </c>
      <c r="G109">
        <v>4.1795</v>
      </c>
      <c r="H109">
        <v>0</v>
      </c>
      <c r="I109">
        <v>0</v>
      </c>
    </row>
    <row r="110" spans="1:9" x14ac:dyDescent="0.25">
      <c r="A110">
        <v>26</v>
      </c>
      <c r="B110">
        <v>121</v>
      </c>
      <c r="C110">
        <v>120</v>
      </c>
      <c r="D110">
        <v>40</v>
      </c>
      <c r="E110">
        <v>0.01</v>
      </c>
      <c r="F110">
        <v>0</v>
      </c>
      <c r="G110">
        <v>0</v>
      </c>
      <c r="H110">
        <v>0</v>
      </c>
      <c r="I110">
        <v>0</v>
      </c>
    </row>
    <row r="111" spans="1:9" x14ac:dyDescent="0.25">
      <c r="A111">
        <v>416</v>
      </c>
      <c r="B111" t="s">
        <v>51</v>
      </c>
      <c r="C111">
        <v>139</v>
      </c>
      <c r="D111">
        <v>225</v>
      </c>
      <c r="E111">
        <v>0.01</v>
      </c>
      <c r="F111">
        <v>0</v>
      </c>
      <c r="G111">
        <v>2.8435000000000001</v>
      </c>
      <c r="H111">
        <v>0</v>
      </c>
      <c r="I111">
        <v>0</v>
      </c>
    </row>
    <row r="112" spans="1:9" x14ac:dyDescent="0.25">
      <c r="A112">
        <v>368</v>
      </c>
      <c r="B112" t="s">
        <v>52</v>
      </c>
      <c r="C112">
        <v>139</v>
      </c>
      <c r="D112">
        <v>240</v>
      </c>
      <c r="E112">
        <v>0.01</v>
      </c>
      <c r="F112">
        <v>0</v>
      </c>
      <c r="G112">
        <v>2.8</v>
      </c>
      <c r="H112">
        <v>0</v>
      </c>
      <c r="I112">
        <v>0</v>
      </c>
    </row>
    <row r="113" spans="1:9" x14ac:dyDescent="0.25">
      <c r="A113">
        <v>44</v>
      </c>
      <c r="B113">
        <v>138</v>
      </c>
      <c r="C113">
        <v>139</v>
      </c>
      <c r="D113">
        <v>80</v>
      </c>
      <c r="E113">
        <v>0.01</v>
      </c>
      <c r="F113">
        <v>0</v>
      </c>
      <c r="G113">
        <v>0</v>
      </c>
      <c r="H113">
        <v>0</v>
      </c>
      <c r="I113">
        <v>0</v>
      </c>
    </row>
    <row r="114" spans="1:9" x14ac:dyDescent="0.25">
      <c r="A114">
        <v>83</v>
      </c>
      <c r="B114">
        <v>173</v>
      </c>
      <c r="C114">
        <v>174</v>
      </c>
      <c r="D114">
        <v>80</v>
      </c>
      <c r="E114">
        <v>0.01</v>
      </c>
      <c r="F114">
        <v>0</v>
      </c>
      <c r="G114">
        <v>0</v>
      </c>
      <c r="H114">
        <v>0</v>
      </c>
      <c r="I114">
        <v>0</v>
      </c>
    </row>
    <row r="115" spans="1:9" x14ac:dyDescent="0.25">
      <c r="A115">
        <v>413</v>
      </c>
      <c r="B115" t="s">
        <v>53</v>
      </c>
      <c r="C115">
        <v>254</v>
      </c>
      <c r="D115">
        <v>220</v>
      </c>
      <c r="E115">
        <v>0.01</v>
      </c>
      <c r="F115">
        <v>0</v>
      </c>
      <c r="G115">
        <v>4.2030000000000003</v>
      </c>
      <c r="H115">
        <v>0</v>
      </c>
      <c r="I115">
        <v>0</v>
      </c>
    </row>
    <row r="116" spans="1:9" x14ac:dyDescent="0.25">
      <c r="A116">
        <v>178</v>
      </c>
      <c r="B116">
        <v>259</v>
      </c>
      <c r="C116">
        <v>254</v>
      </c>
      <c r="D116">
        <v>80</v>
      </c>
      <c r="E116">
        <v>0.01</v>
      </c>
      <c r="F116">
        <v>0</v>
      </c>
      <c r="G116">
        <v>0</v>
      </c>
      <c r="H116">
        <v>0</v>
      </c>
      <c r="I116">
        <v>0</v>
      </c>
    </row>
    <row r="117" spans="1:9" x14ac:dyDescent="0.25">
      <c r="A117">
        <v>455</v>
      </c>
      <c r="B117" t="s">
        <v>54</v>
      </c>
      <c r="C117">
        <v>255</v>
      </c>
      <c r="D117">
        <v>165</v>
      </c>
      <c r="E117">
        <v>0.01</v>
      </c>
      <c r="F117">
        <v>0</v>
      </c>
      <c r="G117">
        <v>0</v>
      </c>
      <c r="H117">
        <v>0</v>
      </c>
      <c r="I117">
        <v>0</v>
      </c>
    </row>
    <row r="118" spans="1:9" x14ac:dyDescent="0.25">
      <c r="A118">
        <v>458</v>
      </c>
      <c r="B118" t="s">
        <v>55</v>
      </c>
      <c r="C118">
        <v>261</v>
      </c>
      <c r="D118">
        <v>200</v>
      </c>
      <c r="E118">
        <v>0.01</v>
      </c>
      <c r="F118">
        <v>0</v>
      </c>
      <c r="G118">
        <v>2.1629999999999998</v>
      </c>
      <c r="H118">
        <v>0</v>
      </c>
      <c r="I118">
        <v>0</v>
      </c>
    </row>
    <row r="119" spans="1:9" x14ac:dyDescent="0.25">
      <c r="A119">
        <v>186</v>
      </c>
      <c r="B119">
        <v>266</v>
      </c>
      <c r="C119">
        <v>261</v>
      </c>
      <c r="D119">
        <v>80</v>
      </c>
      <c r="E119">
        <v>0.01</v>
      </c>
      <c r="F119">
        <v>0</v>
      </c>
      <c r="G119">
        <v>0</v>
      </c>
      <c r="H119">
        <v>0</v>
      </c>
      <c r="I119">
        <v>0</v>
      </c>
    </row>
    <row r="120" spans="1:9" x14ac:dyDescent="0.25">
      <c r="A120">
        <v>180</v>
      </c>
      <c r="B120">
        <v>260</v>
      </c>
      <c r="C120">
        <v>261</v>
      </c>
      <c r="D120">
        <v>165</v>
      </c>
      <c r="E120">
        <v>0.01</v>
      </c>
      <c r="F120">
        <v>0</v>
      </c>
      <c r="G120">
        <v>1.736</v>
      </c>
      <c r="H120">
        <v>0</v>
      </c>
      <c r="I120">
        <v>0</v>
      </c>
    </row>
    <row r="121" spans="1:9" x14ac:dyDescent="0.25">
      <c r="A121">
        <v>207</v>
      </c>
      <c r="B121">
        <v>285</v>
      </c>
      <c r="C121">
        <v>273</v>
      </c>
      <c r="D121">
        <v>110</v>
      </c>
      <c r="E121">
        <v>0.01</v>
      </c>
      <c r="F121">
        <v>0</v>
      </c>
      <c r="G121">
        <v>0</v>
      </c>
      <c r="H121">
        <v>0</v>
      </c>
      <c r="I121">
        <v>0</v>
      </c>
    </row>
    <row r="122" spans="1:9" x14ac:dyDescent="0.25">
      <c r="A122">
        <v>193</v>
      </c>
      <c r="B122">
        <v>272</v>
      </c>
      <c r="C122">
        <v>273</v>
      </c>
      <c r="D122">
        <v>200</v>
      </c>
      <c r="E122">
        <v>0.01</v>
      </c>
      <c r="F122">
        <v>0</v>
      </c>
      <c r="G122">
        <v>1.907</v>
      </c>
      <c r="H122">
        <v>0</v>
      </c>
      <c r="I122">
        <v>0</v>
      </c>
    </row>
    <row r="123" spans="1:9" x14ac:dyDescent="0.25">
      <c r="A123">
        <v>471</v>
      </c>
      <c r="B123" t="s">
        <v>56</v>
      </c>
      <c r="C123">
        <v>293</v>
      </c>
      <c r="D123">
        <v>236</v>
      </c>
      <c r="E123">
        <v>0.01</v>
      </c>
      <c r="F123">
        <v>0</v>
      </c>
      <c r="G123">
        <v>2.6280999999999999</v>
      </c>
      <c r="H123">
        <v>0</v>
      </c>
      <c r="I123">
        <v>0</v>
      </c>
    </row>
    <row r="124" spans="1:9" x14ac:dyDescent="0.25">
      <c r="A124">
        <v>275</v>
      </c>
      <c r="B124">
        <v>346</v>
      </c>
      <c r="C124">
        <v>293</v>
      </c>
      <c r="D124">
        <v>300</v>
      </c>
      <c r="E124">
        <v>0.01</v>
      </c>
      <c r="F124">
        <v>0</v>
      </c>
      <c r="G124">
        <v>2.4424999999999999</v>
      </c>
      <c r="H124">
        <v>0</v>
      </c>
      <c r="I124">
        <v>0</v>
      </c>
    </row>
    <row r="125" spans="1:9" x14ac:dyDescent="0.25">
      <c r="A125">
        <v>215</v>
      </c>
      <c r="B125">
        <v>292</v>
      </c>
      <c r="C125">
        <v>293</v>
      </c>
      <c r="D125">
        <v>50</v>
      </c>
      <c r="E125">
        <v>0.01</v>
      </c>
      <c r="F125">
        <v>0</v>
      </c>
      <c r="G125">
        <v>0</v>
      </c>
      <c r="H125">
        <v>0</v>
      </c>
      <c r="I125">
        <v>0</v>
      </c>
    </row>
    <row r="126" spans="1:9" x14ac:dyDescent="0.25">
      <c r="A126">
        <v>121</v>
      </c>
      <c r="B126">
        <v>207</v>
      </c>
      <c r="C126">
        <v>206</v>
      </c>
      <c r="D126">
        <v>175</v>
      </c>
      <c r="E126">
        <v>0.01</v>
      </c>
      <c r="F126">
        <v>0</v>
      </c>
      <c r="G126">
        <v>2.3005</v>
      </c>
      <c r="H126">
        <v>0</v>
      </c>
      <c r="I126">
        <v>0</v>
      </c>
    </row>
    <row r="127" spans="1:9" x14ac:dyDescent="0.25">
      <c r="A127">
        <v>119</v>
      </c>
      <c r="B127">
        <v>205</v>
      </c>
      <c r="C127">
        <v>206</v>
      </c>
      <c r="D127">
        <v>115</v>
      </c>
      <c r="E127">
        <v>0.01</v>
      </c>
      <c r="F127">
        <v>0</v>
      </c>
      <c r="G127">
        <v>0</v>
      </c>
      <c r="H127">
        <v>0</v>
      </c>
      <c r="I127">
        <v>0</v>
      </c>
    </row>
    <row r="128" spans="1:9" x14ac:dyDescent="0.25">
      <c r="A128">
        <v>125</v>
      </c>
      <c r="B128">
        <v>210</v>
      </c>
      <c r="C128">
        <v>211</v>
      </c>
      <c r="D128">
        <v>225</v>
      </c>
      <c r="E128">
        <v>0.01</v>
      </c>
      <c r="F128">
        <v>0</v>
      </c>
      <c r="G128">
        <v>0</v>
      </c>
      <c r="H128">
        <v>0</v>
      </c>
      <c r="I128">
        <v>0</v>
      </c>
    </row>
    <row r="129" spans="1:9" x14ac:dyDescent="0.25">
      <c r="A129">
        <v>442</v>
      </c>
      <c r="B129" t="s">
        <v>57</v>
      </c>
      <c r="C129">
        <v>217</v>
      </c>
      <c r="D129">
        <v>80</v>
      </c>
      <c r="E129">
        <v>0.01</v>
      </c>
      <c r="F129">
        <v>0</v>
      </c>
      <c r="G129">
        <v>3.5920000000000001</v>
      </c>
      <c r="H129">
        <v>0</v>
      </c>
      <c r="I129">
        <v>0</v>
      </c>
    </row>
    <row r="130" spans="1:9" x14ac:dyDescent="0.25">
      <c r="A130">
        <v>130</v>
      </c>
      <c r="B130">
        <v>215</v>
      </c>
      <c r="C130">
        <v>217</v>
      </c>
      <c r="D130">
        <v>170</v>
      </c>
      <c r="E130">
        <v>0.01</v>
      </c>
      <c r="F130">
        <v>0</v>
      </c>
      <c r="G130">
        <v>0.29299999999999998</v>
      </c>
      <c r="H130">
        <v>0</v>
      </c>
      <c r="I130">
        <v>0</v>
      </c>
    </row>
    <row r="131" spans="1:9" x14ac:dyDescent="0.25">
      <c r="A131">
        <v>93</v>
      </c>
      <c r="B131">
        <v>182</v>
      </c>
      <c r="C131">
        <v>217</v>
      </c>
      <c r="D131">
        <v>200</v>
      </c>
      <c r="E131">
        <v>0.01</v>
      </c>
      <c r="F131">
        <v>0</v>
      </c>
      <c r="G131">
        <v>0.8</v>
      </c>
      <c r="H131">
        <v>0</v>
      </c>
      <c r="I131">
        <v>0</v>
      </c>
    </row>
    <row r="132" spans="1:9" x14ac:dyDescent="0.25">
      <c r="A132">
        <v>423</v>
      </c>
      <c r="B132" t="s">
        <v>58</v>
      </c>
      <c r="C132">
        <v>181</v>
      </c>
      <c r="D132">
        <v>80</v>
      </c>
      <c r="E132">
        <v>0.01</v>
      </c>
      <c r="F132">
        <v>0</v>
      </c>
      <c r="G132">
        <v>1.6539999999999999</v>
      </c>
      <c r="H132">
        <v>0</v>
      </c>
      <c r="I132">
        <v>0</v>
      </c>
    </row>
    <row r="133" spans="1:9" x14ac:dyDescent="0.25">
      <c r="A133">
        <v>52</v>
      </c>
      <c r="B133">
        <v>145</v>
      </c>
      <c r="C133">
        <v>181</v>
      </c>
      <c r="D133">
        <v>225</v>
      </c>
      <c r="E133">
        <v>0.01</v>
      </c>
      <c r="F133">
        <v>0</v>
      </c>
      <c r="G133">
        <v>0</v>
      </c>
      <c r="H133">
        <v>0</v>
      </c>
      <c r="I133">
        <v>0</v>
      </c>
    </row>
    <row r="134" spans="1:9" x14ac:dyDescent="0.25">
      <c r="A134">
        <v>377</v>
      </c>
      <c r="B134" t="s">
        <v>59</v>
      </c>
      <c r="C134">
        <v>144</v>
      </c>
      <c r="D134">
        <v>80</v>
      </c>
      <c r="E134">
        <v>0.01</v>
      </c>
      <c r="F134">
        <v>0</v>
      </c>
      <c r="G134">
        <v>0.49299999999999999</v>
      </c>
      <c r="H134">
        <v>0</v>
      </c>
      <c r="I134">
        <v>0</v>
      </c>
    </row>
    <row r="135" spans="1:9" x14ac:dyDescent="0.25">
      <c r="A135">
        <v>363</v>
      </c>
      <c r="B135" t="s">
        <v>60</v>
      </c>
      <c r="C135">
        <v>144</v>
      </c>
      <c r="D135">
        <v>250</v>
      </c>
      <c r="E135">
        <v>0.01</v>
      </c>
      <c r="F135">
        <v>0</v>
      </c>
      <c r="G135">
        <v>0</v>
      </c>
      <c r="H135">
        <v>0</v>
      </c>
      <c r="I135">
        <v>0</v>
      </c>
    </row>
    <row r="136" spans="1:9" x14ac:dyDescent="0.25">
      <c r="A136">
        <v>20</v>
      </c>
      <c r="B136">
        <v>116</v>
      </c>
      <c r="C136">
        <v>117</v>
      </c>
      <c r="D136">
        <v>40</v>
      </c>
      <c r="E136">
        <v>0.01</v>
      </c>
      <c r="F136">
        <v>0</v>
      </c>
      <c r="G136">
        <v>0.755</v>
      </c>
      <c r="H136">
        <v>0</v>
      </c>
      <c r="I136">
        <v>0</v>
      </c>
    </row>
    <row r="137" spans="1:9" x14ac:dyDescent="0.25">
      <c r="A137">
        <v>3</v>
      </c>
      <c r="B137">
        <v>100</v>
      </c>
      <c r="C137">
        <v>117</v>
      </c>
      <c r="D137">
        <v>195</v>
      </c>
      <c r="E137">
        <v>0.01</v>
      </c>
      <c r="F137">
        <v>0</v>
      </c>
      <c r="G137">
        <v>0</v>
      </c>
      <c r="H137">
        <v>0</v>
      </c>
      <c r="I137">
        <v>0</v>
      </c>
    </row>
    <row r="138" spans="1:9" x14ac:dyDescent="0.25">
      <c r="A138">
        <v>247</v>
      </c>
      <c r="B138">
        <v>320</v>
      </c>
      <c r="C138">
        <v>99</v>
      </c>
      <c r="D138">
        <v>120</v>
      </c>
      <c r="E138">
        <v>0.01</v>
      </c>
      <c r="F138">
        <v>0</v>
      </c>
      <c r="G138">
        <v>0.25</v>
      </c>
      <c r="H138">
        <v>0</v>
      </c>
      <c r="I138">
        <v>0</v>
      </c>
    </row>
    <row r="139" spans="1:9" x14ac:dyDescent="0.25">
      <c r="A139">
        <v>529</v>
      </c>
      <c r="B139" t="s">
        <v>61</v>
      </c>
      <c r="C139">
        <v>97</v>
      </c>
      <c r="D139">
        <v>75</v>
      </c>
      <c r="E139">
        <v>0.01</v>
      </c>
      <c r="F139">
        <v>0</v>
      </c>
      <c r="G139">
        <v>0.13250000000000001</v>
      </c>
      <c r="H139">
        <v>0</v>
      </c>
      <c r="I139">
        <v>0</v>
      </c>
    </row>
    <row r="140" spans="1:9" x14ac:dyDescent="0.25">
      <c r="A140">
        <v>249</v>
      </c>
      <c r="B140">
        <v>322</v>
      </c>
      <c r="C140">
        <v>97</v>
      </c>
      <c r="D140">
        <v>120</v>
      </c>
      <c r="E140">
        <v>0.01</v>
      </c>
      <c r="F140">
        <v>0</v>
      </c>
      <c r="G140">
        <v>0</v>
      </c>
      <c r="H140">
        <v>0</v>
      </c>
      <c r="I140">
        <v>0</v>
      </c>
    </row>
    <row r="141" spans="1:9" x14ac:dyDescent="0.25">
      <c r="A141">
        <v>346</v>
      </c>
      <c r="B141">
        <v>96</v>
      </c>
      <c r="C141">
        <v>121</v>
      </c>
      <c r="D141">
        <v>230</v>
      </c>
      <c r="E141">
        <v>0.01</v>
      </c>
      <c r="F141">
        <v>0</v>
      </c>
      <c r="G141">
        <v>3.0630000000000002</v>
      </c>
      <c r="H141">
        <v>0</v>
      </c>
      <c r="I141">
        <v>0</v>
      </c>
    </row>
    <row r="142" spans="1:9" x14ac:dyDescent="0.25">
      <c r="A142">
        <v>27</v>
      </c>
      <c r="B142">
        <v>122</v>
      </c>
      <c r="C142">
        <v>121</v>
      </c>
      <c r="D142">
        <v>80</v>
      </c>
      <c r="E142">
        <v>0.01</v>
      </c>
      <c r="F142">
        <v>0</v>
      </c>
      <c r="G142">
        <v>0</v>
      </c>
      <c r="H142">
        <v>0</v>
      </c>
      <c r="I142">
        <v>0</v>
      </c>
    </row>
    <row r="143" spans="1:9" x14ac:dyDescent="0.25">
      <c r="A143">
        <v>414</v>
      </c>
      <c r="B143" t="s">
        <v>62</v>
      </c>
      <c r="C143">
        <v>138</v>
      </c>
      <c r="D143">
        <v>225</v>
      </c>
      <c r="E143">
        <v>0.01</v>
      </c>
      <c r="F143">
        <v>0</v>
      </c>
      <c r="G143">
        <v>2.7395</v>
      </c>
      <c r="H143">
        <v>0</v>
      </c>
      <c r="I143">
        <v>0</v>
      </c>
    </row>
    <row r="144" spans="1:9" x14ac:dyDescent="0.25">
      <c r="A144">
        <v>370</v>
      </c>
      <c r="B144" t="s">
        <v>63</v>
      </c>
      <c r="C144">
        <v>138</v>
      </c>
      <c r="D144">
        <v>240</v>
      </c>
      <c r="E144">
        <v>0.01</v>
      </c>
      <c r="F144">
        <v>0</v>
      </c>
      <c r="G144">
        <v>2.6960000000000002</v>
      </c>
      <c r="H144">
        <v>0</v>
      </c>
      <c r="I144">
        <v>0</v>
      </c>
    </row>
    <row r="145" spans="1:9" x14ac:dyDescent="0.25">
      <c r="A145">
        <v>43</v>
      </c>
      <c r="B145">
        <v>137</v>
      </c>
      <c r="C145">
        <v>138</v>
      </c>
      <c r="D145">
        <v>80</v>
      </c>
      <c r="E145">
        <v>0.01</v>
      </c>
      <c r="F145">
        <v>0</v>
      </c>
      <c r="G145">
        <v>0</v>
      </c>
      <c r="H145">
        <v>0</v>
      </c>
      <c r="I145">
        <v>0</v>
      </c>
    </row>
    <row r="146" spans="1:9" x14ac:dyDescent="0.25">
      <c r="A146">
        <v>82</v>
      </c>
      <c r="B146">
        <v>172</v>
      </c>
      <c r="C146">
        <v>173</v>
      </c>
      <c r="D146">
        <v>80</v>
      </c>
      <c r="E146">
        <v>0.01</v>
      </c>
      <c r="F146">
        <v>0</v>
      </c>
      <c r="G146">
        <v>0</v>
      </c>
      <c r="H146">
        <v>0</v>
      </c>
      <c r="I146">
        <v>0</v>
      </c>
    </row>
    <row r="147" spans="1:9" x14ac:dyDescent="0.25">
      <c r="A147">
        <v>411</v>
      </c>
      <c r="B147" t="s">
        <v>64</v>
      </c>
      <c r="C147">
        <v>259</v>
      </c>
      <c r="D147">
        <v>220</v>
      </c>
      <c r="E147">
        <v>0.01</v>
      </c>
      <c r="F147">
        <v>0</v>
      </c>
      <c r="G147">
        <v>4.0510000000000002</v>
      </c>
      <c r="H147">
        <v>0</v>
      </c>
      <c r="I147">
        <v>0</v>
      </c>
    </row>
    <row r="148" spans="1:9" x14ac:dyDescent="0.25">
      <c r="A148">
        <v>184</v>
      </c>
      <c r="B148">
        <v>264</v>
      </c>
      <c r="C148">
        <v>259</v>
      </c>
      <c r="D148">
        <v>80</v>
      </c>
      <c r="E148">
        <v>0.01</v>
      </c>
      <c r="F148">
        <v>0</v>
      </c>
      <c r="G148">
        <v>0</v>
      </c>
      <c r="H148">
        <v>0</v>
      </c>
      <c r="I148">
        <v>0</v>
      </c>
    </row>
    <row r="149" spans="1:9" x14ac:dyDescent="0.25">
      <c r="A149">
        <v>457</v>
      </c>
      <c r="B149" t="s">
        <v>65</v>
      </c>
      <c r="C149">
        <v>260</v>
      </c>
      <c r="D149">
        <v>165</v>
      </c>
      <c r="E149">
        <v>0.01</v>
      </c>
      <c r="F149">
        <v>0</v>
      </c>
      <c r="G149">
        <v>0.05</v>
      </c>
      <c r="H149">
        <v>0</v>
      </c>
      <c r="I149">
        <v>0</v>
      </c>
    </row>
    <row r="150" spans="1:9" x14ac:dyDescent="0.25">
      <c r="A150">
        <v>185</v>
      </c>
      <c r="B150">
        <v>265</v>
      </c>
      <c r="C150">
        <v>266</v>
      </c>
      <c r="D150">
        <v>200</v>
      </c>
      <c r="E150">
        <v>0.01</v>
      </c>
      <c r="F150">
        <v>0</v>
      </c>
      <c r="G150">
        <v>0</v>
      </c>
      <c r="H150">
        <v>0</v>
      </c>
      <c r="I150">
        <v>0</v>
      </c>
    </row>
    <row r="151" spans="1:9" x14ac:dyDescent="0.25">
      <c r="A151">
        <v>462</v>
      </c>
      <c r="B151" t="s">
        <v>66</v>
      </c>
      <c r="C151">
        <v>272</v>
      </c>
      <c r="D151">
        <v>200</v>
      </c>
      <c r="E151">
        <v>0.01</v>
      </c>
      <c r="F151">
        <v>0</v>
      </c>
      <c r="G151">
        <v>0</v>
      </c>
      <c r="H151">
        <v>0</v>
      </c>
      <c r="I151">
        <v>0</v>
      </c>
    </row>
    <row r="152" spans="1:9" x14ac:dyDescent="0.25">
      <c r="A152">
        <v>206</v>
      </c>
      <c r="B152">
        <v>284</v>
      </c>
      <c r="C152">
        <v>285</v>
      </c>
      <c r="D152">
        <v>180</v>
      </c>
      <c r="E152">
        <v>0.01</v>
      </c>
      <c r="F152">
        <v>0</v>
      </c>
      <c r="G152">
        <v>2.0390000000000001</v>
      </c>
      <c r="H152">
        <v>0</v>
      </c>
      <c r="I152">
        <v>0</v>
      </c>
    </row>
    <row r="153" spans="1:9" x14ac:dyDescent="0.25">
      <c r="A153">
        <v>208</v>
      </c>
      <c r="B153">
        <v>286</v>
      </c>
      <c r="C153">
        <v>285</v>
      </c>
      <c r="D153">
        <v>50</v>
      </c>
      <c r="E153">
        <v>0.01</v>
      </c>
      <c r="F153">
        <v>0</v>
      </c>
      <c r="G153">
        <v>0</v>
      </c>
      <c r="H153">
        <v>0</v>
      </c>
      <c r="I153">
        <v>0</v>
      </c>
    </row>
    <row r="154" spans="1:9" x14ac:dyDescent="0.25">
      <c r="A154">
        <v>472</v>
      </c>
      <c r="B154" t="s">
        <v>67</v>
      </c>
      <c r="C154">
        <v>292</v>
      </c>
      <c r="D154">
        <v>250</v>
      </c>
      <c r="E154">
        <v>0.01</v>
      </c>
      <c r="F154">
        <v>0</v>
      </c>
      <c r="G154">
        <v>2.4424999999999999</v>
      </c>
      <c r="H154">
        <v>0</v>
      </c>
      <c r="I154">
        <v>0</v>
      </c>
    </row>
    <row r="155" spans="1:9" x14ac:dyDescent="0.25">
      <c r="A155">
        <v>214</v>
      </c>
      <c r="B155">
        <v>291</v>
      </c>
      <c r="C155">
        <v>292</v>
      </c>
      <c r="D155">
        <v>60</v>
      </c>
      <c r="E155">
        <v>0.01</v>
      </c>
      <c r="F155">
        <v>0</v>
      </c>
      <c r="G155">
        <v>0.05</v>
      </c>
      <c r="H155">
        <v>0</v>
      </c>
      <c r="I155">
        <v>0</v>
      </c>
    </row>
    <row r="156" spans="1:9" x14ac:dyDescent="0.25">
      <c r="A156">
        <v>277</v>
      </c>
      <c r="B156">
        <v>349</v>
      </c>
      <c r="C156">
        <v>205</v>
      </c>
      <c r="D156">
        <v>150</v>
      </c>
      <c r="E156">
        <v>0.01</v>
      </c>
      <c r="F156">
        <v>0</v>
      </c>
      <c r="G156">
        <v>2.593</v>
      </c>
      <c r="H156">
        <v>0</v>
      </c>
      <c r="I156">
        <v>0</v>
      </c>
    </row>
    <row r="157" spans="1:9" x14ac:dyDescent="0.25">
      <c r="A157">
        <v>118</v>
      </c>
      <c r="B157">
        <v>204</v>
      </c>
      <c r="C157">
        <v>205</v>
      </c>
      <c r="D157">
        <v>150</v>
      </c>
      <c r="E157">
        <v>0.01</v>
      </c>
      <c r="F157">
        <v>0</v>
      </c>
      <c r="G157">
        <v>1.7665</v>
      </c>
      <c r="H157">
        <v>0</v>
      </c>
      <c r="I157">
        <v>0</v>
      </c>
    </row>
    <row r="158" spans="1:9" x14ac:dyDescent="0.25">
      <c r="A158">
        <v>111</v>
      </c>
      <c r="B158">
        <v>199</v>
      </c>
      <c r="C158">
        <v>205</v>
      </c>
      <c r="D158">
        <v>100</v>
      </c>
      <c r="E158">
        <v>0.01</v>
      </c>
      <c r="F158">
        <v>0</v>
      </c>
      <c r="G158">
        <v>0</v>
      </c>
      <c r="H158">
        <v>0</v>
      </c>
      <c r="I158">
        <v>0</v>
      </c>
    </row>
    <row r="159" spans="1:9" x14ac:dyDescent="0.25">
      <c r="A159">
        <v>122</v>
      </c>
      <c r="B159">
        <v>208</v>
      </c>
      <c r="C159">
        <v>207</v>
      </c>
      <c r="D159">
        <v>175</v>
      </c>
      <c r="E159">
        <v>0.01</v>
      </c>
      <c r="F159">
        <v>0</v>
      </c>
      <c r="G159">
        <v>0</v>
      </c>
      <c r="H159">
        <v>0</v>
      </c>
      <c r="I159">
        <v>0</v>
      </c>
    </row>
    <row r="160" spans="1:9" x14ac:dyDescent="0.25">
      <c r="A160">
        <v>441</v>
      </c>
      <c r="B160" t="s">
        <v>68</v>
      </c>
      <c r="C160">
        <v>210</v>
      </c>
      <c r="D160">
        <v>160</v>
      </c>
      <c r="E160">
        <v>0.01</v>
      </c>
      <c r="F160">
        <v>0</v>
      </c>
      <c r="G160">
        <v>0</v>
      </c>
      <c r="H160">
        <v>0</v>
      </c>
      <c r="I160">
        <v>0</v>
      </c>
    </row>
    <row r="161" spans="1:9" x14ac:dyDescent="0.25">
      <c r="A161">
        <v>437</v>
      </c>
      <c r="B161" t="s">
        <v>69</v>
      </c>
      <c r="C161">
        <v>210</v>
      </c>
      <c r="D161">
        <v>80</v>
      </c>
      <c r="E161">
        <v>0.01</v>
      </c>
      <c r="F161">
        <v>0</v>
      </c>
      <c r="G161">
        <v>0.23200000000000001</v>
      </c>
      <c r="H161">
        <v>0</v>
      </c>
      <c r="I161">
        <v>0</v>
      </c>
    </row>
    <row r="162" spans="1:9" x14ac:dyDescent="0.25">
      <c r="A162">
        <v>424</v>
      </c>
      <c r="B162" t="s">
        <v>70</v>
      </c>
      <c r="C162">
        <v>182</v>
      </c>
      <c r="D162">
        <v>80</v>
      </c>
      <c r="E162">
        <v>0.01</v>
      </c>
      <c r="F162">
        <v>0</v>
      </c>
      <c r="G162">
        <v>2.2120000000000002</v>
      </c>
      <c r="H162">
        <v>0</v>
      </c>
      <c r="I162">
        <v>0</v>
      </c>
    </row>
    <row r="163" spans="1:9" x14ac:dyDescent="0.25">
      <c r="A163">
        <v>94</v>
      </c>
      <c r="B163">
        <v>183</v>
      </c>
      <c r="C163">
        <v>182</v>
      </c>
      <c r="D163">
        <v>80</v>
      </c>
      <c r="E163">
        <v>0.01</v>
      </c>
      <c r="F163">
        <v>0</v>
      </c>
      <c r="G163">
        <v>2.2120000000000002</v>
      </c>
      <c r="H163">
        <v>0</v>
      </c>
      <c r="I163">
        <v>0</v>
      </c>
    </row>
    <row r="164" spans="1:9" x14ac:dyDescent="0.25">
      <c r="A164">
        <v>53</v>
      </c>
      <c r="B164">
        <v>146</v>
      </c>
      <c r="C164">
        <v>182</v>
      </c>
      <c r="D164">
        <v>225</v>
      </c>
      <c r="E164">
        <v>0.01</v>
      </c>
      <c r="F164">
        <v>0</v>
      </c>
      <c r="G164">
        <v>0</v>
      </c>
      <c r="H164">
        <v>0</v>
      </c>
      <c r="I164">
        <v>0</v>
      </c>
    </row>
    <row r="165" spans="1:9" x14ac:dyDescent="0.25">
      <c r="A165">
        <v>123</v>
      </c>
      <c r="B165">
        <v>209</v>
      </c>
      <c r="C165">
        <v>215</v>
      </c>
      <c r="D165">
        <v>80</v>
      </c>
      <c r="E165">
        <v>0.01</v>
      </c>
      <c r="F165">
        <v>0</v>
      </c>
      <c r="G165">
        <v>0.4</v>
      </c>
      <c r="H165">
        <v>0</v>
      </c>
      <c r="I165">
        <v>0</v>
      </c>
    </row>
    <row r="166" spans="1:9" x14ac:dyDescent="0.25">
      <c r="A166">
        <v>95</v>
      </c>
      <c r="B166">
        <v>184</v>
      </c>
      <c r="C166">
        <v>215</v>
      </c>
      <c r="D166">
        <v>140</v>
      </c>
      <c r="E166">
        <v>0.01</v>
      </c>
      <c r="F166">
        <v>0</v>
      </c>
      <c r="G166">
        <v>0.76100000000000001</v>
      </c>
      <c r="H166">
        <v>0</v>
      </c>
      <c r="I166">
        <v>0</v>
      </c>
    </row>
    <row r="167" spans="1:9" x14ac:dyDescent="0.25">
      <c r="A167">
        <v>378</v>
      </c>
      <c r="B167" t="s">
        <v>71</v>
      </c>
      <c r="C167">
        <v>145</v>
      </c>
      <c r="D167">
        <v>80</v>
      </c>
      <c r="E167">
        <v>0.01</v>
      </c>
      <c r="F167">
        <v>0</v>
      </c>
      <c r="G167">
        <v>1.2264999999999999</v>
      </c>
      <c r="H167">
        <v>0</v>
      </c>
      <c r="I167">
        <v>0</v>
      </c>
    </row>
    <row r="168" spans="1:9" x14ac:dyDescent="0.25">
      <c r="A168">
        <v>19</v>
      </c>
      <c r="B168">
        <v>115</v>
      </c>
      <c r="C168">
        <v>145</v>
      </c>
      <c r="D168">
        <v>260</v>
      </c>
      <c r="E168">
        <v>0.01</v>
      </c>
      <c r="F168">
        <v>0</v>
      </c>
      <c r="G168">
        <v>0</v>
      </c>
      <c r="H168">
        <v>0</v>
      </c>
      <c r="I168">
        <v>0</v>
      </c>
    </row>
    <row r="169" spans="1:9" x14ac:dyDescent="0.25">
      <c r="A169">
        <v>530</v>
      </c>
      <c r="B169" t="s">
        <v>72</v>
      </c>
      <c r="C169">
        <v>100</v>
      </c>
      <c r="D169">
        <v>75</v>
      </c>
      <c r="E169">
        <v>0.01</v>
      </c>
      <c r="F169">
        <v>0</v>
      </c>
      <c r="G169">
        <v>0.39800000000000002</v>
      </c>
      <c r="H169">
        <v>0</v>
      </c>
      <c r="I169">
        <v>0</v>
      </c>
    </row>
    <row r="170" spans="1:9" x14ac:dyDescent="0.25">
      <c r="A170">
        <v>245</v>
      </c>
      <c r="B170">
        <v>319</v>
      </c>
      <c r="C170">
        <v>100</v>
      </c>
      <c r="D170">
        <v>120</v>
      </c>
      <c r="E170">
        <v>0.01</v>
      </c>
      <c r="F170">
        <v>0</v>
      </c>
      <c r="G170">
        <v>0.26750000000000002</v>
      </c>
      <c r="H170">
        <v>0</v>
      </c>
      <c r="I170">
        <v>0</v>
      </c>
    </row>
    <row r="171" spans="1:9" x14ac:dyDescent="0.25">
      <c r="A171">
        <v>4</v>
      </c>
      <c r="B171">
        <v>101</v>
      </c>
      <c r="C171">
        <v>100</v>
      </c>
      <c r="D171">
        <v>75</v>
      </c>
      <c r="E171">
        <v>0.01</v>
      </c>
      <c r="F171">
        <v>0</v>
      </c>
      <c r="G171">
        <v>0.05</v>
      </c>
      <c r="H171">
        <v>0</v>
      </c>
      <c r="I171">
        <v>0</v>
      </c>
    </row>
    <row r="172" spans="1:9" x14ac:dyDescent="0.25">
      <c r="A172">
        <v>362</v>
      </c>
      <c r="B172" t="s">
        <v>73</v>
      </c>
      <c r="C172">
        <v>116</v>
      </c>
      <c r="D172">
        <v>80</v>
      </c>
      <c r="E172">
        <v>0.01</v>
      </c>
      <c r="F172">
        <v>0</v>
      </c>
      <c r="G172">
        <v>0</v>
      </c>
      <c r="H172">
        <v>0</v>
      </c>
      <c r="I172">
        <v>0</v>
      </c>
    </row>
    <row r="173" spans="1:9" x14ac:dyDescent="0.25">
      <c r="A173">
        <v>344</v>
      </c>
      <c r="B173">
        <v>94</v>
      </c>
      <c r="C173">
        <v>122</v>
      </c>
      <c r="D173">
        <v>250</v>
      </c>
      <c r="E173">
        <v>0.01</v>
      </c>
      <c r="F173">
        <v>0</v>
      </c>
      <c r="G173">
        <v>0</v>
      </c>
      <c r="H173">
        <v>0</v>
      </c>
      <c r="I173">
        <v>0</v>
      </c>
    </row>
    <row r="174" spans="1:9" x14ac:dyDescent="0.25">
      <c r="A174">
        <v>28</v>
      </c>
      <c r="B174">
        <v>123</v>
      </c>
      <c r="C174">
        <v>122</v>
      </c>
      <c r="D174">
        <v>80</v>
      </c>
      <c r="E174">
        <v>0.01</v>
      </c>
      <c r="F174">
        <v>0</v>
      </c>
      <c r="G174">
        <v>0.55100000000000005</v>
      </c>
      <c r="H174">
        <v>0</v>
      </c>
      <c r="I174">
        <v>0</v>
      </c>
    </row>
    <row r="175" spans="1:9" x14ac:dyDescent="0.25">
      <c r="A175">
        <v>345</v>
      </c>
      <c r="B175">
        <v>95</v>
      </c>
      <c r="C175">
        <v>96</v>
      </c>
      <c r="D175">
        <v>75</v>
      </c>
      <c r="E175">
        <v>0.01</v>
      </c>
      <c r="F175">
        <v>0</v>
      </c>
      <c r="G175">
        <v>0</v>
      </c>
      <c r="H175">
        <v>0</v>
      </c>
      <c r="I175">
        <v>0</v>
      </c>
    </row>
    <row r="176" spans="1:9" x14ac:dyDescent="0.25">
      <c r="A176">
        <v>250</v>
      </c>
      <c r="B176">
        <v>323</v>
      </c>
      <c r="C176">
        <v>96</v>
      </c>
      <c r="D176">
        <v>120</v>
      </c>
      <c r="E176">
        <v>0.01</v>
      </c>
      <c r="F176">
        <v>0</v>
      </c>
      <c r="G176">
        <v>0.57750000000000001</v>
      </c>
      <c r="H176">
        <v>0</v>
      </c>
      <c r="I176">
        <v>0</v>
      </c>
    </row>
    <row r="177" spans="1:9" x14ac:dyDescent="0.25">
      <c r="A177">
        <v>412</v>
      </c>
      <c r="B177" t="s">
        <v>74</v>
      </c>
      <c r="C177">
        <v>137</v>
      </c>
      <c r="D177">
        <v>225</v>
      </c>
      <c r="E177">
        <v>0.01</v>
      </c>
      <c r="F177">
        <v>0</v>
      </c>
      <c r="G177">
        <v>2.6355</v>
      </c>
      <c r="H177">
        <v>0</v>
      </c>
      <c r="I177">
        <v>0</v>
      </c>
    </row>
    <row r="178" spans="1:9" x14ac:dyDescent="0.25">
      <c r="A178">
        <v>371</v>
      </c>
      <c r="B178" t="s">
        <v>75</v>
      </c>
      <c r="C178">
        <v>137</v>
      </c>
      <c r="D178">
        <v>240</v>
      </c>
      <c r="E178">
        <v>0.01</v>
      </c>
      <c r="F178">
        <v>0</v>
      </c>
      <c r="G178">
        <v>2.5920000000000001</v>
      </c>
      <c r="H178">
        <v>0</v>
      </c>
      <c r="I178">
        <v>0</v>
      </c>
    </row>
    <row r="179" spans="1:9" x14ac:dyDescent="0.25">
      <c r="A179">
        <v>42</v>
      </c>
      <c r="B179">
        <v>136</v>
      </c>
      <c r="C179">
        <v>137</v>
      </c>
      <c r="D179">
        <v>80</v>
      </c>
      <c r="E179">
        <v>0.01</v>
      </c>
      <c r="F179">
        <v>0</v>
      </c>
      <c r="G179">
        <v>0</v>
      </c>
      <c r="H179">
        <v>0</v>
      </c>
      <c r="I179">
        <v>0</v>
      </c>
    </row>
    <row r="180" spans="1:9" x14ac:dyDescent="0.25">
      <c r="A180">
        <v>81</v>
      </c>
      <c r="B180">
        <v>171</v>
      </c>
      <c r="C180">
        <v>172</v>
      </c>
      <c r="D180">
        <v>80</v>
      </c>
      <c r="E180">
        <v>0.01</v>
      </c>
      <c r="F180">
        <v>0</v>
      </c>
      <c r="G180">
        <v>0</v>
      </c>
      <c r="H180">
        <v>0</v>
      </c>
      <c r="I180">
        <v>0</v>
      </c>
    </row>
    <row r="181" spans="1:9" x14ac:dyDescent="0.25">
      <c r="A181">
        <v>408</v>
      </c>
      <c r="B181" t="s">
        <v>76</v>
      </c>
      <c r="C181">
        <v>264</v>
      </c>
      <c r="D181">
        <v>220</v>
      </c>
      <c r="E181">
        <v>0.01</v>
      </c>
      <c r="F181">
        <v>0</v>
      </c>
      <c r="G181">
        <v>3.899</v>
      </c>
      <c r="H181">
        <v>0</v>
      </c>
      <c r="I181">
        <v>0</v>
      </c>
    </row>
    <row r="182" spans="1:9" x14ac:dyDescent="0.25">
      <c r="A182">
        <v>189</v>
      </c>
      <c r="B182">
        <v>269</v>
      </c>
      <c r="C182">
        <v>264</v>
      </c>
      <c r="D182">
        <v>80</v>
      </c>
      <c r="E182">
        <v>0.01</v>
      </c>
      <c r="F182">
        <v>0</v>
      </c>
      <c r="G182">
        <v>0</v>
      </c>
      <c r="H182">
        <v>0</v>
      </c>
      <c r="I182">
        <v>0</v>
      </c>
    </row>
    <row r="183" spans="1:9" x14ac:dyDescent="0.25">
      <c r="A183">
        <v>459</v>
      </c>
      <c r="B183" t="s">
        <v>77</v>
      </c>
      <c r="C183">
        <v>265</v>
      </c>
      <c r="D183">
        <v>200</v>
      </c>
      <c r="E183">
        <v>0.01</v>
      </c>
      <c r="F183">
        <v>0</v>
      </c>
      <c r="G183">
        <v>1.5109999999999999</v>
      </c>
      <c r="H183">
        <v>0</v>
      </c>
      <c r="I183">
        <v>0</v>
      </c>
    </row>
    <row r="184" spans="1:9" x14ac:dyDescent="0.25">
      <c r="A184">
        <v>192</v>
      </c>
      <c r="B184">
        <v>271</v>
      </c>
      <c r="C184">
        <v>265</v>
      </c>
      <c r="D184">
        <v>160</v>
      </c>
      <c r="E184">
        <v>0.01</v>
      </c>
      <c r="F184">
        <v>0</v>
      </c>
      <c r="G184">
        <v>0.13</v>
      </c>
      <c r="H184">
        <v>0</v>
      </c>
      <c r="I184">
        <v>0</v>
      </c>
    </row>
    <row r="185" spans="1:9" x14ac:dyDescent="0.25">
      <c r="A185">
        <v>209</v>
      </c>
      <c r="B185">
        <v>287</v>
      </c>
      <c r="C185">
        <v>286</v>
      </c>
      <c r="D185">
        <v>70</v>
      </c>
      <c r="E185">
        <v>0.01</v>
      </c>
      <c r="F185">
        <v>0</v>
      </c>
      <c r="G185">
        <v>0</v>
      </c>
      <c r="H185">
        <v>0</v>
      </c>
      <c r="I185">
        <v>0</v>
      </c>
    </row>
    <row r="186" spans="1:9" x14ac:dyDescent="0.25">
      <c r="A186">
        <v>205</v>
      </c>
      <c r="B186">
        <v>283</v>
      </c>
      <c r="C186">
        <v>286</v>
      </c>
      <c r="D186">
        <v>175</v>
      </c>
      <c r="E186">
        <v>0.01</v>
      </c>
      <c r="F186">
        <v>0</v>
      </c>
      <c r="G186">
        <v>0.92449999999999999</v>
      </c>
      <c r="H186">
        <v>0</v>
      </c>
      <c r="I186">
        <v>0</v>
      </c>
    </row>
    <row r="187" spans="1:9" x14ac:dyDescent="0.25">
      <c r="A187">
        <v>463</v>
      </c>
      <c r="B187" t="s">
        <v>78</v>
      </c>
      <c r="C187">
        <v>284</v>
      </c>
      <c r="D187">
        <v>110</v>
      </c>
      <c r="E187">
        <v>0.01</v>
      </c>
      <c r="F187">
        <v>0</v>
      </c>
      <c r="G187">
        <v>0</v>
      </c>
      <c r="H187">
        <v>0</v>
      </c>
      <c r="I187">
        <v>0</v>
      </c>
    </row>
    <row r="188" spans="1:9" x14ac:dyDescent="0.25">
      <c r="A188">
        <v>473</v>
      </c>
      <c r="B188" t="s">
        <v>79</v>
      </c>
      <c r="C188">
        <v>291</v>
      </c>
      <c r="D188">
        <v>270</v>
      </c>
      <c r="E188">
        <v>0.01</v>
      </c>
      <c r="F188">
        <v>0</v>
      </c>
      <c r="G188">
        <v>2.1604999999999999</v>
      </c>
      <c r="H188">
        <v>0</v>
      </c>
      <c r="I188">
        <v>0</v>
      </c>
    </row>
    <row r="189" spans="1:9" x14ac:dyDescent="0.25">
      <c r="A189">
        <v>213</v>
      </c>
      <c r="B189">
        <v>290</v>
      </c>
      <c r="C189">
        <v>291</v>
      </c>
      <c r="D189">
        <v>100</v>
      </c>
      <c r="E189">
        <v>0.01</v>
      </c>
      <c r="F189">
        <v>0</v>
      </c>
      <c r="G189">
        <v>0</v>
      </c>
      <c r="H189">
        <v>0</v>
      </c>
      <c r="I189">
        <v>0</v>
      </c>
    </row>
    <row r="190" spans="1:9" x14ac:dyDescent="0.25">
      <c r="A190">
        <v>114</v>
      </c>
      <c r="B190">
        <v>200</v>
      </c>
      <c r="C190">
        <v>199</v>
      </c>
      <c r="D190">
        <v>120</v>
      </c>
      <c r="E190">
        <v>0.01</v>
      </c>
      <c r="F190">
        <v>0</v>
      </c>
      <c r="G190">
        <v>1.62</v>
      </c>
      <c r="H190">
        <v>0</v>
      </c>
      <c r="I190">
        <v>0</v>
      </c>
    </row>
    <row r="191" spans="1:9" x14ac:dyDescent="0.25">
      <c r="A191">
        <v>110</v>
      </c>
      <c r="B191">
        <v>198</v>
      </c>
      <c r="C191">
        <v>199</v>
      </c>
      <c r="D191">
        <v>140</v>
      </c>
      <c r="E191">
        <v>0.01</v>
      </c>
      <c r="F191">
        <v>0</v>
      </c>
      <c r="G191">
        <v>0</v>
      </c>
      <c r="H191">
        <v>0</v>
      </c>
      <c r="I191">
        <v>0</v>
      </c>
    </row>
    <row r="192" spans="1:9" x14ac:dyDescent="0.25">
      <c r="A192">
        <v>117</v>
      </c>
      <c r="B192">
        <v>203</v>
      </c>
      <c r="C192">
        <v>204</v>
      </c>
      <c r="D192">
        <v>175</v>
      </c>
      <c r="E192">
        <v>0.01</v>
      </c>
      <c r="F192">
        <v>0</v>
      </c>
      <c r="G192">
        <v>0</v>
      </c>
      <c r="H192">
        <v>0</v>
      </c>
      <c r="I192">
        <v>0</v>
      </c>
    </row>
    <row r="193" spans="1:9" x14ac:dyDescent="0.25">
      <c r="A193">
        <v>54</v>
      </c>
      <c r="B193">
        <v>147</v>
      </c>
      <c r="C193">
        <v>146</v>
      </c>
      <c r="D193">
        <v>80</v>
      </c>
      <c r="E193">
        <v>0.01</v>
      </c>
      <c r="F193">
        <v>0</v>
      </c>
      <c r="G193">
        <v>0.89549999999999996</v>
      </c>
      <c r="H193">
        <v>0</v>
      </c>
      <c r="I193">
        <v>0</v>
      </c>
    </row>
    <row r="194" spans="1:9" x14ac:dyDescent="0.25">
      <c r="A194">
        <v>18</v>
      </c>
      <c r="B194">
        <v>114</v>
      </c>
      <c r="C194">
        <v>146</v>
      </c>
      <c r="D194">
        <v>260</v>
      </c>
      <c r="E194">
        <v>0.01</v>
      </c>
      <c r="F194">
        <v>0</v>
      </c>
      <c r="G194">
        <v>0</v>
      </c>
      <c r="H194">
        <v>0</v>
      </c>
      <c r="I194">
        <v>0</v>
      </c>
    </row>
    <row r="195" spans="1:9" x14ac:dyDescent="0.25">
      <c r="A195">
        <v>426</v>
      </c>
      <c r="B195" t="s">
        <v>80</v>
      </c>
      <c r="C195">
        <v>184</v>
      </c>
      <c r="D195">
        <v>80</v>
      </c>
      <c r="E195">
        <v>0.01</v>
      </c>
      <c r="F195">
        <v>0</v>
      </c>
      <c r="G195">
        <v>2.1019999999999999</v>
      </c>
      <c r="H195">
        <v>0</v>
      </c>
      <c r="I195">
        <v>0</v>
      </c>
    </row>
    <row r="196" spans="1:9" x14ac:dyDescent="0.25">
      <c r="A196">
        <v>96</v>
      </c>
      <c r="B196">
        <v>185</v>
      </c>
      <c r="C196">
        <v>184</v>
      </c>
      <c r="D196">
        <v>80</v>
      </c>
      <c r="E196">
        <v>0.01</v>
      </c>
      <c r="F196">
        <v>0</v>
      </c>
      <c r="G196">
        <v>2.1019999999999999</v>
      </c>
      <c r="H196">
        <v>0</v>
      </c>
      <c r="I196">
        <v>0</v>
      </c>
    </row>
    <row r="197" spans="1:9" x14ac:dyDescent="0.25">
      <c r="A197">
        <v>55</v>
      </c>
      <c r="B197">
        <v>148</v>
      </c>
      <c r="C197">
        <v>184</v>
      </c>
      <c r="D197">
        <v>225</v>
      </c>
      <c r="E197">
        <v>0.01</v>
      </c>
      <c r="F197">
        <v>0</v>
      </c>
      <c r="G197">
        <v>0</v>
      </c>
      <c r="H197">
        <v>0</v>
      </c>
      <c r="I197">
        <v>0</v>
      </c>
    </row>
    <row r="198" spans="1:9" x14ac:dyDescent="0.25">
      <c r="A198">
        <v>438</v>
      </c>
      <c r="B198" t="s">
        <v>81</v>
      </c>
      <c r="C198">
        <v>209</v>
      </c>
      <c r="D198">
        <v>110</v>
      </c>
      <c r="E198">
        <v>0.01</v>
      </c>
      <c r="F198">
        <v>0</v>
      </c>
      <c r="G198">
        <v>2.5059999999999998</v>
      </c>
      <c r="H198">
        <v>0</v>
      </c>
      <c r="I198">
        <v>0</v>
      </c>
    </row>
    <row r="199" spans="1:9" x14ac:dyDescent="0.25">
      <c r="A199">
        <v>98</v>
      </c>
      <c r="B199">
        <v>187</v>
      </c>
      <c r="C199">
        <v>209</v>
      </c>
      <c r="D199">
        <v>90</v>
      </c>
      <c r="E199">
        <v>0.01</v>
      </c>
      <c r="F199">
        <v>0</v>
      </c>
      <c r="G199">
        <v>0</v>
      </c>
      <c r="H199">
        <v>0</v>
      </c>
      <c r="I199">
        <v>0</v>
      </c>
    </row>
    <row r="200" spans="1:9" x14ac:dyDescent="0.25">
      <c r="A200">
        <v>361</v>
      </c>
      <c r="B200" t="s">
        <v>82</v>
      </c>
      <c r="C200">
        <v>115</v>
      </c>
      <c r="D200">
        <v>40</v>
      </c>
      <c r="E200">
        <v>0.01</v>
      </c>
      <c r="F200">
        <v>0</v>
      </c>
      <c r="G200">
        <v>0.84850000000000003</v>
      </c>
      <c r="H200">
        <v>0</v>
      </c>
      <c r="I200">
        <v>0</v>
      </c>
    </row>
    <row r="201" spans="1:9" x14ac:dyDescent="0.25">
      <c r="A201">
        <v>5</v>
      </c>
      <c r="B201">
        <v>102</v>
      </c>
      <c r="C201">
        <v>115</v>
      </c>
      <c r="D201">
        <v>180</v>
      </c>
      <c r="E201">
        <v>0.01</v>
      </c>
      <c r="F201">
        <v>0</v>
      </c>
      <c r="G201">
        <v>0</v>
      </c>
      <c r="H201">
        <v>0</v>
      </c>
      <c r="I201">
        <v>0</v>
      </c>
    </row>
    <row r="202" spans="1:9" x14ac:dyDescent="0.25">
      <c r="A202">
        <v>244</v>
      </c>
      <c r="B202">
        <v>318</v>
      </c>
      <c r="C202">
        <v>101</v>
      </c>
      <c r="D202">
        <v>120</v>
      </c>
      <c r="E202">
        <v>0.01</v>
      </c>
      <c r="F202">
        <v>0</v>
      </c>
      <c r="G202">
        <v>0</v>
      </c>
      <c r="H202">
        <v>0</v>
      </c>
      <c r="I202">
        <v>0</v>
      </c>
    </row>
    <row r="203" spans="1:9" x14ac:dyDescent="0.25">
      <c r="A203">
        <v>343</v>
      </c>
      <c r="B203">
        <v>93</v>
      </c>
      <c r="C203">
        <v>123</v>
      </c>
      <c r="D203">
        <v>40</v>
      </c>
      <c r="E203">
        <v>0.01</v>
      </c>
      <c r="F203">
        <v>0</v>
      </c>
      <c r="G203">
        <v>0</v>
      </c>
      <c r="H203">
        <v>0</v>
      </c>
      <c r="I203">
        <v>0</v>
      </c>
    </row>
    <row r="204" spans="1:9" x14ac:dyDescent="0.25">
      <c r="A204">
        <v>319</v>
      </c>
      <c r="B204">
        <v>71</v>
      </c>
      <c r="C204">
        <v>94</v>
      </c>
      <c r="D204">
        <v>75</v>
      </c>
      <c r="E204">
        <v>0.01</v>
      </c>
      <c r="F204">
        <v>0</v>
      </c>
      <c r="G204">
        <v>0</v>
      </c>
      <c r="H204">
        <v>0</v>
      </c>
      <c r="I204">
        <v>0</v>
      </c>
    </row>
    <row r="205" spans="1:9" x14ac:dyDescent="0.25">
      <c r="A205">
        <v>252</v>
      </c>
      <c r="B205">
        <v>325</v>
      </c>
      <c r="C205">
        <v>94</v>
      </c>
      <c r="D205">
        <v>120</v>
      </c>
      <c r="E205">
        <v>0.01</v>
      </c>
      <c r="F205">
        <v>0</v>
      </c>
      <c r="G205">
        <v>3.7254999999999998</v>
      </c>
      <c r="H205">
        <v>0</v>
      </c>
      <c r="I205">
        <v>0</v>
      </c>
    </row>
    <row r="206" spans="1:9" x14ac:dyDescent="0.25">
      <c r="A206">
        <v>528</v>
      </c>
      <c r="B206" t="s">
        <v>83</v>
      </c>
      <c r="C206">
        <v>95</v>
      </c>
      <c r="D206">
        <v>75</v>
      </c>
      <c r="E206">
        <v>0.01</v>
      </c>
      <c r="F206">
        <v>0</v>
      </c>
      <c r="G206">
        <v>0.58050000000000002</v>
      </c>
      <c r="H206">
        <v>0</v>
      </c>
      <c r="I206">
        <v>0</v>
      </c>
    </row>
    <row r="207" spans="1:9" x14ac:dyDescent="0.25">
      <c r="A207">
        <v>251</v>
      </c>
      <c r="B207">
        <v>324</v>
      </c>
      <c r="C207">
        <v>95</v>
      </c>
      <c r="D207">
        <v>120</v>
      </c>
      <c r="E207">
        <v>0.01</v>
      </c>
      <c r="F207">
        <v>0</v>
      </c>
      <c r="G207">
        <v>0.4</v>
      </c>
      <c r="H207">
        <v>0</v>
      </c>
      <c r="I207">
        <v>0</v>
      </c>
    </row>
    <row r="208" spans="1:9" x14ac:dyDescent="0.25">
      <c r="A208">
        <v>527</v>
      </c>
      <c r="B208" t="s">
        <v>84</v>
      </c>
      <c r="C208">
        <v>136</v>
      </c>
      <c r="D208">
        <v>240</v>
      </c>
      <c r="E208">
        <v>0.01</v>
      </c>
      <c r="F208">
        <v>0</v>
      </c>
      <c r="G208">
        <v>2.488</v>
      </c>
      <c r="H208">
        <v>0</v>
      </c>
      <c r="I208">
        <v>0</v>
      </c>
    </row>
    <row r="209" spans="1:9" x14ac:dyDescent="0.25">
      <c r="A209">
        <v>409</v>
      </c>
      <c r="B209" t="s">
        <v>85</v>
      </c>
      <c r="C209">
        <v>136</v>
      </c>
      <c r="D209">
        <v>225</v>
      </c>
      <c r="E209">
        <v>0.01</v>
      </c>
      <c r="F209">
        <v>0</v>
      </c>
      <c r="G209">
        <v>2.5314999999999999</v>
      </c>
      <c r="H209">
        <v>0</v>
      </c>
      <c r="I209">
        <v>0</v>
      </c>
    </row>
    <row r="210" spans="1:9" x14ac:dyDescent="0.25">
      <c r="A210">
        <v>41</v>
      </c>
      <c r="B210">
        <v>135</v>
      </c>
      <c r="C210">
        <v>136</v>
      </c>
      <c r="D210">
        <v>80</v>
      </c>
      <c r="E210">
        <v>0.01</v>
      </c>
      <c r="F210">
        <v>0</v>
      </c>
      <c r="G210">
        <v>0</v>
      </c>
      <c r="H210">
        <v>0</v>
      </c>
      <c r="I210">
        <v>0</v>
      </c>
    </row>
    <row r="211" spans="1:9" x14ac:dyDescent="0.25">
      <c r="A211">
        <v>80</v>
      </c>
      <c r="B211">
        <v>170</v>
      </c>
      <c r="C211">
        <v>171</v>
      </c>
      <c r="D211">
        <v>80</v>
      </c>
      <c r="E211">
        <v>0.01</v>
      </c>
      <c r="F211">
        <v>0</v>
      </c>
      <c r="G211">
        <v>0</v>
      </c>
      <c r="H211">
        <v>0</v>
      </c>
      <c r="I211">
        <v>0</v>
      </c>
    </row>
    <row r="212" spans="1:9" x14ac:dyDescent="0.25">
      <c r="A212">
        <v>406</v>
      </c>
      <c r="B212" t="s">
        <v>86</v>
      </c>
      <c r="C212">
        <v>269</v>
      </c>
      <c r="D212">
        <v>220</v>
      </c>
      <c r="E212">
        <v>0.01</v>
      </c>
      <c r="F212">
        <v>0</v>
      </c>
      <c r="G212">
        <v>3.7469999999999999</v>
      </c>
      <c r="H212">
        <v>0</v>
      </c>
      <c r="I212">
        <v>0</v>
      </c>
    </row>
    <row r="213" spans="1:9" x14ac:dyDescent="0.25">
      <c r="A213">
        <v>191</v>
      </c>
      <c r="B213">
        <v>270</v>
      </c>
      <c r="C213">
        <v>269</v>
      </c>
      <c r="D213">
        <v>80</v>
      </c>
      <c r="E213">
        <v>0.01</v>
      </c>
      <c r="F213">
        <v>0</v>
      </c>
      <c r="G213">
        <v>0</v>
      </c>
      <c r="H213">
        <v>0</v>
      </c>
      <c r="I213">
        <v>0</v>
      </c>
    </row>
    <row r="214" spans="1:9" x14ac:dyDescent="0.25">
      <c r="A214">
        <v>461</v>
      </c>
      <c r="B214" t="s">
        <v>87</v>
      </c>
      <c r="C214">
        <v>271</v>
      </c>
      <c r="D214">
        <v>200</v>
      </c>
      <c r="E214">
        <v>0.01</v>
      </c>
      <c r="F214">
        <v>0</v>
      </c>
      <c r="G214">
        <v>0.91700000000000004</v>
      </c>
      <c r="H214">
        <v>0</v>
      </c>
      <c r="I214">
        <v>0</v>
      </c>
    </row>
    <row r="215" spans="1:9" x14ac:dyDescent="0.25">
      <c r="A215">
        <v>202</v>
      </c>
      <c r="B215">
        <v>280</v>
      </c>
      <c r="C215">
        <v>271</v>
      </c>
      <c r="D215">
        <v>230</v>
      </c>
      <c r="E215">
        <v>0.01</v>
      </c>
      <c r="F215">
        <v>0</v>
      </c>
      <c r="G215">
        <v>0</v>
      </c>
      <c r="H215">
        <v>0</v>
      </c>
      <c r="I215">
        <v>0</v>
      </c>
    </row>
    <row r="216" spans="1:9" x14ac:dyDescent="0.25">
      <c r="A216">
        <v>470</v>
      </c>
      <c r="B216" t="s">
        <v>88</v>
      </c>
      <c r="C216">
        <v>283</v>
      </c>
      <c r="D216">
        <v>50</v>
      </c>
      <c r="E216">
        <v>0.01</v>
      </c>
      <c r="F216">
        <v>0</v>
      </c>
      <c r="G216">
        <v>1.218</v>
      </c>
      <c r="H216">
        <v>0</v>
      </c>
      <c r="I216">
        <v>0</v>
      </c>
    </row>
    <row r="217" spans="1:9" x14ac:dyDescent="0.25">
      <c r="A217">
        <v>204</v>
      </c>
      <c r="B217">
        <v>282</v>
      </c>
      <c r="C217">
        <v>283</v>
      </c>
      <c r="D217">
        <v>70</v>
      </c>
      <c r="E217">
        <v>0.01</v>
      </c>
      <c r="F217">
        <v>0</v>
      </c>
      <c r="G217">
        <v>0</v>
      </c>
      <c r="H217">
        <v>0</v>
      </c>
      <c r="I217">
        <v>0</v>
      </c>
    </row>
    <row r="218" spans="1:9" x14ac:dyDescent="0.25">
      <c r="A218">
        <v>469</v>
      </c>
      <c r="B218" t="s">
        <v>89</v>
      </c>
      <c r="C218">
        <v>287</v>
      </c>
      <c r="D218">
        <v>175</v>
      </c>
      <c r="E218">
        <v>0.01</v>
      </c>
      <c r="F218">
        <v>0</v>
      </c>
      <c r="G218">
        <v>2.1684999999999999</v>
      </c>
      <c r="H218">
        <v>0</v>
      </c>
      <c r="I218">
        <v>0</v>
      </c>
    </row>
    <row r="219" spans="1:9" x14ac:dyDescent="0.25">
      <c r="A219">
        <v>210</v>
      </c>
      <c r="B219">
        <v>288</v>
      </c>
      <c r="C219">
        <v>287</v>
      </c>
      <c r="D219">
        <v>100</v>
      </c>
      <c r="E219">
        <v>0.01</v>
      </c>
      <c r="F219">
        <v>0</v>
      </c>
      <c r="G219">
        <v>0</v>
      </c>
      <c r="H219">
        <v>0</v>
      </c>
      <c r="I219">
        <v>0</v>
      </c>
    </row>
    <row r="220" spans="1:9" x14ac:dyDescent="0.25">
      <c r="A220">
        <v>474</v>
      </c>
      <c r="B220" t="s">
        <v>90</v>
      </c>
      <c r="C220">
        <v>290</v>
      </c>
      <c r="D220">
        <v>250</v>
      </c>
      <c r="E220">
        <v>0.01</v>
      </c>
      <c r="F220">
        <v>0</v>
      </c>
      <c r="G220">
        <v>1.9285000000000001</v>
      </c>
      <c r="H220">
        <v>0</v>
      </c>
      <c r="I220">
        <v>0</v>
      </c>
    </row>
    <row r="221" spans="1:9" x14ac:dyDescent="0.25">
      <c r="A221">
        <v>217</v>
      </c>
      <c r="B221">
        <v>294</v>
      </c>
      <c r="C221">
        <v>290</v>
      </c>
      <c r="D221">
        <v>200</v>
      </c>
      <c r="E221">
        <v>0.01</v>
      </c>
      <c r="F221">
        <v>0</v>
      </c>
      <c r="G221">
        <v>0</v>
      </c>
      <c r="H221">
        <v>0</v>
      </c>
      <c r="I221">
        <v>0</v>
      </c>
    </row>
    <row r="222" spans="1:9" x14ac:dyDescent="0.25">
      <c r="A222">
        <v>109</v>
      </c>
      <c r="B222">
        <v>197</v>
      </c>
      <c r="C222">
        <v>198</v>
      </c>
      <c r="D222">
        <v>150</v>
      </c>
      <c r="E222">
        <v>0.01</v>
      </c>
      <c r="F222">
        <v>0</v>
      </c>
      <c r="G222">
        <v>1.0649999999999999</v>
      </c>
      <c r="H222">
        <v>0</v>
      </c>
      <c r="I222">
        <v>0</v>
      </c>
    </row>
    <row r="223" spans="1:9" x14ac:dyDescent="0.25">
      <c r="A223">
        <v>106</v>
      </c>
      <c r="B223">
        <v>194</v>
      </c>
      <c r="C223">
        <v>198</v>
      </c>
      <c r="D223">
        <v>140</v>
      </c>
      <c r="E223">
        <v>0.01</v>
      </c>
      <c r="F223">
        <v>0</v>
      </c>
      <c r="G223">
        <v>0.05</v>
      </c>
      <c r="H223">
        <v>0</v>
      </c>
      <c r="I223">
        <v>0</v>
      </c>
    </row>
    <row r="224" spans="1:9" x14ac:dyDescent="0.25">
      <c r="A224">
        <v>115</v>
      </c>
      <c r="B224">
        <v>201</v>
      </c>
      <c r="C224">
        <v>200</v>
      </c>
      <c r="D224">
        <v>150</v>
      </c>
      <c r="E224">
        <v>0.01</v>
      </c>
      <c r="F224">
        <v>0</v>
      </c>
      <c r="G224">
        <v>0</v>
      </c>
      <c r="H224">
        <v>0</v>
      </c>
      <c r="I224">
        <v>0</v>
      </c>
    </row>
    <row r="225" spans="1:9" x14ac:dyDescent="0.25">
      <c r="A225">
        <v>436</v>
      </c>
      <c r="B225" t="s">
        <v>91</v>
      </c>
      <c r="C225">
        <v>203</v>
      </c>
      <c r="D225">
        <v>110</v>
      </c>
      <c r="E225">
        <v>0.01</v>
      </c>
      <c r="F225">
        <v>0</v>
      </c>
      <c r="G225">
        <v>0</v>
      </c>
      <c r="H225">
        <v>0</v>
      </c>
      <c r="I225">
        <v>0</v>
      </c>
    </row>
    <row r="226" spans="1:9" x14ac:dyDescent="0.25">
      <c r="A226">
        <v>17</v>
      </c>
      <c r="B226">
        <v>113</v>
      </c>
      <c r="C226">
        <v>114</v>
      </c>
      <c r="D226">
        <v>80</v>
      </c>
      <c r="E226">
        <v>0.01</v>
      </c>
      <c r="F226">
        <v>0</v>
      </c>
      <c r="G226">
        <v>0</v>
      </c>
      <c r="H226">
        <v>0</v>
      </c>
      <c r="I226">
        <v>0</v>
      </c>
    </row>
    <row r="227" spans="1:9" x14ac:dyDescent="0.25">
      <c r="A227">
        <v>425</v>
      </c>
      <c r="B227" t="s">
        <v>92</v>
      </c>
      <c r="C227">
        <v>147</v>
      </c>
      <c r="D227">
        <v>225</v>
      </c>
      <c r="E227">
        <v>0.01</v>
      </c>
      <c r="F227">
        <v>0</v>
      </c>
      <c r="G227">
        <v>0.10150000000000001</v>
      </c>
      <c r="H227">
        <v>0</v>
      </c>
      <c r="I227">
        <v>0</v>
      </c>
    </row>
    <row r="228" spans="1:9" x14ac:dyDescent="0.25">
      <c r="A228">
        <v>379</v>
      </c>
      <c r="B228" t="s">
        <v>93</v>
      </c>
      <c r="C228">
        <v>147</v>
      </c>
      <c r="D228">
        <v>80</v>
      </c>
      <c r="E228">
        <v>0.01</v>
      </c>
      <c r="F228">
        <v>0</v>
      </c>
      <c r="G228">
        <v>0.52200000000000002</v>
      </c>
      <c r="H228">
        <v>0</v>
      </c>
      <c r="I228">
        <v>0</v>
      </c>
    </row>
    <row r="229" spans="1:9" x14ac:dyDescent="0.25">
      <c r="A229">
        <v>360</v>
      </c>
      <c r="B229" t="s">
        <v>94</v>
      </c>
      <c r="C229">
        <v>147</v>
      </c>
      <c r="D229">
        <v>260</v>
      </c>
      <c r="E229">
        <v>0.01</v>
      </c>
      <c r="F229">
        <v>0</v>
      </c>
      <c r="G229">
        <v>0</v>
      </c>
      <c r="H229">
        <v>0</v>
      </c>
      <c r="I229">
        <v>0</v>
      </c>
    </row>
    <row r="230" spans="1:9" x14ac:dyDescent="0.25">
      <c r="A230">
        <v>56</v>
      </c>
      <c r="B230">
        <v>149</v>
      </c>
      <c r="C230">
        <v>148</v>
      </c>
      <c r="D230">
        <v>80</v>
      </c>
      <c r="E230">
        <v>0.01</v>
      </c>
      <c r="F230">
        <v>0</v>
      </c>
      <c r="G230">
        <v>0.92049999999999998</v>
      </c>
      <c r="H230">
        <v>0</v>
      </c>
      <c r="I230">
        <v>0</v>
      </c>
    </row>
    <row r="231" spans="1:9" x14ac:dyDescent="0.25">
      <c r="A231">
        <v>16</v>
      </c>
      <c r="B231">
        <v>112</v>
      </c>
      <c r="C231">
        <v>148</v>
      </c>
      <c r="D231">
        <v>260</v>
      </c>
      <c r="E231">
        <v>0.01</v>
      </c>
      <c r="F231">
        <v>0</v>
      </c>
      <c r="G231">
        <v>0</v>
      </c>
      <c r="H231">
        <v>0</v>
      </c>
      <c r="I231">
        <v>0</v>
      </c>
    </row>
    <row r="232" spans="1:9" x14ac:dyDescent="0.25">
      <c r="A232">
        <v>99</v>
      </c>
      <c r="B232">
        <v>188</v>
      </c>
      <c r="C232">
        <v>187</v>
      </c>
      <c r="D232">
        <v>105</v>
      </c>
      <c r="E232">
        <v>0.01</v>
      </c>
      <c r="F232">
        <v>0</v>
      </c>
      <c r="G232">
        <v>0</v>
      </c>
      <c r="H232">
        <v>0</v>
      </c>
      <c r="I232">
        <v>0</v>
      </c>
    </row>
    <row r="233" spans="1:9" x14ac:dyDescent="0.25">
      <c r="A233">
        <v>97</v>
      </c>
      <c r="B233">
        <v>186</v>
      </c>
      <c r="C233">
        <v>187</v>
      </c>
      <c r="D233">
        <v>80</v>
      </c>
      <c r="E233">
        <v>0.01</v>
      </c>
      <c r="F233">
        <v>0</v>
      </c>
      <c r="G233">
        <v>0.72550000000000003</v>
      </c>
      <c r="H233">
        <v>0</v>
      </c>
      <c r="I233">
        <v>0</v>
      </c>
    </row>
    <row r="234" spans="1:9" x14ac:dyDescent="0.25">
      <c r="A234">
        <v>351</v>
      </c>
      <c r="B234" t="s">
        <v>95</v>
      </c>
      <c r="C234">
        <v>102</v>
      </c>
      <c r="D234">
        <v>75</v>
      </c>
      <c r="E234">
        <v>0.01</v>
      </c>
      <c r="F234">
        <v>0</v>
      </c>
      <c r="G234">
        <v>0.40500000000000003</v>
      </c>
      <c r="H234">
        <v>0</v>
      </c>
      <c r="I234">
        <v>0</v>
      </c>
    </row>
    <row r="235" spans="1:9" x14ac:dyDescent="0.25">
      <c r="A235">
        <v>243</v>
      </c>
      <c r="B235">
        <v>317</v>
      </c>
      <c r="C235">
        <v>102</v>
      </c>
      <c r="D235">
        <v>120</v>
      </c>
      <c r="E235">
        <v>0.01</v>
      </c>
      <c r="F235">
        <v>0</v>
      </c>
      <c r="G235">
        <v>0.22450000000000001</v>
      </c>
      <c r="H235">
        <v>0</v>
      </c>
      <c r="I235">
        <v>0</v>
      </c>
    </row>
    <row r="236" spans="1:9" x14ac:dyDescent="0.25">
      <c r="A236">
        <v>6</v>
      </c>
      <c r="B236">
        <v>103</v>
      </c>
      <c r="C236">
        <v>102</v>
      </c>
      <c r="D236">
        <v>75</v>
      </c>
      <c r="E236">
        <v>0.01</v>
      </c>
      <c r="F236">
        <v>0</v>
      </c>
      <c r="G236">
        <v>0</v>
      </c>
      <c r="H236">
        <v>0</v>
      </c>
      <c r="I236">
        <v>0</v>
      </c>
    </row>
    <row r="237" spans="1:9" x14ac:dyDescent="0.25">
      <c r="A237">
        <v>342</v>
      </c>
      <c r="B237">
        <v>92</v>
      </c>
      <c r="C237">
        <v>93</v>
      </c>
      <c r="D237">
        <v>40</v>
      </c>
      <c r="E237">
        <v>0.01</v>
      </c>
      <c r="F237">
        <v>0</v>
      </c>
      <c r="G237">
        <v>2.3704999999999998</v>
      </c>
      <c r="H237">
        <v>0</v>
      </c>
      <c r="I237">
        <v>0</v>
      </c>
    </row>
    <row r="238" spans="1:9" x14ac:dyDescent="0.25">
      <c r="A238">
        <v>320</v>
      </c>
      <c r="B238">
        <v>72</v>
      </c>
      <c r="C238">
        <v>93</v>
      </c>
      <c r="D238">
        <v>105</v>
      </c>
      <c r="E238">
        <v>0.01</v>
      </c>
      <c r="F238">
        <v>0</v>
      </c>
      <c r="G238">
        <v>0.2</v>
      </c>
      <c r="H238">
        <v>0</v>
      </c>
      <c r="I238">
        <v>0</v>
      </c>
    </row>
    <row r="239" spans="1:9" x14ac:dyDescent="0.25">
      <c r="A239">
        <v>505</v>
      </c>
      <c r="B239" t="s">
        <v>96</v>
      </c>
      <c r="C239">
        <v>71</v>
      </c>
      <c r="D239">
        <v>150</v>
      </c>
      <c r="E239">
        <v>0.01</v>
      </c>
      <c r="F239">
        <v>0</v>
      </c>
      <c r="G239">
        <v>3.6284999999999998</v>
      </c>
      <c r="H239">
        <v>0</v>
      </c>
      <c r="I239">
        <v>0</v>
      </c>
    </row>
    <row r="240" spans="1:9" x14ac:dyDescent="0.25">
      <c r="A240">
        <v>318</v>
      </c>
      <c r="B240">
        <v>70</v>
      </c>
      <c r="C240">
        <v>71</v>
      </c>
      <c r="D240">
        <v>75</v>
      </c>
      <c r="E240">
        <v>0.01</v>
      </c>
      <c r="F240">
        <v>0</v>
      </c>
      <c r="G240">
        <v>0</v>
      </c>
      <c r="H240">
        <v>0</v>
      </c>
      <c r="I240">
        <v>0</v>
      </c>
    </row>
    <row r="241" spans="1:9" x14ac:dyDescent="0.25">
      <c r="A241">
        <v>253</v>
      </c>
      <c r="B241">
        <v>326</v>
      </c>
      <c r="C241">
        <v>71</v>
      </c>
      <c r="D241">
        <v>120</v>
      </c>
      <c r="E241">
        <v>0.01</v>
      </c>
      <c r="F241">
        <v>0</v>
      </c>
      <c r="G241">
        <v>3.6655000000000002</v>
      </c>
      <c r="H241">
        <v>0</v>
      </c>
      <c r="I241">
        <v>0</v>
      </c>
    </row>
    <row r="242" spans="1:9" x14ac:dyDescent="0.25">
      <c r="A242">
        <v>526</v>
      </c>
      <c r="B242" t="s">
        <v>97</v>
      </c>
      <c r="C242">
        <v>135</v>
      </c>
      <c r="D242">
        <v>230</v>
      </c>
      <c r="E242">
        <v>0.01</v>
      </c>
      <c r="F242">
        <v>0</v>
      </c>
      <c r="G242">
        <v>2.4129999999999998</v>
      </c>
      <c r="H242">
        <v>0</v>
      </c>
      <c r="I242">
        <v>0</v>
      </c>
    </row>
    <row r="243" spans="1:9" x14ac:dyDescent="0.25">
      <c r="A243">
        <v>407</v>
      </c>
      <c r="B243" t="s">
        <v>98</v>
      </c>
      <c r="C243">
        <v>135</v>
      </c>
      <c r="D243">
        <v>225</v>
      </c>
      <c r="E243">
        <v>0.01</v>
      </c>
      <c r="F243">
        <v>0</v>
      </c>
      <c r="G243">
        <v>2.4275000000000002</v>
      </c>
      <c r="H243">
        <v>0</v>
      </c>
      <c r="I243">
        <v>0</v>
      </c>
    </row>
    <row r="244" spans="1:9" x14ac:dyDescent="0.25">
      <c r="A244">
        <v>40</v>
      </c>
      <c r="B244">
        <v>134</v>
      </c>
      <c r="C244">
        <v>135</v>
      </c>
      <c r="D244">
        <v>80</v>
      </c>
      <c r="E244">
        <v>0.01</v>
      </c>
      <c r="F244">
        <v>0</v>
      </c>
      <c r="G244">
        <v>0</v>
      </c>
      <c r="H244">
        <v>0</v>
      </c>
      <c r="I244">
        <v>0</v>
      </c>
    </row>
    <row r="245" spans="1:9" x14ac:dyDescent="0.25">
      <c r="A245">
        <v>78</v>
      </c>
      <c r="B245">
        <v>169</v>
      </c>
      <c r="C245">
        <v>170</v>
      </c>
      <c r="D245">
        <v>80</v>
      </c>
      <c r="E245">
        <v>0.01</v>
      </c>
      <c r="F245">
        <v>0</v>
      </c>
      <c r="G245">
        <v>0</v>
      </c>
      <c r="H245">
        <v>0</v>
      </c>
      <c r="I245">
        <v>0</v>
      </c>
    </row>
    <row r="246" spans="1:9" x14ac:dyDescent="0.25">
      <c r="A246">
        <v>404</v>
      </c>
      <c r="B246" t="s">
        <v>99</v>
      </c>
      <c r="C246">
        <v>270</v>
      </c>
      <c r="D246">
        <v>220</v>
      </c>
      <c r="E246">
        <v>0.01</v>
      </c>
      <c r="F246">
        <v>0</v>
      </c>
      <c r="G246">
        <v>3.5950000000000002</v>
      </c>
      <c r="H246">
        <v>0</v>
      </c>
      <c r="I246">
        <v>0</v>
      </c>
    </row>
    <row r="247" spans="1:9" x14ac:dyDescent="0.25">
      <c r="A247">
        <v>196</v>
      </c>
      <c r="B247">
        <v>275</v>
      </c>
      <c r="C247">
        <v>270</v>
      </c>
      <c r="D247">
        <v>80</v>
      </c>
      <c r="E247">
        <v>0.01</v>
      </c>
      <c r="F247">
        <v>0</v>
      </c>
      <c r="G247">
        <v>0</v>
      </c>
      <c r="H247">
        <v>0</v>
      </c>
      <c r="I247">
        <v>0</v>
      </c>
    </row>
    <row r="248" spans="1:9" x14ac:dyDescent="0.25">
      <c r="A248">
        <v>200</v>
      </c>
      <c r="B248">
        <v>279</v>
      </c>
      <c r="C248">
        <v>280</v>
      </c>
      <c r="D248">
        <v>80</v>
      </c>
      <c r="E248">
        <v>0.01</v>
      </c>
      <c r="F248">
        <v>0</v>
      </c>
      <c r="G248">
        <v>0</v>
      </c>
      <c r="H248">
        <v>0</v>
      </c>
      <c r="I248">
        <v>0</v>
      </c>
    </row>
    <row r="249" spans="1:9" x14ac:dyDescent="0.25">
      <c r="A249">
        <v>467</v>
      </c>
      <c r="B249" t="s">
        <v>100</v>
      </c>
      <c r="C249">
        <v>282</v>
      </c>
      <c r="D249">
        <v>400</v>
      </c>
      <c r="E249">
        <v>0.01</v>
      </c>
      <c r="F249">
        <v>0</v>
      </c>
      <c r="G249">
        <v>0</v>
      </c>
      <c r="H249">
        <v>0</v>
      </c>
      <c r="I249">
        <v>0</v>
      </c>
    </row>
    <row r="250" spans="1:9" x14ac:dyDescent="0.25">
      <c r="A250">
        <v>211</v>
      </c>
      <c r="B250">
        <v>289</v>
      </c>
      <c r="C250">
        <v>288</v>
      </c>
      <c r="D250">
        <v>50</v>
      </c>
      <c r="E250">
        <v>0.01</v>
      </c>
      <c r="F250">
        <v>0</v>
      </c>
      <c r="G250">
        <v>2.1110000000000002</v>
      </c>
      <c r="H250">
        <v>0</v>
      </c>
      <c r="I250">
        <v>0</v>
      </c>
    </row>
    <row r="251" spans="1:9" x14ac:dyDescent="0.25">
      <c r="A251">
        <v>203</v>
      </c>
      <c r="B251">
        <v>281</v>
      </c>
      <c r="C251">
        <v>288</v>
      </c>
      <c r="D251">
        <v>150</v>
      </c>
      <c r="E251">
        <v>0.01</v>
      </c>
      <c r="F251">
        <v>0</v>
      </c>
      <c r="G251">
        <v>0</v>
      </c>
      <c r="H251">
        <v>0</v>
      </c>
      <c r="I251">
        <v>0</v>
      </c>
    </row>
    <row r="252" spans="1:9" x14ac:dyDescent="0.25">
      <c r="A252">
        <v>475</v>
      </c>
      <c r="B252" t="s">
        <v>101</v>
      </c>
      <c r="C252">
        <v>294</v>
      </c>
      <c r="D252">
        <v>280</v>
      </c>
      <c r="E252">
        <v>0.01</v>
      </c>
      <c r="F252">
        <v>0</v>
      </c>
      <c r="G252">
        <v>1.2615000000000001</v>
      </c>
      <c r="H252">
        <v>0</v>
      </c>
      <c r="I252">
        <v>0</v>
      </c>
    </row>
    <row r="253" spans="1:9" x14ac:dyDescent="0.25">
      <c r="A253">
        <v>231</v>
      </c>
      <c r="B253">
        <v>306</v>
      </c>
      <c r="C253">
        <v>294</v>
      </c>
      <c r="D253">
        <v>170</v>
      </c>
      <c r="E253">
        <v>0.01</v>
      </c>
      <c r="F253">
        <v>0</v>
      </c>
      <c r="G253">
        <v>0</v>
      </c>
      <c r="H253">
        <v>0</v>
      </c>
      <c r="I253">
        <v>0</v>
      </c>
    </row>
    <row r="254" spans="1:9" x14ac:dyDescent="0.25">
      <c r="A254">
        <v>107</v>
      </c>
      <c r="B254">
        <v>195</v>
      </c>
      <c r="C254">
        <v>194</v>
      </c>
      <c r="D254">
        <v>210</v>
      </c>
      <c r="E254">
        <v>0.01</v>
      </c>
      <c r="F254">
        <v>0</v>
      </c>
      <c r="G254">
        <v>1.363</v>
      </c>
      <c r="H254">
        <v>0</v>
      </c>
      <c r="I254">
        <v>0</v>
      </c>
    </row>
    <row r="255" spans="1:9" x14ac:dyDescent="0.25">
      <c r="A255">
        <v>105</v>
      </c>
      <c r="B255">
        <v>193</v>
      </c>
      <c r="C255">
        <v>194</v>
      </c>
      <c r="D255">
        <v>320</v>
      </c>
      <c r="E255">
        <v>0.01</v>
      </c>
      <c r="F255">
        <v>0</v>
      </c>
      <c r="G255">
        <v>0</v>
      </c>
      <c r="H255">
        <v>0</v>
      </c>
      <c r="I255">
        <v>0</v>
      </c>
    </row>
    <row r="256" spans="1:9" x14ac:dyDescent="0.25">
      <c r="A256">
        <v>108</v>
      </c>
      <c r="B256">
        <v>196</v>
      </c>
      <c r="C256">
        <v>197</v>
      </c>
      <c r="D256">
        <v>160</v>
      </c>
      <c r="E256">
        <v>0.01</v>
      </c>
      <c r="F256">
        <v>0</v>
      </c>
      <c r="G256">
        <v>0</v>
      </c>
      <c r="H256">
        <v>0</v>
      </c>
      <c r="I256">
        <v>0</v>
      </c>
    </row>
    <row r="257" spans="1:9" x14ac:dyDescent="0.25">
      <c r="A257">
        <v>435</v>
      </c>
      <c r="B257" t="s">
        <v>102</v>
      </c>
      <c r="C257">
        <v>201</v>
      </c>
      <c r="D257">
        <v>100</v>
      </c>
      <c r="E257">
        <v>0.01</v>
      </c>
      <c r="F257">
        <v>0</v>
      </c>
      <c r="G257">
        <v>8.5000000000000006E-2</v>
      </c>
      <c r="H257">
        <v>0</v>
      </c>
      <c r="I257">
        <v>0</v>
      </c>
    </row>
    <row r="258" spans="1:9" x14ac:dyDescent="0.25">
      <c r="A258">
        <v>432</v>
      </c>
      <c r="B258" t="s">
        <v>103</v>
      </c>
      <c r="C258">
        <v>201</v>
      </c>
      <c r="D258">
        <v>80</v>
      </c>
      <c r="E258">
        <v>0.01</v>
      </c>
      <c r="F258">
        <v>0</v>
      </c>
      <c r="G258">
        <v>0.14299999999999999</v>
      </c>
      <c r="H258">
        <v>0</v>
      </c>
      <c r="I258">
        <v>0</v>
      </c>
    </row>
    <row r="259" spans="1:9" x14ac:dyDescent="0.25">
      <c r="A259">
        <v>116</v>
      </c>
      <c r="B259">
        <v>202</v>
      </c>
      <c r="C259">
        <v>201</v>
      </c>
      <c r="D259">
        <v>130</v>
      </c>
      <c r="E259">
        <v>0.01</v>
      </c>
      <c r="F259">
        <v>0</v>
      </c>
      <c r="G259">
        <v>0</v>
      </c>
      <c r="H259">
        <v>0</v>
      </c>
      <c r="I259">
        <v>0</v>
      </c>
    </row>
    <row r="260" spans="1:9" x14ac:dyDescent="0.25">
      <c r="A260">
        <v>359</v>
      </c>
      <c r="B260" t="s">
        <v>104</v>
      </c>
      <c r="C260">
        <v>113</v>
      </c>
      <c r="D260">
        <v>80</v>
      </c>
      <c r="E260">
        <v>0.01</v>
      </c>
      <c r="F260">
        <v>0</v>
      </c>
      <c r="G260">
        <v>0.79949999999999999</v>
      </c>
      <c r="H260">
        <v>0</v>
      </c>
      <c r="I260">
        <v>0</v>
      </c>
    </row>
    <row r="261" spans="1:9" x14ac:dyDescent="0.25">
      <c r="A261">
        <v>7</v>
      </c>
      <c r="B261">
        <v>104</v>
      </c>
      <c r="C261">
        <v>113</v>
      </c>
      <c r="D261">
        <v>160</v>
      </c>
      <c r="E261">
        <v>0.01</v>
      </c>
      <c r="F261">
        <v>0</v>
      </c>
      <c r="G261">
        <v>0</v>
      </c>
      <c r="H261">
        <v>0</v>
      </c>
      <c r="I261">
        <v>0</v>
      </c>
    </row>
    <row r="262" spans="1:9" x14ac:dyDescent="0.25">
      <c r="A262">
        <v>15</v>
      </c>
      <c r="B262">
        <v>111</v>
      </c>
      <c r="C262">
        <v>112</v>
      </c>
      <c r="D262">
        <v>80</v>
      </c>
      <c r="E262">
        <v>0.01</v>
      </c>
      <c r="F262">
        <v>0</v>
      </c>
      <c r="G262">
        <v>0.13</v>
      </c>
      <c r="H262">
        <v>0</v>
      </c>
      <c r="I262">
        <v>0</v>
      </c>
    </row>
    <row r="263" spans="1:9" x14ac:dyDescent="0.25">
      <c r="A263">
        <v>427</v>
      </c>
      <c r="B263" t="s">
        <v>105</v>
      </c>
      <c r="C263">
        <v>149</v>
      </c>
      <c r="D263">
        <v>225</v>
      </c>
      <c r="E263">
        <v>0.01</v>
      </c>
      <c r="F263">
        <v>0</v>
      </c>
      <c r="G263">
        <v>0.10150000000000001</v>
      </c>
      <c r="H263">
        <v>0</v>
      </c>
      <c r="I263">
        <v>0</v>
      </c>
    </row>
    <row r="264" spans="1:9" x14ac:dyDescent="0.25">
      <c r="A264">
        <v>380</v>
      </c>
      <c r="B264" t="s">
        <v>106</v>
      </c>
      <c r="C264">
        <v>149</v>
      </c>
      <c r="D264">
        <v>80</v>
      </c>
      <c r="E264">
        <v>0.01</v>
      </c>
      <c r="F264">
        <v>0</v>
      </c>
      <c r="G264">
        <v>0.52200000000000002</v>
      </c>
      <c r="H264">
        <v>0</v>
      </c>
      <c r="I264">
        <v>0</v>
      </c>
    </row>
    <row r="265" spans="1:9" x14ac:dyDescent="0.25">
      <c r="A265">
        <v>358</v>
      </c>
      <c r="B265" t="s">
        <v>107</v>
      </c>
      <c r="C265">
        <v>149</v>
      </c>
      <c r="D265">
        <v>260</v>
      </c>
      <c r="E265">
        <v>0.01</v>
      </c>
      <c r="F265">
        <v>0</v>
      </c>
      <c r="G265">
        <v>0</v>
      </c>
      <c r="H265">
        <v>0</v>
      </c>
      <c r="I265">
        <v>0</v>
      </c>
    </row>
    <row r="266" spans="1:9" x14ac:dyDescent="0.25">
      <c r="A266">
        <v>428</v>
      </c>
      <c r="B266" t="s">
        <v>108</v>
      </c>
      <c r="C266">
        <v>186</v>
      </c>
      <c r="D266">
        <v>80</v>
      </c>
      <c r="E266">
        <v>0.01</v>
      </c>
      <c r="F266">
        <v>0</v>
      </c>
      <c r="G266">
        <v>1.4644999999999999</v>
      </c>
      <c r="H266">
        <v>0</v>
      </c>
      <c r="I266">
        <v>0</v>
      </c>
    </row>
    <row r="267" spans="1:9" x14ac:dyDescent="0.25">
      <c r="A267">
        <v>58</v>
      </c>
      <c r="B267">
        <v>150</v>
      </c>
      <c r="C267">
        <v>186</v>
      </c>
      <c r="D267">
        <v>225</v>
      </c>
      <c r="E267">
        <v>0.01</v>
      </c>
      <c r="F267">
        <v>0</v>
      </c>
      <c r="G267">
        <v>0</v>
      </c>
      <c r="H267">
        <v>0</v>
      </c>
      <c r="I267">
        <v>0</v>
      </c>
    </row>
    <row r="268" spans="1:9" x14ac:dyDescent="0.25">
      <c r="A268">
        <v>434</v>
      </c>
      <c r="B268" t="s">
        <v>109</v>
      </c>
      <c r="C268">
        <v>188</v>
      </c>
      <c r="D268">
        <v>175</v>
      </c>
      <c r="E268">
        <v>0.01</v>
      </c>
      <c r="F268">
        <v>0</v>
      </c>
      <c r="G268">
        <v>1.9470000000000001</v>
      </c>
      <c r="H268">
        <v>0</v>
      </c>
      <c r="I268">
        <v>0</v>
      </c>
    </row>
    <row r="269" spans="1:9" x14ac:dyDescent="0.25">
      <c r="A269">
        <v>100</v>
      </c>
      <c r="B269">
        <v>189</v>
      </c>
      <c r="C269">
        <v>188</v>
      </c>
      <c r="D269">
        <v>130</v>
      </c>
      <c r="E269">
        <v>0.01</v>
      </c>
      <c r="F269">
        <v>0</v>
      </c>
      <c r="G269">
        <v>0</v>
      </c>
      <c r="H269">
        <v>0</v>
      </c>
      <c r="I269">
        <v>0</v>
      </c>
    </row>
    <row r="270" spans="1:9" x14ac:dyDescent="0.25">
      <c r="A270">
        <v>59</v>
      </c>
      <c r="B270">
        <v>151</v>
      </c>
      <c r="C270">
        <v>188</v>
      </c>
      <c r="D270">
        <v>260</v>
      </c>
      <c r="E270">
        <v>0.01</v>
      </c>
      <c r="F270">
        <v>0</v>
      </c>
      <c r="G270">
        <v>0.48099999999999998</v>
      </c>
      <c r="H270">
        <v>0</v>
      </c>
      <c r="I270">
        <v>0</v>
      </c>
    </row>
    <row r="271" spans="1:9" x14ac:dyDescent="0.25">
      <c r="A271">
        <v>242</v>
      </c>
      <c r="B271">
        <v>316</v>
      </c>
      <c r="C271">
        <v>103</v>
      </c>
      <c r="D271">
        <v>120</v>
      </c>
      <c r="E271">
        <v>0.01</v>
      </c>
      <c r="F271">
        <v>0</v>
      </c>
      <c r="G271">
        <v>0</v>
      </c>
      <c r="H271">
        <v>0</v>
      </c>
      <c r="I271">
        <v>0</v>
      </c>
    </row>
    <row r="272" spans="1:9" x14ac:dyDescent="0.25">
      <c r="A272">
        <v>321</v>
      </c>
      <c r="B272">
        <v>73</v>
      </c>
      <c r="C272">
        <v>72</v>
      </c>
      <c r="D272">
        <v>160</v>
      </c>
      <c r="E272">
        <v>0.01</v>
      </c>
      <c r="F272">
        <v>0</v>
      </c>
      <c r="G272">
        <v>0.2</v>
      </c>
      <c r="H272">
        <v>0</v>
      </c>
      <c r="I272">
        <v>0</v>
      </c>
    </row>
    <row r="273" spans="1:9" x14ac:dyDescent="0.25">
      <c r="A273">
        <v>341</v>
      </c>
      <c r="B273">
        <v>91</v>
      </c>
      <c r="C273">
        <v>92</v>
      </c>
      <c r="D273">
        <v>80</v>
      </c>
      <c r="E273">
        <v>0.01</v>
      </c>
      <c r="F273">
        <v>0</v>
      </c>
      <c r="G273">
        <v>0.27</v>
      </c>
      <c r="H273">
        <v>0</v>
      </c>
      <c r="I273">
        <v>0</v>
      </c>
    </row>
    <row r="274" spans="1:9" x14ac:dyDescent="0.25">
      <c r="A274">
        <v>316</v>
      </c>
      <c r="B274">
        <v>69</v>
      </c>
      <c r="C274">
        <v>70</v>
      </c>
      <c r="D274">
        <v>75</v>
      </c>
      <c r="E274">
        <v>0.01</v>
      </c>
      <c r="F274">
        <v>0</v>
      </c>
      <c r="G274">
        <v>0</v>
      </c>
      <c r="H274">
        <v>0</v>
      </c>
      <c r="I274">
        <v>0</v>
      </c>
    </row>
    <row r="275" spans="1:9" x14ac:dyDescent="0.25">
      <c r="A275">
        <v>254</v>
      </c>
      <c r="B275">
        <v>327</v>
      </c>
      <c r="C275">
        <v>70</v>
      </c>
      <c r="D275">
        <v>120</v>
      </c>
      <c r="E275">
        <v>0.01</v>
      </c>
      <c r="F275">
        <v>0</v>
      </c>
      <c r="G275">
        <v>3.5234999999999999</v>
      </c>
      <c r="H275">
        <v>0</v>
      </c>
      <c r="I275">
        <v>0</v>
      </c>
    </row>
    <row r="276" spans="1:9" x14ac:dyDescent="0.25">
      <c r="A276">
        <v>524</v>
      </c>
      <c r="B276" t="s">
        <v>110</v>
      </c>
      <c r="C276">
        <v>134</v>
      </c>
      <c r="D276">
        <v>230</v>
      </c>
      <c r="E276">
        <v>0.01</v>
      </c>
      <c r="F276">
        <v>0</v>
      </c>
      <c r="G276">
        <v>2.3090000000000002</v>
      </c>
      <c r="H276">
        <v>0</v>
      </c>
      <c r="I276">
        <v>0</v>
      </c>
    </row>
    <row r="277" spans="1:9" x14ac:dyDescent="0.25">
      <c r="A277">
        <v>405</v>
      </c>
      <c r="B277" t="s">
        <v>111</v>
      </c>
      <c r="C277">
        <v>134</v>
      </c>
      <c r="D277">
        <v>225</v>
      </c>
      <c r="E277">
        <v>0.01</v>
      </c>
      <c r="F277">
        <v>0</v>
      </c>
      <c r="G277">
        <v>2.3235000000000001</v>
      </c>
      <c r="H277">
        <v>0</v>
      </c>
      <c r="I277">
        <v>0</v>
      </c>
    </row>
    <row r="278" spans="1:9" x14ac:dyDescent="0.25">
      <c r="A278">
        <v>39</v>
      </c>
      <c r="B278">
        <v>133</v>
      </c>
      <c r="C278">
        <v>134</v>
      </c>
      <c r="D278">
        <v>80</v>
      </c>
      <c r="E278">
        <v>0.01</v>
      </c>
      <c r="F278">
        <v>0</v>
      </c>
      <c r="G278">
        <v>0</v>
      </c>
      <c r="H278">
        <v>0</v>
      </c>
      <c r="I278">
        <v>0</v>
      </c>
    </row>
    <row r="279" spans="1:9" x14ac:dyDescent="0.25">
      <c r="A279">
        <v>77</v>
      </c>
      <c r="B279">
        <v>168</v>
      </c>
      <c r="C279">
        <v>169</v>
      </c>
      <c r="D279">
        <v>80</v>
      </c>
      <c r="E279">
        <v>0.01</v>
      </c>
      <c r="F279">
        <v>0</v>
      </c>
      <c r="G279">
        <v>0</v>
      </c>
      <c r="H279">
        <v>0</v>
      </c>
      <c r="I279">
        <v>0</v>
      </c>
    </row>
    <row r="280" spans="1:9" x14ac:dyDescent="0.25">
      <c r="A280">
        <v>402</v>
      </c>
      <c r="B280" t="s">
        <v>112</v>
      </c>
      <c r="C280">
        <v>275</v>
      </c>
      <c r="D280">
        <v>220</v>
      </c>
      <c r="E280">
        <v>0.01</v>
      </c>
      <c r="F280">
        <v>0</v>
      </c>
      <c r="G280">
        <v>3.4590000000000001</v>
      </c>
      <c r="H280">
        <v>0</v>
      </c>
      <c r="I280">
        <v>0</v>
      </c>
    </row>
    <row r="281" spans="1:9" x14ac:dyDescent="0.25">
      <c r="A281">
        <v>197</v>
      </c>
      <c r="B281">
        <v>276</v>
      </c>
      <c r="C281">
        <v>275</v>
      </c>
      <c r="D281">
        <v>80</v>
      </c>
      <c r="E281">
        <v>0.01</v>
      </c>
      <c r="F281">
        <v>0</v>
      </c>
      <c r="G281">
        <v>0</v>
      </c>
      <c r="H281">
        <v>0</v>
      </c>
      <c r="I281">
        <v>0</v>
      </c>
    </row>
    <row r="282" spans="1:9" x14ac:dyDescent="0.25">
      <c r="A282">
        <v>465</v>
      </c>
      <c r="B282" t="s">
        <v>113</v>
      </c>
      <c r="C282">
        <v>279</v>
      </c>
      <c r="D282">
        <v>200</v>
      </c>
      <c r="E282">
        <v>0.01</v>
      </c>
      <c r="F282">
        <v>0</v>
      </c>
      <c r="G282">
        <v>0.05</v>
      </c>
      <c r="H282">
        <v>0</v>
      </c>
      <c r="I282">
        <v>0</v>
      </c>
    </row>
    <row r="283" spans="1:9" x14ac:dyDescent="0.25">
      <c r="A283">
        <v>468</v>
      </c>
      <c r="B283" t="s">
        <v>114</v>
      </c>
      <c r="C283">
        <v>281</v>
      </c>
      <c r="D283">
        <v>85</v>
      </c>
      <c r="E283">
        <v>0.01</v>
      </c>
      <c r="F283">
        <v>0</v>
      </c>
      <c r="G283">
        <v>2.1044999999999998</v>
      </c>
      <c r="H283">
        <v>0</v>
      </c>
      <c r="I283">
        <v>0</v>
      </c>
    </row>
    <row r="284" spans="1:9" x14ac:dyDescent="0.25">
      <c r="A284">
        <v>466</v>
      </c>
      <c r="B284" t="s">
        <v>115</v>
      </c>
      <c r="C284">
        <v>281</v>
      </c>
      <c r="D284">
        <v>230</v>
      </c>
      <c r="E284">
        <v>0.01</v>
      </c>
      <c r="F284">
        <v>0</v>
      </c>
      <c r="G284">
        <v>1.6839999999999999</v>
      </c>
      <c r="H284">
        <v>0</v>
      </c>
      <c r="I284">
        <v>0</v>
      </c>
    </row>
    <row r="285" spans="1:9" x14ac:dyDescent="0.25">
      <c r="A285">
        <v>219</v>
      </c>
      <c r="B285">
        <v>296</v>
      </c>
      <c r="C285">
        <v>281</v>
      </c>
      <c r="D285">
        <v>100</v>
      </c>
      <c r="E285">
        <v>0.01</v>
      </c>
      <c r="F285">
        <v>0</v>
      </c>
      <c r="G285">
        <v>0</v>
      </c>
      <c r="H285">
        <v>0</v>
      </c>
      <c r="I285">
        <v>0</v>
      </c>
    </row>
    <row r="286" spans="1:9" x14ac:dyDescent="0.25">
      <c r="A286">
        <v>218</v>
      </c>
      <c r="B286">
        <v>295</v>
      </c>
      <c r="C286">
        <v>289</v>
      </c>
      <c r="D286">
        <v>100</v>
      </c>
      <c r="E286">
        <v>0.01</v>
      </c>
      <c r="F286">
        <v>0</v>
      </c>
      <c r="G286">
        <v>0</v>
      </c>
      <c r="H286">
        <v>0</v>
      </c>
      <c r="I286">
        <v>0</v>
      </c>
    </row>
    <row r="287" spans="1:9" x14ac:dyDescent="0.25">
      <c r="A287">
        <v>274</v>
      </c>
      <c r="B287">
        <v>345</v>
      </c>
      <c r="C287">
        <v>306</v>
      </c>
      <c r="D287">
        <v>50</v>
      </c>
      <c r="E287">
        <v>0.01</v>
      </c>
      <c r="F287">
        <v>0</v>
      </c>
      <c r="G287">
        <v>1.4355</v>
      </c>
      <c r="H287">
        <v>0</v>
      </c>
      <c r="I287">
        <v>0</v>
      </c>
    </row>
    <row r="288" spans="1:9" x14ac:dyDescent="0.25">
      <c r="A288">
        <v>230</v>
      </c>
      <c r="B288">
        <v>305</v>
      </c>
      <c r="C288">
        <v>306</v>
      </c>
      <c r="D288">
        <v>280</v>
      </c>
      <c r="E288">
        <v>0.01</v>
      </c>
      <c r="F288">
        <v>0</v>
      </c>
      <c r="G288">
        <v>0</v>
      </c>
      <c r="H288">
        <v>0</v>
      </c>
      <c r="I288">
        <v>0</v>
      </c>
    </row>
    <row r="289" spans="1:9" x14ac:dyDescent="0.25">
      <c r="A289">
        <v>430</v>
      </c>
      <c r="B289" t="s">
        <v>116</v>
      </c>
      <c r="C289">
        <v>193</v>
      </c>
      <c r="D289">
        <v>210</v>
      </c>
      <c r="E289">
        <v>0.01</v>
      </c>
      <c r="F289">
        <v>0</v>
      </c>
      <c r="G289">
        <v>0.435</v>
      </c>
      <c r="H289">
        <v>0</v>
      </c>
      <c r="I289">
        <v>0</v>
      </c>
    </row>
    <row r="290" spans="1:9" x14ac:dyDescent="0.25">
      <c r="A290">
        <v>104</v>
      </c>
      <c r="B290">
        <v>192</v>
      </c>
      <c r="C290">
        <v>193</v>
      </c>
      <c r="D290">
        <v>200</v>
      </c>
      <c r="E290">
        <v>0.01</v>
      </c>
      <c r="F290">
        <v>0</v>
      </c>
      <c r="G290">
        <v>0</v>
      </c>
      <c r="H290">
        <v>0</v>
      </c>
      <c r="I290">
        <v>0</v>
      </c>
    </row>
    <row r="291" spans="1:9" x14ac:dyDescent="0.25">
      <c r="A291">
        <v>429</v>
      </c>
      <c r="B291" t="s">
        <v>117</v>
      </c>
      <c r="C291">
        <v>196</v>
      </c>
      <c r="D291">
        <v>160</v>
      </c>
      <c r="E291">
        <v>0.01</v>
      </c>
      <c r="F291">
        <v>0</v>
      </c>
      <c r="G291">
        <v>0</v>
      </c>
      <c r="H291">
        <v>0</v>
      </c>
      <c r="I291">
        <v>0</v>
      </c>
    </row>
    <row r="292" spans="1:9" x14ac:dyDescent="0.25">
      <c r="A292">
        <v>352</v>
      </c>
      <c r="B292" t="s">
        <v>118</v>
      </c>
      <c r="C292">
        <v>104</v>
      </c>
      <c r="D292">
        <v>75</v>
      </c>
      <c r="E292">
        <v>0.01</v>
      </c>
      <c r="F292">
        <v>0</v>
      </c>
      <c r="G292">
        <v>0.35</v>
      </c>
      <c r="H292">
        <v>0</v>
      </c>
      <c r="I292">
        <v>0</v>
      </c>
    </row>
    <row r="293" spans="1:9" x14ac:dyDescent="0.25">
      <c r="A293">
        <v>241</v>
      </c>
      <c r="B293">
        <v>315</v>
      </c>
      <c r="C293">
        <v>104</v>
      </c>
      <c r="D293">
        <v>120</v>
      </c>
      <c r="E293">
        <v>0.01</v>
      </c>
      <c r="F293">
        <v>0</v>
      </c>
      <c r="G293">
        <v>0.16950000000000001</v>
      </c>
      <c r="H293">
        <v>0</v>
      </c>
      <c r="I293">
        <v>0</v>
      </c>
    </row>
    <row r="294" spans="1:9" x14ac:dyDescent="0.25">
      <c r="A294">
        <v>8</v>
      </c>
      <c r="B294">
        <v>105</v>
      </c>
      <c r="C294">
        <v>104</v>
      </c>
      <c r="D294">
        <v>75</v>
      </c>
      <c r="E294">
        <v>0.01</v>
      </c>
      <c r="F294">
        <v>0</v>
      </c>
      <c r="G294">
        <v>0</v>
      </c>
      <c r="H294">
        <v>0</v>
      </c>
      <c r="I294">
        <v>0</v>
      </c>
    </row>
    <row r="295" spans="1:9" x14ac:dyDescent="0.25">
      <c r="A295">
        <v>357</v>
      </c>
      <c r="B295" t="s">
        <v>119</v>
      </c>
      <c r="C295">
        <v>111</v>
      </c>
      <c r="D295">
        <v>80</v>
      </c>
      <c r="E295">
        <v>0.01</v>
      </c>
      <c r="F295">
        <v>0</v>
      </c>
      <c r="G295">
        <v>0.81850000000000001</v>
      </c>
      <c r="H295">
        <v>0</v>
      </c>
      <c r="I295">
        <v>0</v>
      </c>
    </row>
    <row r="296" spans="1:9" x14ac:dyDescent="0.25">
      <c r="A296">
        <v>9</v>
      </c>
      <c r="B296">
        <v>106</v>
      </c>
      <c r="C296">
        <v>111</v>
      </c>
      <c r="D296">
        <v>150</v>
      </c>
      <c r="E296">
        <v>0.01</v>
      </c>
      <c r="F296">
        <v>0</v>
      </c>
      <c r="G296">
        <v>0.05</v>
      </c>
      <c r="H296">
        <v>0</v>
      </c>
      <c r="I296">
        <v>0</v>
      </c>
    </row>
    <row r="297" spans="1:9" x14ac:dyDescent="0.25">
      <c r="A297">
        <v>14</v>
      </c>
      <c r="B297">
        <v>110</v>
      </c>
      <c r="C297">
        <v>150</v>
      </c>
      <c r="D297">
        <v>260</v>
      </c>
      <c r="E297">
        <v>0.01</v>
      </c>
      <c r="F297">
        <v>0</v>
      </c>
      <c r="G297">
        <v>0</v>
      </c>
      <c r="H297">
        <v>0</v>
      </c>
      <c r="I297">
        <v>0</v>
      </c>
    </row>
    <row r="298" spans="1:9" x14ac:dyDescent="0.25">
      <c r="A298">
        <v>382</v>
      </c>
      <c r="B298" t="s">
        <v>120</v>
      </c>
      <c r="C298">
        <v>151</v>
      </c>
      <c r="D298">
        <v>80</v>
      </c>
      <c r="E298">
        <v>0.01</v>
      </c>
      <c r="F298">
        <v>0</v>
      </c>
      <c r="G298">
        <v>1.0914999999999999</v>
      </c>
      <c r="H298">
        <v>0</v>
      </c>
      <c r="I298">
        <v>0</v>
      </c>
    </row>
    <row r="299" spans="1:9" x14ac:dyDescent="0.25">
      <c r="A299">
        <v>381</v>
      </c>
      <c r="B299" t="s">
        <v>121</v>
      </c>
      <c r="C299">
        <v>151</v>
      </c>
      <c r="D299">
        <v>80</v>
      </c>
      <c r="E299">
        <v>0.01</v>
      </c>
      <c r="F299">
        <v>0</v>
      </c>
      <c r="G299">
        <v>1.0914999999999999</v>
      </c>
      <c r="H299">
        <v>0</v>
      </c>
      <c r="I299">
        <v>0</v>
      </c>
    </row>
    <row r="300" spans="1:9" x14ac:dyDescent="0.25">
      <c r="A300">
        <v>12</v>
      </c>
      <c r="B300">
        <v>109</v>
      </c>
      <c r="C300">
        <v>151</v>
      </c>
      <c r="D300">
        <v>260</v>
      </c>
      <c r="E300">
        <v>0.01</v>
      </c>
      <c r="F300">
        <v>0</v>
      </c>
      <c r="G300">
        <v>0</v>
      </c>
      <c r="H300">
        <v>0</v>
      </c>
      <c r="I300">
        <v>0</v>
      </c>
    </row>
    <row r="301" spans="1:9" x14ac:dyDescent="0.25">
      <c r="A301">
        <v>433</v>
      </c>
      <c r="B301" t="s">
        <v>122</v>
      </c>
      <c r="C301">
        <v>189</v>
      </c>
      <c r="D301">
        <v>113</v>
      </c>
      <c r="E301">
        <v>0.01</v>
      </c>
      <c r="F301">
        <v>0</v>
      </c>
      <c r="G301">
        <v>1.8797999999999999</v>
      </c>
      <c r="H301">
        <v>0</v>
      </c>
      <c r="I301">
        <v>0</v>
      </c>
    </row>
    <row r="302" spans="1:9" x14ac:dyDescent="0.25">
      <c r="A302">
        <v>102</v>
      </c>
      <c r="B302">
        <v>190</v>
      </c>
      <c r="C302">
        <v>189</v>
      </c>
      <c r="D302">
        <v>100</v>
      </c>
      <c r="E302">
        <v>0.01</v>
      </c>
      <c r="F302">
        <v>0</v>
      </c>
      <c r="G302">
        <v>0.25</v>
      </c>
      <c r="H302">
        <v>0</v>
      </c>
      <c r="I302">
        <v>0</v>
      </c>
    </row>
    <row r="303" spans="1:9" x14ac:dyDescent="0.25">
      <c r="A303">
        <v>60</v>
      </c>
      <c r="B303">
        <v>152</v>
      </c>
      <c r="C303">
        <v>189</v>
      </c>
      <c r="D303">
        <v>180</v>
      </c>
      <c r="E303">
        <v>0.01</v>
      </c>
      <c r="F303">
        <v>0</v>
      </c>
      <c r="G303">
        <v>0.5625</v>
      </c>
      <c r="H303">
        <v>0</v>
      </c>
      <c r="I303">
        <v>0</v>
      </c>
    </row>
    <row r="304" spans="1:9" x14ac:dyDescent="0.25">
      <c r="A304">
        <v>525</v>
      </c>
      <c r="B304" t="s">
        <v>123</v>
      </c>
      <c r="C304">
        <v>73</v>
      </c>
      <c r="D304">
        <v>125</v>
      </c>
      <c r="E304">
        <v>0.01</v>
      </c>
      <c r="F304">
        <v>0</v>
      </c>
      <c r="G304">
        <v>2.4815</v>
      </c>
      <c r="H304">
        <v>0</v>
      </c>
      <c r="I304">
        <v>0</v>
      </c>
    </row>
    <row r="305" spans="1:9" x14ac:dyDescent="0.25">
      <c r="A305">
        <v>504</v>
      </c>
      <c r="B305" t="s">
        <v>124</v>
      </c>
      <c r="C305">
        <v>73</v>
      </c>
      <c r="D305">
        <v>150</v>
      </c>
      <c r="E305">
        <v>0.01</v>
      </c>
      <c r="F305">
        <v>0</v>
      </c>
      <c r="G305">
        <v>2.4089999999999998</v>
      </c>
      <c r="H305">
        <v>0</v>
      </c>
      <c r="I305">
        <v>0</v>
      </c>
    </row>
    <row r="306" spans="1:9" x14ac:dyDescent="0.25">
      <c r="A306">
        <v>322</v>
      </c>
      <c r="B306">
        <v>74</v>
      </c>
      <c r="C306">
        <v>73</v>
      </c>
      <c r="D306">
        <v>150</v>
      </c>
      <c r="E306">
        <v>0.01</v>
      </c>
      <c r="F306">
        <v>0</v>
      </c>
      <c r="G306">
        <v>0</v>
      </c>
      <c r="H306">
        <v>0</v>
      </c>
      <c r="I306">
        <v>0</v>
      </c>
    </row>
    <row r="307" spans="1:9" x14ac:dyDescent="0.25">
      <c r="A307">
        <v>340</v>
      </c>
      <c r="B307">
        <v>90</v>
      </c>
      <c r="C307">
        <v>91</v>
      </c>
      <c r="D307">
        <v>40</v>
      </c>
      <c r="E307">
        <v>0.01</v>
      </c>
      <c r="F307">
        <v>0</v>
      </c>
      <c r="G307">
        <v>0</v>
      </c>
      <c r="H307">
        <v>0</v>
      </c>
      <c r="I307">
        <v>0</v>
      </c>
    </row>
    <row r="308" spans="1:9" x14ac:dyDescent="0.25">
      <c r="A308">
        <v>315</v>
      </c>
      <c r="B308">
        <v>68</v>
      </c>
      <c r="C308">
        <v>69</v>
      </c>
      <c r="D308">
        <v>75</v>
      </c>
      <c r="E308">
        <v>0.01</v>
      </c>
      <c r="F308">
        <v>0</v>
      </c>
      <c r="G308">
        <v>0</v>
      </c>
      <c r="H308">
        <v>0</v>
      </c>
      <c r="I308">
        <v>0</v>
      </c>
    </row>
    <row r="309" spans="1:9" x14ac:dyDescent="0.25">
      <c r="A309">
        <v>255</v>
      </c>
      <c r="B309">
        <v>328</v>
      </c>
      <c r="C309">
        <v>69</v>
      </c>
      <c r="D309">
        <v>120</v>
      </c>
      <c r="E309">
        <v>0.01</v>
      </c>
      <c r="F309">
        <v>0</v>
      </c>
      <c r="G309">
        <v>3.4634999999999998</v>
      </c>
      <c r="H309">
        <v>0</v>
      </c>
      <c r="I309">
        <v>0</v>
      </c>
    </row>
    <row r="310" spans="1:9" x14ac:dyDescent="0.25">
      <c r="A310">
        <v>403</v>
      </c>
      <c r="B310" t="s">
        <v>125</v>
      </c>
      <c r="C310">
        <v>133</v>
      </c>
      <c r="D310">
        <v>225</v>
      </c>
      <c r="E310">
        <v>0.01</v>
      </c>
      <c r="F310">
        <v>0</v>
      </c>
      <c r="G310">
        <v>2.2195</v>
      </c>
      <c r="H310">
        <v>0</v>
      </c>
      <c r="I310">
        <v>0</v>
      </c>
    </row>
    <row r="311" spans="1:9" x14ac:dyDescent="0.25">
      <c r="A311">
        <v>337</v>
      </c>
      <c r="B311">
        <v>88</v>
      </c>
      <c r="C311">
        <v>133</v>
      </c>
      <c r="D311">
        <v>230</v>
      </c>
      <c r="E311">
        <v>0.01</v>
      </c>
      <c r="F311">
        <v>0</v>
      </c>
      <c r="G311">
        <v>0.39200000000000002</v>
      </c>
      <c r="H311">
        <v>0</v>
      </c>
      <c r="I311">
        <v>0</v>
      </c>
    </row>
    <row r="312" spans="1:9" x14ac:dyDescent="0.25">
      <c r="A312">
        <v>38</v>
      </c>
      <c r="B312">
        <v>132</v>
      </c>
      <c r="C312">
        <v>133</v>
      </c>
      <c r="D312">
        <v>80</v>
      </c>
      <c r="E312">
        <v>0.01</v>
      </c>
      <c r="F312">
        <v>0</v>
      </c>
      <c r="G312">
        <v>0.27</v>
      </c>
      <c r="H312">
        <v>0</v>
      </c>
      <c r="I312">
        <v>0</v>
      </c>
    </row>
    <row r="313" spans="1:9" x14ac:dyDescent="0.25">
      <c r="A313">
        <v>76</v>
      </c>
      <c r="B313">
        <v>167</v>
      </c>
      <c r="C313">
        <v>168</v>
      </c>
      <c r="D313">
        <v>80</v>
      </c>
      <c r="E313">
        <v>0.01</v>
      </c>
      <c r="F313">
        <v>0</v>
      </c>
      <c r="G313">
        <v>0</v>
      </c>
      <c r="H313">
        <v>0</v>
      </c>
      <c r="I313">
        <v>0</v>
      </c>
    </row>
    <row r="314" spans="1:9" x14ac:dyDescent="0.25">
      <c r="A314">
        <v>400</v>
      </c>
      <c r="B314" t="s">
        <v>126</v>
      </c>
      <c r="C314">
        <v>276</v>
      </c>
      <c r="D314">
        <v>220</v>
      </c>
      <c r="E314">
        <v>0.01</v>
      </c>
      <c r="F314">
        <v>0</v>
      </c>
      <c r="G314">
        <v>3.3069999999999999</v>
      </c>
      <c r="H314">
        <v>0</v>
      </c>
      <c r="I314">
        <v>0</v>
      </c>
    </row>
    <row r="315" spans="1:9" x14ac:dyDescent="0.25">
      <c r="A315">
        <v>198</v>
      </c>
      <c r="B315">
        <v>277</v>
      </c>
      <c r="C315">
        <v>276</v>
      </c>
      <c r="D315">
        <v>80</v>
      </c>
      <c r="E315">
        <v>0.01</v>
      </c>
      <c r="F315">
        <v>0</v>
      </c>
      <c r="G315">
        <v>7.0000000000000007E-2</v>
      </c>
      <c r="H315">
        <v>0</v>
      </c>
      <c r="I315">
        <v>0</v>
      </c>
    </row>
    <row r="316" spans="1:9" x14ac:dyDescent="0.25">
      <c r="A316">
        <v>476</v>
      </c>
      <c r="B316" t="s">
        <v>127</v>
      </c>
      <c r="C316">
        <v>296</v>
      </c>
      <c r="D316">
        <v>200</v>
      </c>
      <c r="E316">
        <v>0.01</v>
      </c>
      <c r="F316">
        <v>0</v>
      </c>
      <c r="G316">
        <v>1.601</v>
      </c>
      <c r="H316">
        <v>0</v>
      </c>
      <c r="I316">
        <v>0</v>
      </c>
    </row>
    <row r="317" spans="1:9" x14ac:dyDescent="0.25">
      <c r="A317">
        <v>220</v>
      </c>
      <c r="B317">
        <v>297</v>
      </c>
      <c r="C317">
        <v>296</v>
      </c>
      <c r="D317">
        <v>105</v>
      </c>
      <c r="E317">
        <v>0.01</v>
      </c>
      <c r="F317">
        <v>0</v>
      </c>
      <c r="G317">
        <v>0</v>
      </c>
      <c r="H317">
        <v>0</v>
      </c>
      <c r="I317">
        <v>0</v>
      </c>
    </row>
    <row r="318" spans="1:9" x14ac:dyDescent="0.25">
      <c r="A318">
        <v>481</v>
      </c>
      <c r="B318" t="s">
        <v>128</v>
      </c>
      <c r="C318">
        <v>305</v>
      </c>
      <c r="D318">
        <v>265</v>
      </c>
      <c r="E318">
        <v>0.01</v>
      </c>
      <c r="F318">
        <v>0</v>
      </c>
      <c r="G318">
        <v>0</v>
      </c>
      <c r="H318">
        <v>0</v>
      </c>
      <c r="I318">
        <v>0</v>
      </c>
    </row>
    <row r="319" spans="1:9" x14ac:dyDescent="0.25">
      <c r="A319">
        <v>385</v>
      </c>
      <c r="B319" t="s">
        <v>129</v>
      </c>
      <c r="C319">
        <v>192</v>
      </c>
      <c r="D319">
        <v>160</v>
      </c>
      <c r="E319">
        <v>0.01</v>
      </c>
      <c r="F319">
        <v>0</v>
      </c>
      <c r="G319">
        <v>0</v>
      </c>
      <c r="H319">
        <v>0</v>
      </c>
      <c r="I319">
        <v>0</v>
      </c>
    </row>
    <row r="320" spans="1:9" x14ac:dyDescent="0.25">
      <c r="A320">
        <v>279</v>
      </c>
      <c r="B320">
        <v>350</v>
      </c>
      <c r="C320">
        <v>192</v>
      </c>
      <c r="D320">
        <v>60</v>
      </c>
      <c r="E320">
        <v>0.01</v>
      </c>
      <c r="F320">
        <v>0</v>
      </c>
      <c r="G320">
        <v>0.28999999999999998</v>
      </c>
      <c r="H320">
        <v>0</v>
      </c>
      <c r="I320">
        <v>0</v>
      </c>
    </row>
    <row r="321" spans="1:9" x14ac:dyDescent="0.25">
      <c r="A321">
        <v>240</v>
      </c>
      <c r="B321">
        <v>314</v>
      </c>
      <c r="C321">
        <v>105</v>
      </c>
      <c r="D321">
        <v>120</v>
      </c>
      <c r="E321">
        <v>0.01</v>
      </c>
      <c r="F321">
        <v>0</v>
      </c>
      <c r="G321">
        <v>0</v>
      </c>
      <c r="H321">
        <v>0</v>
      </c>
      <c r="I321">
        <v>0</v>
      </c>
    </row>
    <row r="322" spans="1:9" x14ac:dyDescent="0.25">
      <c r="A322">
        <v>353</v>
      </c>
      <c r="B322" t="s">
        <v>130</v>
      </c>
      <c r="C322">
        <v>106</v>
      </c>
      <c r="D322">
        <v>75</v>
      </c>
      <c r="E322">
        <v>0.01</v>
      </c>
      <c r="F322">
        <v>0</v>
      </c>
      <c r="G322">
        <v>0.34799999999999998</v>
      </c>
      <c r="H322">
        <v>0</v>
      </c>
      <c r="I322">
        <v>0</v>
      </c>
    </row>
    <row r="323" spans="1:9" x14ac:dyDescent="0.25">
      <c r="A323">
        <v>239</v>
      </c>
      <c r="B323">
        <v>313</v>
      </c>
      <c r="C323">
        <v>106</v>
      </c>
      <c r="D323">
        <v>120</v>
      </c>
      <c r="E323">
        <v>0.01</v>
      </c>
      <c r="F323">
        <v>0</v>
      </c>
      <c r="G323">
        <v>0.2175</v>
      </c>
      <c r="H323">
        <v>0</v>
      </c>
      <c r="I323">
        <v>0</v>
      </c>
    </row>
    <row r="324" spans="1:9" x14ac:dyDescent="0.25">
      <c r="A324">
        <v>10</v>
      </c>
      <c r="B324">
        <v>107</v>
      </c>
      <c r="C324">
        <v>106</v>
      </c>
      <c r="D324">
        <v>75</v>
      </c>
      <c r="E324">
        <v>0.01</v>
      </c>
      <c r="F324">
        <v>0</v>
      </c>
      <c r="G324">
        <v>0</v>
      </c>
      <c r="H324">
        <v>0</v>
      </c>
      <c r="I324">
        <v>0</v>
      </c>
    </row>
    <row r="325" spans="1:9" x14ac:dyDescent="0.25">
      <c r="A325">
        <v>355</v>
      </c>
      <c r="B325" t="s">
        <v>131</v>
      </c>
      <c r="C325">
        <v>110</v>
      </c>
      <c r="D325">
        <v>100</v>
      </c>
      <c r="E325">
        <v>0.01</v>
      </c>
      <c r="F325">
        <v>0</v>
      </c>
      <c r="G325">
        <v>0</v>
      </c>
      <c r="H325">
        <v>0</v>
      </c>
      <c r="I325">
        <v>0</v>
      </c>
    </row>
    <row r="326" spans="1:9" x14ac:dyDescent="0.25">
      <c r="A326">
        <v>11</v>
      </c>
      <c r="B326">
        <v>108</v>
      </c>
      <c r="C326">
        <v>109</v>
      </c>
      <c r="D326">
        <v>130</v>
      </c>
      <c r="E326">
        <v>0.01</v>
      </c>
      <c r="F326">
        <v>0</v>
      </c>
      <c r="G326">
        <v>0.05</v>
      </c>
      <c r="H326">
        <v>0</v>
      </c>
      <c r="I326">
        <v>0</v>
      </c>
    </row>
    <row r="327" spans="1:9" x14ac:dyDescent="0.25">
      <c r="A327">
        <v>69</v>
      </c>
      <c r="B327">
        <v>160</v>
      </c>
      <c r="C327">
        <v>152</v>
      </c>
      <c r="D327">
        <v>270</v>
      </c>
      <c r="E327">
        <v>0.01</v>
      </c>
      <c r="F327">
        <v>0</v>
      </c>
      <c r="G327">
        <v>2E-3</v>
      </c>
      <c r="H327">
        <v>0</v>
      </c>
      <c r="I327">
        <v>0</v>
      </c>
    </row>
    <row r="328" spans="1:9" x14ac:dyDescent="0.25">
      <c r="A328">
        <v>61</v>
      </c>
      <c r="B328">
        <v>153</v>
      </c>
      <c r="C328">
        <v>152</v>
      </c>
      <c r="D328">
        <v>80</v>
      </c>
      <c r="E328">
        <v>0.01</v>
      </c>
      <c r="F328">
        <v>0</v>
      </c>
      <c r="G328">
        <v>0.18</v>
      </c>
      <c r="H328">
        <v>0</v>
      </c>
      <c r="I328">
        <v>0</v>
      </c>
    </row>
    <row r="329" spans="1:9" x14ac:dyDescent="0.25">
      <c r="A329">
        <v>103</v>
      </c>
      <c r="B329">
        <v>191</v>
      </c>
      <c r="C329">
        <v>190</v>
      </c>
      <c r="D329">
        <v>105</v>
      </c>
      <c r="E329">
        <v>0.01</v>
      </c>
      <c r="F329">
        <v>0</v>
      </c>
      <c r="G329">
        <v>0</v>
      </c>
      <c r="H329">
        <v>0</v>
      </c>
      <c r="I329">
        <v>0</v>
      </c>
    </row>
    <row r="330" spans="1:9" x14ac:dyDescent="0.25">
      <c r="A330">
        <v>522</v>
      </c>
      <c r="B330" t="s">
        <v>132</v>
      </c>
      <c r="C330">
        <v>74</v>
      </c>
      <c r="D330">
        <v>145</v>
      </c>
      <c r="E330">
        <v>0.01</v>
      </c>
      <c r="F330">
        <v>0</v>
      </c>
      <c r="G330">
        <v>2.1684999999999999</v>
      </c>
      <c r="H330">
        <v>0</v>
      </c>
      <c r="I330">
        <v>0</v>
      </c>
    </row>
    <row r="331" spans="1:9" x14ac:dyDescent="0.25">
      <c r="A331">
        <v>323</v>
      </c>
      <c r="B331">
        <v>75</v>
      </c>
      <c r="C331">
        <v>74</v>
      </c>
      <c r="D331">
        <v>80</v>
      </c>
      <c r="E331">
        <v>0.01</v>
      </c>
      <c r="F331">
        <v>0</v>
      </c>
      <c r="G331">
        <v>0</v>
      </c>
      <c r="H331">
        <v>0</v>
      </c>
      <c r="I331">
        <v>0</v>
      </c>
    </row>
    <row r="332" spans="1:9" x14ac:dyDescent="0.25">
      <c r="A332">
        <v>338</v>
      </c>
      <c r="B332">
        <v>89</v>
      </c>
      <c r="C332">
        <v>90</v>
      </c>
      <c r="D332">
        <v>40</v>
      </c>
      <c r="E332">
        <v>0.01</v>
      </c>
      <c r="F332">
        <v>0</v>
      </c>
      <c r="G332">
        <v>0.13</v>
      </c>
      <c r="H332">
        <v>0</v>
      </c>
      <c r="I332">
        <v>0</v>
      </c>
    </row>
    <row r="333" spans="1:9" x14ac:dyDescent="0.25">
      <c r="A333">
        <v>314</v>
      </c>
      <c r="B333">
        <v>67</v>
      </c>
      <c r="C333">
        <v>68</v>
      </c>
      <c r="D333">
        <v>75</v>
      </c>
      <c r="E333">
        <v>0.01</v>
      </c>
      <c r="F333">
        <v>0</v>
      </c>
      <c r="G333">
        <v>0</v>
      </c>
      <c r="H333">
        <v>0</v>
      </c>
      <c r="I333">
        <v>0</v>
      </c>
    </row>
    <row r="334" spans="1:9" x14ac:dyDescent="0.25">
      <c r="A334">
        <v>256</v>
      </c>
      <c r="B334">
        <v>329</v>
      </c>
      <c r="C334">
        <v>68</v>
      </c>
      <c r="D334">
        <v>120</v>
      </c>
      <c r="E334">
        <v>0.01</v>
      </c>
      <c r="F334">
        <v>0</v>
      </c>
      <c r="G334">
        <v>3.5354999999999999</v>
      </c>
      <c r="H334">
        <v>0</v>
      </c>
      <c r="I334">
        <v>0</v>
      </c>
    </row>
    <row r="335" spans="1:9" x14ac:dyDescent="0.25">
      <c r="A335">
        <v>520</v>
      </c>
      <c r="B335" t="s">
        <v>133</v>
      </c>
      <c r="C335">
        <v>132</v>
      </c>
      <c r="D335">
        <v>230</v>
      </c>
      <c r="E335">
        <v>0.01</v>
      </c>
      <c r="F335">
        <v>0</v>
      </c>
      <c r="G335">
        <v>1.7829999999999999</v>
      </c>
      <c r="H335">
        <v>0</v>
      </c>
      <c r="I335">
        <v>0</v>
      </c>
    </row>
    <row r="336" spans="1:9" x14ac:dyDescent="0.25">
      <c r="A336">
        <v>401</v>
      </c>
      <c r="B336" t="s">
        <v>134</v>
      </c>
      <c r="C336">
        <v>132</v>
      </c>
      <c r="D336">
        <v>225</v>
      </c>
      <c r="E336">
        <v>0.01</v>
      </c>
      <c r="F336">
        <v>0</v>
      </c>
      <c r="G336">
        <v>1.7975000000000001</v>
      </c>
      <c r="H336">
        <v>0</v>
      </c>
      <c r="I336">
        <v>0</v>
      </c>
    </row>
    <row r="337" spans="1:9" x14ac:dyDescent="0.25">
      <c r="A337">
        <v>37</v>
      </c>
      <c r="B337">
        <v>131</v>
      </c>
      <c r="C337">
        <v>132</v>
      </c>
      <c r="D337">
        <v>80</v>
      </c>
      <c r="E337">
        <v>0.01</v>
      </c>
      <c r="F337">
        <v>0</v>
      </c>
      <c r="G337">
        <v>0</v>
      </c>
      <c r="H337">
        <v>0</v>
      </c>
      <c r="I337">
        <v>0</v>
      </c>
    </row>
    <row r="338" spans="1:9" x14ac:dyDescent="0.25">
      <c r="A338">
        <v>336</v>
      </c>
      <c r="B338">
        <v>87</v>
      </c>
      <c r="C338">
        <v>88</v>
      </c>
      <c r="D338">
        <v>80</v>
      </c>
      <c r="E338">
        <v>0.01</v>
      </c>
      <c r="F338">
        <v>0</v>
      </c>
      <c r="G338">
        <v>0.2</v>
      </c>
      <c r="H338">
        <v>0</v>
      </c>
      <c r="I338">
        <v>0</v>
      </c>
    </row>
    <row r="339" spans="1:9" x14ac:dyDescent="0.25">
      <c r="A339">
        <v>75</v>
      </c>
      <c r="B339">
        <v>166</v>
      </c>
      <c r="C339">
        <v>167</v>
      </c>
      <c r="D339">
        <v>80</v>
      </c>
      <c r="E339">
        <v>0.01</v>
      </c>
      <c r="F339">
        <v>0</v>
      </c>
      <c r="G339">
        <v>0</v>
      </c>
      <c r="H339">
        <v>0</v>
      </c>
      <c r="I339">
        <v>0</v>
      </c>
    </row>
    <row r="340" spans="1:9" x14ac:dyDescent="0.25">
      <c r="A340">
        <v>398</v>
      </c>
      <c r="B340" t="s">
        <v>135</v>
      </c>
      <c r="C340">
        <v>277</v>
      </c>
      <c r="D340">
        <v>220</v>
      </c>
      <c r="E340">
        <v>0.01</v>
      </c>
      <c r="F340">
        <v>0</v>
      </c>
      <c r="G340">
        <v>3.0369999999999999</v>
      </c>
      <c r="H340">
        <v>0</v>
      </c>
      <c r="I340">
        <v>0</v>
      </c>
    </row>
    <row r="341" spans="1:9" x14ac:dyDescent="0.25">
      <c r="A341">
        <v>199</v>
      </c>
      <c r="B341">
        <v>278</v>
      </c>
      <c r="C341">
        <v>277</v>
      </c>
      <c r="D341">
        <v>80</v>
      </c>
      <c r="E341">
        <v>0.01</v>
      </c>
      <c r="F341">
        <v>0</v>
      </c>
      <c r="G341">
        <v>0</v>
      </c>
      <c r="H341">
        <v>0</v>
      </c>
      <c r="I341">
        <v>0</v>
      </c>
    </row>
    <row r="342" spans="1:9" x14ac:dyDescent="0.25">
      <c r="A342">
        <v>229</v>
      </c>
      <c r="B342">
        <v>304</v>
      </c>
      <c r="C342">
        <v>297</v>
      </c>
      <c r="D342">
        <v>215</v>
      </c>
      <c r="E342">
        <v>0.01</v>
      </c>
      <c r="F342">
        <v>0</v>
      </c>
      <c r="G342">
        <v>0.27</v>
      </c>
      <c r="H342">
        <v>0</v>
      </c>
      <c r="I342">
        <v>0</v>
      </c>
    </row>
    <row r="343" spans="1:9" x14ac:dyDescent="0.25">
      <c r="A343">
        <v>221</v>
      </c>
      <c r="B343">
        <v>298</v>
      </c>
      <c r="C343">
        <v>297</v>
      </c>
      <c r="D343">
        <v>210</v>
      </c>
      <c r="E343">
        <v>0.01</v>
      </c>
      <c r="F343">
        <v>0</v>
      </c>
      <c r="G343">
        <v>1.3935</v>
      </c>
      <c r="H343">
        <v>0</v>
      </c>
      <c r="I343">
        <v>0</v>
      </c>
    </row>
    <row r="344" spans="1:9" x14ac:dyDescent="0.25">
      <c r="A344">
        <v>238</v>
      </c>
      <c r="B344">
        <v>312</v>
      </c>
      <c r="C344">
        <v>107</v>
      </c>
      <c r="D344">
        <v>120</v>
      </c>
      <c r="E344">
        <v>0.01</v>
      </c>
      <c r="F344">
        <v>0</v>
      </c>
      <c r="G344">
        <v>0</v>
      </c>
      <c r="H344">
        <v>0</v>
      </c>
      <c r="I344">
        <v>0</v>
      </c>
    </row>
    <row r="345" spans="1:9" x14ac:dyDescent="0.25">
      <c r="A345">
        <v>354</v>
      </c>
      <c r="B345" t="s">
        <v>136</v>
      </c>
      <c r="C345">
        <v>108</v>
      </c>
      <c r="D345">
        <v>85</v>
      </c>
      <c r="E345">
        <v>0.01</v>
      </c>
      <c r="F345">
        <v>0</v>
      </c>
      <c r="G345">
        <v>0</v>
      </c>
      <c r="H345">
        <v>0</v>
      </c>
      <c r="I345">
        <v>0</v>
      </c>
    </row>
    <row r="346" spans="1:9" x14ac:dyDescent="0.25">
      <c r="A346">
        <v>388</v>
      </c>
      <c r="B346" t="s">
        <v>137</v>
      </c>
      <c r="C346">
        <v>153</v>
      </c>
      <c r="D346">
        <v>270</v>
      </c>
      <c r="E346">
        <v>0.01</v>
      </c>
      <c r="F346">
        <v>0</v>
      </c>
      <c r="G346">
        <v>0</v>
      </c>
      <c r="H346">
        <v>0</v>
      </c>
      <c r="I346">
        <v>0</v>
      </c>
    </row>
    <row r="347" spans="1:9" x14ac:dyDescent="0.25">
      <c r="A347">
        <v>384</v>
      </c>
      <c r="B347" t="s">
        <v>138</v>
      </c>
      <c r="C347">
        <v>153</v>
      </c>
      <c r="D347">
        <v>80</v>
      </c>
      <c r="E347">
        <v>0.01</v>
      </c>
      <c r="F347">
        <v>0</v>
      </c>
      <c r="G347">
        <v>0.55100000000000005</v>
      </c>
      <c r="H347">
        <v>0</v>
      </c>
      <c r="I347">
        <v>0</v>
      </c>
    </row>
    <row r="348" spans="1:9" x14ac:dyDescent="0.25">
      <c r="A348">
        <v>356</v>
      </c>
      <c r="B348" t="s">
        <v>139</v>
      </c>
      <c r="C348">
        <v>160</v>
      </c>
      <c r="D348">
        <v>80</v>
      </c>
      <c r="E348">
        <v>0.01</v>
      </c>
      <c r="F348">
        <v>0</v>
      </c>
      <c r="G348">
        <v>0.44800000000000001</v>
      </c>
      <c r="H348">
        <v>0</v>
      </c>
      <c r="I348">
        <v>0</v>
      </c>
    </row>
    <row r="349" spans="1:9" x14ac:dyDescent="0.25">
      <c r="A349">
        <v>237</v>
      </c>
      <c r="B349">
        <v>311</v>
      </c>
      <c r="C349">
        <v>160</v>
      </c>
      <c r="D349">
        <v>120</v>
      </c>
      <c r="E349">
        <v>0.01</v>
      </c>
      <c r="F349">
        <v>0</v>
      </c>
      <c r="G349">
        <v>0.28199999999999997</v>
      </c>
      <c r="H349">
        <v>0</v>
      </c>
      <c r="I349">
        <v>0</v>
      </c>
    </row>
    <row r="350" spans="1:9" x14ac:dyDescent="0.25">
      <c r="A350">
        <v>67</v>
      </c>
      <c r="B350">
        <v>159</v>
      </c>
      <c r="C350">
        <v>160</v>
      </c>
      <c r="D350">
        <v>80</v>
      </c>
      <c r="E350">
        <v>0.01</v>
      </c>
      <c r="F350">
        <v>0</v>
      </c>
      <c r="G350">
        <v>0</v>
      </c>
      <c r="H350">
        <v>0</v>
      </c>
      <c r="I350">
        <v>0</v>
      </c>
    </row>
    <row r="351" spans="1:9" x14ac:dyDescent="0.25">
      <c r="A351">
        <v>431</v>
      </c>
      <c r="B351" t="s">
        <v>140</v>
      </c>
      <c r="C351">
        <v>191</v>
      </c>
      <c r="D351">
        <v>210</v>
      </c>
      <c r="E351">
        <v>0.01</v>
      </c>
      <c r="F351">
        <v>0</v>
      </c>
      <c r="G351">
        <v>0.754</v>
      </c>
      <c r="H351">
        <v>0</v>
      </c>
      <c r="I351">
        <v>0</v>
      </c>
    </row>
    <row r="352" spans="1:9" x14ac:dyDescent="0.25">
      <c r="A352">
        <v>63</v>
      </c>
      <c r="B352">
        <v>155</v>
      </c>
      <c r="C352">
        <v>191</v>
      </c>
      <c r="D352">
        <v>105</v>
      </c>
      <c r="E352">
        <v>0.01</v>
      </c>
      <c r="F352">
        <v>0</v>
      </c>
      <c r="G352">
        <v>0</v>
      </c>
      <c r="H352">
        <v>0</v>
      </c>
      <c r="I352">
        <v>0</v>
      </c>
    </row>
    <row r="353" spans="1:9" x14ac:dyDescent="0.25">
      <c r="A353">
        <v>62</v>
      </c>
      <c r="B353">
        <v>154</v>
      </c>
      <c r="C353">
        <v>191</v>
      </c>
      <c r="D353">
        <v>50</v>
      </c>
      <c r="E353">
        <v>0.01</v>
      </c>
      <c r="F353">
        <v>0</v>
      </c>
      <c r="G353">
        <v>8.6999999999999994E-2</v>
      </c>
      <c r="H353">
        <v>0</v>
      </c>
      <c r="I353">
        <v>0</v>
      </c>
    </row>
    <row r="354" spans="1:9" x14ac:dyDescent="0.25">
      <c r="A354">
        <v>521</v>
      </c>
      <c r="B354" t="s">
        <v>141</v>
      </c>
      <c r="C354">
        <v>75</v>
      </c>
      <c r="D354">
        <v>145</v>
      </c>
      <c r="E354">
        <v>0.01</v>
      </c>
      <c r="F354">
        <v>0</v>
      </c>
      <c r="G354">
        <v>2.0325000000000002</v>
      </c>
      <c r="H354">
        <v>0</v>
      </c>
      <c r="I354">
        <v>0</v>
      </c>
    </row>
    <row r="355" spans="1:9" x14ac:dyDescent="0.25">
      <c r="A355">
        <v>503</v>
      </c>
      <c r="B355" t="s">
        <v>142</v>
      </c>
      <c r="C355">
        <v>75</v>
      </c>
      <c r="D355">
        <v>150</v>
      </c>
      <c r="E355">
        <v>0.01</v>
      </c>
      <c r="F355">
        <v>0</v>
      </c>
      <c r="G355">
        <v>2.0179999999999998</v>
      </c>
      <c r="H355">
        <v>0</v>
      </c>
      <c r="I355">
        <v>0</v>
      </c>
    </row>
    <row r="356" spans="1:9" x14ac:dyDescent="0.25">
      <c r="A356">
        <v>324</v>
      </c>
      <c r="B356">
        <v>76</v>
      </c>
      <c r="C356">
        <v>75</v>
      </c>
      <c r="D356">
        <v>150</v>
      </c>
      <c r="E356">
        <v>0.01</v>
      </c>
      <c r="F356">
        <v>0</v>
      </c>
      <c r="G356">
        <v>0</v>
      </c>
      <c r="H356">
        <v>0</v>
      </c>
      <c r="I356">
        <v>0</v>
      </c>
    </row>
    <row r="357" spans="1:9" x14ac:dyDescent="0.25">
      <c r="A357">
        <v>523</v>
      </c>
      <c r="B357" t="s">
        <v>143</v>
      </c>
      <c r="C357">
        <v>89</v>
      </c>
      <c r="D357">
        <v>120</v>
      </c>
      <c r="E357">
        <v>0.01</v>
      </c>
      <c r="F357">
        <v>0</v>
      </c>
      <c r="G357">
        <v>0.05</v>
      </c>
      <c r="H357">
        <v>0</v>
      </c>
      <c r="I357">
        <v>0</v>
      </c>
    </row>
    <row r="358" spans="1:9" x14ac:dyDescent="0.25">
      <c r="A358">
        <v>506</v>
      </c>
      <c r="B358" t="s">
        <v>144</v>
      </c>
      <c r="C358">
        <v>67</v>
      </c>
      <c r="D358">
        <v>150</v>
      </c>
      <c r="E358">
        <v>0.01</v>
      </c>
      <c r="F358">
        <v>0</v>
      </c>
      <c r="G358">
        <v>3.3885000000000001</v>
      </c>
      <c r="H358">
        <v>0</v>
      </c>
      <c r="I358">
        <v>0</v>
      </c>
    </row>
    <row r="359" spans="1:9" x14ac:dyDescent="0.25">
      <c r="A359">
        <v>312</v>
      </c>
      <c r="B359">
        <v>65</v>
      </c>
      <c r="C359">
        <v>67</v>
      </c>
      <c r="D359">
        <v>75</v>
      </c>
      <c r="E359">
        <v>0.01</v>
      </c>
      <c r="F359">
        <v>0</v>
      </c>
      <c r="G359">
        <v>0</v>
      </c>
      <c r="H359">
        <v>0</v>
      </c>
      <c r="I359">
        <v>0</v>
      </c>
    </row>
    <row r="360" spans="1:9" x14ac:dyDescent="0.25">
      <c r="A360">
        <v>258</v>
      </c>
      <c r="B360">
        <v>330</v>
      </c>
      <c r="C360">
        <v>67</v>
      </c>
      <c r="D360">
        <v>120</v>
      </c>
      <c r="E360">
        <v>0.01</v>
      </c>
      <c r="F360">
        <v>0</v>
      </c>
      <c r="G360">
        <v>3.3435000000000001</v>
      </c>
      <c r="H360">
        <v>0</v>
      </c>
      <c r="I360">
        <v>0</v>
      </c>
    </row>
    <row r="361" spans="1:9" x14ac:dyDescent="0.25">
      <c r="A361">
        <v>518</v>
      </c>
      <c r="B361" t="s">
        <v>145</v>
      </c>
      <c r="C361">
        <v>131</v>
      </c>
      <c r="D361">
        <v>230</v>
      </c>
      <c r="E361">
        <v>0.01</v>
      </c>
      <c r="F361">
        <v>0</v>
      </c>
      <c r="G361">
        <v>1.631</v>
      </c>
      <c r="H361">
        <v>0</v>
      </c>
      <c r="I361">
        <v>0</v>
      </c>
    </row>
    <row r="362" spans="1:9" x14ac:dyDescent="0.25">
      <c r="A362">
        <v>399</v>
      </c>
      <c r="B362" t="s">
        <v>146</v>
      </c>
      <c r="C362">
        <v>131</v>
      </c>
      <c r="D362">
        <v>225</v>
      </c>
      <c r="E362">
        <v>0.01</v>
      </c>
      <c r="F362">
        <v>0</v>
      </c>
      <c r="G362">
        <v>1.6455</v>
      </c>
      <c r="H362">
        <v>0</v>
      </c>
      <c r="I362">
        <v>0</v>
      </c>
    </row>
    <row r="363" spans="1:9" x14ac:dyDescent="0.25">
      <c r="A363">
        <v>36</v>
      </c>
      <c r="B363">
        <v>130</v>
      </c>
      <c r="C363">
        <v>131</v>
      </c>
      <c r="D363">
        <v>80</v>
      </c>
      <c r="E363">
        <v>0.01</v>
      </c>
      <c r="F363">
        <v>0</v>
      </c>
      <c r="G363">
        <v>0</v>
      </c>
      <c r="H363">
        <v>0</v>
      </c>
      <c r="I363">
        <v>0</v>
      </c>
    </row>
    <row r="364" spans="1:9" x14ac:dyDescent="0.25">
      <c r="A364">
        <v>335</v>
      </c>
      <c r="B364">
        <v>86</v>
      </c>
      <c r="C364">
        <v>87</v>
      </c>
      <c r="D364">
        <v>40</v>
      </c>
      <c r="E364">
        <v>0.01</v>
      </c>
      <c r="F364">
        <v>0</v>
      </c>
      <c r="G364">
        <v>0.2</v>
      </c>
      <c r="H364">
        <v>0</v>
      </c>
      <c r="I364">
        <v>0</v>
      </c>
    </row>
    <row r="365" spans="1:9" x14ac:dyDescent="0.25">
      <c r="A365">
        <v>74</v>
      </c>
      <c r="B365">
        <v>165</v>
      </c>
      <c r="C365">
        <v>166</v>
      </c>
      <c r="D365">
        <v>80</v>
      </c>
      <c r="E365">
        <v>0.01</v>
      </c>
      <c r="F365">
        <v>0</v>
      </c>
      <c r="G365">
        <v>0</v>
      </c>
      <c r="H365">
        <v>0</v>
      </c>
      <c r="I365">
        <v>0</v>
      </c>
    </row>
    <row r="366" spans="1:9" x14ac:dyDescent="0.25">
      <c r="A366">
        <v>396</v>
      </c>
      <c r="B366" t="s">
        <v>147</v>
      </c>
      <c r="C366">
        <v>278</v>
      </c>
      <c r="D366">
        <v>220</v>
      </c>
      <c r="E366">
        <v>0.01</v>
      </c>
      <c r="F366">
        <v>0</v>
      </c>
      <c r="G366">
        <v>2.8370000000000002</v>
      </c>
      <c r="H366">
        <v>0</v>
      </c>
      <c r="I366">
        <v>0</v>
      </c>
    </row>
    <row r="367" spans="1:9" x14ac:dyDescent="0.25">
      <c r="A367">
        <v>222</v>
      </c>
      <c r="B367">
        <v>299</v>
      </c>
      <c r="C367">
        <v>278</v>
      </c>
      <c r="D367">
        <v>80</v>
      </c>
      <c r="E367">
        <v>0.01</v>
      </c>
      <c r="F367">
        <v>0</v>
      </c>
      <c r="G367">
        <v>0</v>
      </c>
      <c r="H367">
        <v>0</v>
      </c>
      <c r="I367">
        <v>0</v>
      </c>
    </row>
    <row r="368" spans="1:9" x14ac:dyDescent="0.25">
      <c r="A368">
        <v>228</v>
      </c>
      <c r="B368">
        <v>303</v>
      </c>
      <c r="C368">
        <v>304</v>
      </c>
      <c r="D368">
        <v>175</v>
      </c>
      <c r="E368">
        <v>0.01</v>
      </c>
      <c r="F368">
        <v>0</v>
      </c>
      <c r="G368">
        <v>0.18</v>
      </c>
      <c r="H368">
        <v>0</v>
      </c>
      <c r="I368">
        <v>0</v>
      </c>
    </row>
    <row r="369" spans="1:9" x14ac:dyDescent="0.25">
      <c r="A369">
        <v>236</v>
      </c>
      <c r="B369">
        <v>310</v>
      </c>
      <c r="C369">
        <v>159</v>
      </c>
      <c r="D369">
        <v>120</v>
      </c>
      <c r="E369">
        <v>0.01</v>
      </c>
      <c r="F369">
        <v>0</v>
      </c>
      <c r="G369">
        <v>0</v>
      </c>
      <c r="H369">
        <v>0</v>
      </c>
      <c r="I369">
        <v>0</v>
      </c>
    </row>
    <row r="370" spans="1:9" x14ac:dyDescent="0.25">
      <c r="A370">
        <v>66</v>
      </c>
      <c r="B370">
        <v>158</v>
      </c>
      <c r="C370">
        <v>154</v>
      </c>
      <c r="D370">
        <v>270</v>
      </c>
      <c r="E370">
        <v>0.01</v>
      </c>
      <c r="F370">
        <v>0</v>
      </c>
      <c r="G370">
        <v>0</v>
      </c>
      <c r="H370">
        <v>0</v>
      </c>
      <c r="I370">
        <v>0</v>
      </c>
    </row>
    <row r="371" spans="1:9" x14ac:dyDescent="0.25">
      <c r="A371">
        <v>65</v>
      </c>
      <c r="B371">
        <v>157</v>
      </c>
      <c r="C371">
        <v>155</v>
      </c>
      <c r="D371">
        <v>250</v>
      </c>
      <c r="E371">
        <v>0.01</v>
      </c>
      <c r="F371">
        <v>0</v>
      </c>
      <c r="G371">
        <v>0.10150000000000001</v>
      </c>
      <c r="H371">
        <v>0</v>
      </c>
      <c r="I371">
        <v>0</v>
      </c>
    </row>
    <row r="372" spans="1:9" x14ac:dyDescent="0.25">
      <c r="A372">
        <v>64</v>
      </c>
      <c r="B372">
        <v>156</v>
      </c>
      <c r="C372">
        <v>155</v>
      </c>
      <c r="D372">
        <v>165</v>
      </c>
      <c r="E372">
        <v>0.01</v>
      </c>
      <c r="F372">
        <v>0</v>
      </c>
      <c r="G372">
        <v>0</v>
      </c>
      <c r="H372">
        <v>0</v>
      </c>
      <c r="I372">
        <v>0</v>
      </c>
    </row>
    <row r="373" spans="1:9" x14ac:dyDescent="0.25">
      <c r="A373">
        <v>517</v>
      </c>
      <c r="B373" t="s">
        <v>148</v>
      </c>
      <c r="C373">
        <v>76</v>
      </c>
      <c r="D373">
        <v>160</v>
      </c>
      <c r="E373">
        <v>0.01</v>
      </c>
      <c r="F373">
        <v>0</v>
      </c>
      <c r="G373">
        <v>1.734</v>
      </c>
      <c r="H373">
        <v>0</v>
      </c>
      <c r="I373">
        <v>0</v>
      </c>
    </row>
    <row r="374" spans="1:9" x14ac:dyDescent="0.25">
      <c r="A374">
        <v>325</v>
      </c>
      <c r="B374">
        <v>77</v>
      </c>
      <c r="C374">
        <v>76</v>
      </c>
      <c r="D374">
        <v>75</v>
      </c>
      <c r="E374">
        <v>0.01</v>
      </c>
      <c r="F374">
        <v>0</v>
      </c>
      <c r="G374">
        <v>0</v>
      </c>
      <c r="H374">
        <v>0</v>
      </c>
      <c r="I374">
        <v>0</v>
      </c>
    </row>
    <row r="375" spans="1:9" x14ac:dyDescent="0.25">
      <c r="A375">
        <v>313</v>
      </c>
      <c r="B375">
        <v>66</v>
      </c>
      <c r="C375">
        <v>65</v>
      </c>
      <c r="D375">
        <v>75</v>
      </c>
      <c r="E375">
        <v>0.01</v>
      </c>
      <c r="F375">
        <v>0</v>
      </c>
      <c r="G375">
        <v>0</v>
      </c>
      <c r="H375">
        <v>0</v>
      </c>
      <c r="I375">
        <v>0</v>
      </c>
    </row>
    <row r="376" spans="1:9" x14ac:dyDescent="0.25">
      <c r="A376">
        <v>259</v>
      </c>
      <c r="B376">
        <v>331</v>
      </c>
      <c r="C376">
        <v>65</v>
      </c>
      <c r="D376">
        <v>120</v>
      </c>
      <c r="E376">
        <v>0.01</v>
      </c>
      <c r="F376">
        <v>0</v>
      </c>
      <c r="G376">
        <v>3.4155000000000002</v>
      </c>
      <c r="H376">
        <v>0</v>
      </c>
      <c r="I376">
        <v>0</v>
      </c>
    </row>
    <row r="377" spans="1:9" x14ac:dyDescent="0.25">
      <c r="A377">
        <v>516</v>
      </c>
      <c r="B377" t="s">
        <v>149</v>
      </c>
      <c r="C377">
        <v>130</v>
      </c>
      <c r="D377">
        <v>220</v>
      </c>
      <c r="E377">
        <v>0.01</v>
      </c>
      <c r="F377">
        <v>0</v>
      </c>
      <c r="G377">
        <v>1.508</v>
      </c>
      <c r="H377">
        <v>0</v>
      </c>
      <c r="I377">
        <v>0</v>
      </c>
    </row>
    <row r="378" spans="1:9" x14ac:dyDescent="0.25">
      <c r="A378">
        <v>397</v>
      </c>
      <c r="B378" t="s">
        <v>150</v>
      </c>
      <c r="C378">
        <v>130</v>
      </c>
      <c r="D378">
        <v>225</v>
      </c>
      <c r="E378">
        <v>0.01</v>
      </c>
      <c r="F378">
        <v>0</v>
      </c>
      <c r="G378">
        <v>1.4935</v>
      </c>
      <c r="H378">
        <v>0</v>
      </c>
      <c r="I378">
        <v>0</v>
      </c>
    </row>
    <row r="379" spans="1:9" x14ac:dyDescent="0.25">
      <c r="A379">
        <v>34</v>
      </c>
      <c r="B379">
        <v>129</v>
      </c>
      <c r="C379">
        <v>130</v>
      </c>
      <c r="D379">
        <v>80</v>
      </c>
      <c r="E379">
        <v>0.01</v>
      </c>
      <c r="F379">
        <v>0</v>
      </c>
      <c r="G379">
        <v>0</v>
      </c>
      <c r="H379">
        <v>0</v>
      </c>
      <c r="I379">
        <v>0</v>
      </c>
    </row>
    <row r="380" spans="1:9" x14ac:dyDescent="0.25">
      <c r="A380">
        <v>334</v>
      </c>
      <c r="B380">
        <v>85</v>
      </c>
      <c r="C380">
        <v>86</v>
      </c>
      <c r="D380">
        <v>110</v>
      </c>
      <c r="E380">
        <v>0.01</v>
      </c>
      <c r="F380">
        <v>0</v>
      </c>
      <c r="G380">
        <v>0</v>
      </c>
      <c r="H380">
        <v>0</v>
      </c>
      <c r="I380">
        <v>0</v>
      </c>
    </row>
    <row r="381" spans="1:9" x14ac:dyDescent="0.25">
      <c r="A381">
        <v>73</v>
      </c>
      <c r="B381">
        <v>164</v>
      </c>
      <c r="C381">
        <v>165</v>
      </c>
      <c r="D381">
        <v>80</v>
      </c>
      <c r="E381">
        <v>0.01</v>
      </c>
      <c r="F381">
        <v>0</v>
      </c>
      <c r="G381">
        <v>0</v>
      </c>
      <c r="H381">
        <v>0</v>
      </c>
      <c r="I381">
        <v>0</v>
      </c>
    </row>
    <row r="382" spans="1:9" x14ac:dyDescent="0.25">
      <c r="A382">
        <v>394</v>
      </c>
      <c r="B382" t="s">
        <v>151</v>
      </c>
      <c r="C382">
        <v>299</v>
      </c>
      <c r="D382">
        <v>220</v>
      </c>
      <c r="E382">
        <v>0.01</v>
      </c>
      <c r="F382">
        <v>0</v>
      </c>
      <c r="G382">
        <v>2.637</v>
      </c>
      <c r="H382">
        <v>0</v>
      </c>
      <c r="I382">
        <v>0</v>
      </c>
    </row>
    <row r="383" spans="1:9" x14ac:dyDescent="0.25">
      <c r="A383">
        <v>225</v>
      </c>
      <c r="B383">
        <v>300</v>
      </c>
      <c r="C383">
        <v>299</v>
      </c>
      <c r="D383">
        <v>80</v>
      </c>
      <c r="E383">
        <v>0.01</v>
      </c>
      <c r="F383">
        <v>0</v>
      </c>
      <c r="G383">
        <v>0</v>
      </c>
      <c r="H383">
        <v>0</v>
      </c>
      <c r="I383">
        <v>0</v>
      </c>
    </row>
    <row r="384" spans="1:9" x14ac:dyDescent="0.25">
      <c r="A384">
        <v>480</v>
      </c>
      <c r="B384" t="s">
        <v>152</v>
      </c>
      <c r="C384">
        <v>303</v>
      </c>
      <c r="D384">
        <v>175</v>
      </c>
      <c r="E384">
        <v>0.01</v>
      </c>
      <c r="F384">
        <v>0</v>
      </c>
      <c r="G384">
        <v>0</v>
      </c>
      <c r="H384">
        <v>0</v>
      </c>
      <c r="I384">
        <v>0</v>
      </c>
    </row>
    <row r="385" spans="1:9" x14ac:dyDescent="0.25">
      <c r="A385">
        <v>389</v>
      </c>
      <c r="B385" t="s">
        <v>153</v>
      </c>
      <c r="C385">
        <v>158</v>
      </c>
      <c r="D385">
        <v>80</v>
      </c>
      <c r="E385">
        <v>0.01</v>
      </c>
      <c r="F385">
        <v>0</v>
      </c>
      <c r="G385">
        <v>0.11600000000000001</v>
      </c>
      <c r="H385">
        <v>0</v>
      </c>
      <c r="I385">
        <v>0</v>
      </c>
    </row>
    <row r="386" spans="1:9" x14ac:dyDescent="0.25">
      <c r="A386">
        <v>234</v>
      </c>
      <c r="B386">
        <v>309</v>
      </c>
      <c r="C386">
        <v>158</v>
      </c>
      <c r="D386">
        <v>120</v>
      </c>
      <c r="E386">
        <v>0.01</v>
      </c>
      <c r="F386">
        <v>0</v>
      </c>
      <c r="G386">
        <v>0</v>
      </c>
      <c r="H386">
        <v>0</v>
      </c>
      <c r="I386">
        <v>0</v>
      </c>
    </row>
    <row r="387" spans="1:9" x14ac:dyDescent="0.25">
      <c r="A387">
        <v>386</v>
      </c>
      <c r="B387" t="s">
        <v>154</v>
      </c>
      <c r="C387">
        <v>156</v>
      </c>
      <c r="D387">
        <v>200</v>
      </c>
      <c r="E387">
        <v>0.01</v>
      </c>
      <c r="F387">
        <v>0</v>
      </c>
      <c r="G387">
        <v>0</v>
      </c>
      <c r="H387">
        <v>0</v>
      </c>
      <c r="I387">
        <v>0</v>
      </c>
    </row>
    <row r="388" spans="1:9" x14ac:dyDescent="0.25">
      <c r="A388">
        <v>1</v>
      </c>
      <c r="B388">
        <v>1</v>
      </c>
      <c r="C388">
        <v>156</v>
      </c>
      <c r="D388">
        <v>120</v>
      </c>
      <c r="E388">
        <v>0.01</v>
      </c>
      <c r="F388">
        <v>0</v>
      </c>
      <c r="G388">
        <v>0.23200000000000001</v>
      </c>
      <c r="H388">
        <v>0</v>
      </c>
      <c r="I388">
        <v>0</v>
      </c>
    </row>
    <row r="389" spans="1:9" x14ac:dyDescent="0.25">
      <c r="A389">
        <v>387</v>
      </c>
      <c r="B389" t="s">
        <v>155</v>
      </c>
      <c r="C389">
        <v>157</v>
      </c>
      <c r="D389">
        <v>80</v>
      </c>
      <c r="E389">
        <v>0.01</v>
      </c>
      <c r="F389">
        <v>0</v>
      </c>
      <c r="G389">
        <v>0</v>
      </c>
      <c r="H389">
        <v>0</v>
      </c>
      <c r="I389">
        <v>0</v>
      </c>
    </row>
    <row r="390" spans="1:9" x14ac:dyDescent="0.25">
      <c r="A390">
        <v>515</v>
      </c>
      <c r="B390" t="s">
        <v>156</v>
      </c>
      <c r="C390">
        <v>77</v>
      </c>
      <c r="D390">
        <v>170</v>
      </c>
      <c r="E390">
        <v>0.01</v>
      </c>
      <c r="F390">
        <v>0</v>
      </c>
      <c r="G390">
        <v>1.5774999999999999</v>
      </c>
      <c r="H390">
        <v>0</v>
      </c>
      <c r="I390">
        <v>0</v>
      </c>
    </row>
    <row r="391" spans="1:9" x14ac:dyDescent="0.25">
      <c r="A391">
        <v>502</v>
      </c>
      <c r="B391" t="s">
        <v>157</v>
      </c>
      <c r="C391">
        <v>77</v>
      </c>
      <c r="D391">
        <v>150</v>
      </c>
      <c r="E391">
        <v>0.01</v>
      </c>
      <c r="F391">
        <v>0</v>
      </c>
      <c r="G391">
        <v>1.6355</v>
      </c>
      <c r="H391">
        <v>0</v>
      </c>
      <c r="I391">
        <v>0</v>
      </c>
    </row>
    <row r="392" spans="1:9" x14ac:dyDescent="0.25">
      <c r="A392">
        <v>326</v>
      </c>
      <c r="B392">
        <v>78</v>
      </c>
      <c r="C392">
        <v>77</v>
      </c>
      <c r="D392">
        <v>75</v>
      </c>
      <c r="E392">
        <v>0.01</v>
      </c>
      <c r="F392">
        <v>0</v>
      </c>
      <c r="G392">
        <v>0</v>
      </c>
      <c r="H392">
        <v>0</v>
      </c>
      <c r="I392">
        <v>0</v>
      </c>
    </row>
    <row r="393" spans="1:9" x14ac:dyDescent="0.25">
      <c r="A393">
        <v>311</v>
      </c>
      <c r="B393">
        <v>64</v>
      </c>
      <c r="C393">
        <v>66</v>
      </c>
      <c r="D393">
        <v>75</v>
      </c>
      <c r="E393">
        <v>0.01</v>
      </c>
      <c r="F393">
        <v>0</v>
      </c>
      <c r="G393">
        <v>0</v>
      </c>
      <c r="H393">
        <v>0</v>
      </c>
      <c r="I393">
        <v>0</v>
      </c>
    </row>
    <row r="394" spans="1:9" x14ac:dyDescent="0.25">
      <c r="A394">
        <v>260</v>
      </c>
      <c r="B394">
        <v>332</v>
      </c>
      <c r="C394">
        <v>66</v>
      </c>
      <c r="D394">
        <v>120</v>
      </c>
      <c r="E394">
        <v>0.01</v>
      </c>
      <c r="F394">
        <v>0</v>
      </c>
      <c r="G394">
        <v>3.3054999999999999</v>
      </c>
      <c r="H394">
        <v>0</v>
      </c>
      <c r="I394">
        <v>0</v>
      </c>
    </row>
    <row r="395" spans="1:9" x14ac:dyDescent="0.25">
      <c r="A395">
        <v>514</v>
      </c>
      <c r="B395" t="s">
        <v>158</v>
      </c>
      <c r="C395">
        <v>129</v>
      </c>
      <c r="D395">
        <v>220</v>
      </c>
      <c r="E395">
        <v>0.01</v>
      </c>
      <c r="F395">
        <v>0</v>
      </c>
      <c r="G395">
        <v>1.3560000000000001</v>
      </c>
      <c r="H395">
        <v>0</v>
      </c>
      <c r="I395">
        <v>0</v>
      </c>
    </row>
    <row r="396" spans="1:9" x14ac:dyDescent="0.25">
      <c r="A396">
        <v>395</v>
      </c>
      <c r="B396" t="s">
        <v>159</v>
      </c>
      <c r="C396">
        <v>129</v>
      </c>
      <c r="D396">
        <v>225</v>
      </c>
      <c r="E396">
        <v>0.01</v>
      </c>
      <c r="F396">
        <v>0</v>
      </c>
      <c r="G396">
        <v>1.3414999999999999</v>
      </c>
      <c r="H396">
        <v>0</v>
      </c>
      <c r="I396">
        <v>0</v>
      </c>
    </row>
    <row r="397" spans="1:9" x14ac:dyDescent="0.25">
      <c r="A397">
        <v>33</v>
      </c>
      <c r="B397">
        <v>128</v>
      </c>
      <c r="C397">
        <v>129</v>
      </c>
      <c r="D397">
        <v>80</v>
      </c>
      <c r="E397">
        <v>0.01</v>
      </c>
      <c r="F397">
        <v>0</v>
      </c>
      <c r="G397">
        <v>0</v>
      </c>
      <c r="H397">
        <v>0</v>
      </c>
      <c r="I397">
        <v>0</v>
      </c>
    </row>
    <row r="398" spans="1:9" x14ac:dyDescent="0.25">
      <c r="A398">
        <v>333</v>
      </c>
      <c r="B398">
        <v>84</v>
      </c>
      <c r="C398">
        <v>85</v>
      </c>
      <c r="D398">
        <v>80</v>
      </c>
      <c r="E398">
        <v>0.01</v>
      </c>
      <c r="F398">
        <v>0</v>
      </c>
      <c r="G398">
        <v>0</v>
      </c>
      <c r="H398">
        <v>0</v>
      </c>
      <c r="I398">
        <v>0</v>
      </c>
    </row>
    <row r="399" spans="1:9" x14ac:dyDescent="0.25">
      <c r="A399">
        <v>72</v>
      </c>
      <c r="B399">
        <v>163</v>
      </c>
      <c r="C399">
        <v>164</v>
      </c>
      <c r="D399">
        <v>80</v>
      </c>
      <c r="E399">
        <v>0.01</v>
      </c>
      <c r="F399">
        <v>0</v>
      </c>
      <c r="G399">
        <v>0</v>
      </c>
      <c r="H399">
        <v>0</v>
      </c>
      <c r="I399">
        <v>0</v>
      </c>
    </row>
    <row r="400" spans="1:9" x14ac:dyDescent="0.25">
      <c r="A400">
        <v>478</v>
      </c>
      <c r="B400" t="s">
        <v>160</v>
      </c>
      <c r="C400">
        <v>300</v>
      </c>
      <c r="D400">
        <v>210</v>
      </c>
      <c r="E400">
        <v>0.01</v>
      </c>
      <c r="F400">
        <v>0</v>
      </c>
      <c r="G400">
        <v>2.4660000000000002</v>
      </c>
      <c r="H400">
        <v>0</v>
      </c>
      <c r="I400">
        <v>0</v>
      </c>
    </row>
    <row r="401" spans="1:9" x14ac:dyDescent="0.25">
      <c r="A401">
        <v>392</v>
      </c>
      <c r="B401" t="s">
        <v>161</v>
      </c>
      <c r="C401">
        <v>300</v>
      </c>
      <c r="D401">
        <v>220</v>
      </c>
      <c r="E401">
        <v>0.01</v>
      </c>
      <c r="F401">
        <v>0</v>
      </c>
      <c r="G401">
        <v>2.4369999999999998</v>
      </c>
      <c r="H401">
        <v>0</v>
      </c>
      <c r="I401">
        <v>0</v>
      </c>
    </row>
    <row r="402" spans="1:9" x14ac:dyDescent="0.25">
      <c r="A402">
        <v>226</v>
      </c>
      <c r="B402">
        <v>301</v>
      </c>
      <c r="C402">
        <v>300</v>
      </c>
      <c r="D402">
        <v>80</v>
      </c>
      <c r="E402">
        <v>0.01</v>
      </c>
      <c r="F402">
        <v>0</v>
      </c>
      <c r="G402">
        <v>0</v>
      </c>
      <c r="H402">
        <v>0</v>
      </c>
      <c r="I402">
        <v>0</v>
      </c>
    </row>
    <row r="403" spans="1:9" x14ac:dyDescent="0.25">
      <c r="A403">
        <v>513</v>
      </c>
      <c r="B403" t="s">
        <v>162</v>
      </c>
      <c r="C403">
        <v>78</v>
      </c>
      <c r="D403">
        <v>180</v>
      </c>
      <c r="E403">
        <v>0.01</v>
      </c>
      <c r="F403">
        <v>0</v>
      </c>
      <c r="G403">
        <v>1.421</v>
      </c>
      <c r="H403">
        <v>0</v>
      </c>
      <c r="I403">
        <v>0</v>
      </c>
    </row>
    <row r="404" spans="1:9" x14ac:dyDescent="0.25">
      <c r="A404">
        <v>327</v>
      </c>
      <c r="B404">
        <v>79</v>
      </c>
      <c r="C404">
        <v>78</v>
      </c>
      <c r="D404">
        <v>75</v>
      </c>
      <c r="E404">
        <v>0.01</v>
      </c>
      <c r="F404">
        <v>0</v>
      </c>
      <c r="G404">
        <v>0</v>
      </c>
      <c r="H404">
        <v>0</v>
      </c>
      <c r="I404">
        <v>0</v>
      </c>
    </row>
    <row r="405" spans="1:9" x14ac:dyDescent="0.25">
      <c r="A405">
        <v>507</v>
      </c>
      <c r="B405" t="s">
        <v>163</v>
      </c>
      <c r="C405">
        <v>64</v>
      </c>
      <c r="D405">
        <v>150</v>
      </c>
      <c r="E405">
        <v>0.01</v>
      </c>
      <c r="F405">
        <v>0</v>
      </c>
      <c r="G405">
        <v>3.2084999999999999</v>
      </c>
      <c r="H405">
        <v>0</v>
      </c>
      <c r="I405">
        <v>0</v>
      </c>
    </row>
    <row r="406" spans="1:9" x14ac:dyDescent="0.25">
      <c r="A406">
        <v>310</v>
      </c>
      <c r="B406">
        <v>63</v>
      </c>
      <c r="C406">
        <v>64</v>
      </c>
      <c r="D406">
        <v>75</v>
      </c>
      <c r="E406">
        <v>0.01</v>
      </c>
      <c r="F406">
        <v>0</v>
      </c>
      <c r="G406">
        <v>0</v>
      </c>
      <c r="H406">
        <v>0</v>
      </c>
      <c r="I406">
        <v>0</v>
      </c>
    </row>
    <row r="407" spans="1:9" x14ac:dyDescent="0.25">
      <c r="A407">
        <v>261</v>
      </c>
      <c r="B407">
        <v>333</v>
      </c>
      <c r="C407">
        <v>64</v>
      </c>
      <c r="D407">
        <v>120</v>
      </c>
      <c r="E407">
        <v>0.01</v>
      </c>
      <c r="F407">
        <v>0</v>
      </c>
      <c r="G407">
        <v>3.2955000000000001</v>
      </c>
      <c r="H407">
        <v>0</v>
      </c>
      <c r="I407">
        <v>0</v>
      </c>
    </row>
    <row r="408" spans="1:9" x14ac:dyDescent="0.25">
      <c r="A408">
        <v>512</v>
      </c>
      <c r="B408" t="s">
        <v>164</v>
      </c>
      <c r="C408">
        <v>128</v>
      </c>
      <c r="D408">
        <v>220</v>
      </c>
      <c r="E408">
        <v>0.01</v>
      </c>
      <c r="F408">
        <v>0</v>
      </c>
      <c r="G408">
        <v>1.1559999999999999</v>
      </c>
      <c r="H408">
        <v>0</v>
      </c>
      <c r="I408">
        <v>0</v>
      </c>
    </row>
    <row r="409" spans="1:9" x14ac:dyDescent="0.25">
      <c r="A409">
        <v>393</v>
      </c>
      <c r="B409" t="s">
        <v>165</v>
      </c>
      <c r="C409">
        <v>128</v>
      </c>
      <c r="D409">
        <v>225</v>
      </c>
      <c r="E409">
        <v>0.01</v>
      </c>
      <c r="F409">
        <v>0</v>
      </c>
      <c r="G409">
        <v>1.1415</v>
      </c>
      <c r="H409">
        <v>0</v>
      </c>
      <c r="I409">
        <v>0</v>
      </c>
    </row>
    <row r="410" spans="1:9" x14ac:dyDescent="0.25">
      <c r="A410">
        <v>32</v>
      </c>
      <c r="B410">
        <v>127</v>
      </c>
      <c r="C410">
        <v>128</v>
      </c>
      <c r="D410">
        <v>120</v>
      </c>
      <c r="E410">
        <v>0.01</v>
      </c>
      <c r="F410">
        <v>0</v>
      </c>
      <c r="G410">
        <v>0</v>
      </c>
      <c r="H410">
        <v>0</v>
      </c>
      <c r="I410">
        <v>0</v>
      </c>
    </row>
    <row r="411" spans="1:9" x14ac:dyDescent="0.25">
      <c r="A411">
        <v>332</v>
      </c>
      <c r="B411">
        <v>83</v>
      </c>
      <c r="C411">
        <v>84</v>
      </c>
      <c r="D411">
        <v>80</v>
      </c>
      <c r="E411">
        <v>0.01</v>
      </c>
      <c r="F411">
        <v>0</v>
      </c>
      <c r="G411">
        <v>0.05</v>
      </c>
      <c r="H411">
        <v>0</v>
      </c>
      <c r="I411">
        <v>0</v>
      </c>
    </row>
    <row r="412" spans="1:9" x14ac:dyDescent="0.25">
      <c r="A412">
        <v>71</v>
      </c>
      <c r="B412">
        <v>162</v>
      </c>
      <c r="C412">
        <v>163</v>
      </c>
      <c r="D412">
        <v>80</v>
      </c>
      <c r="E412">
        <v>0.01</v>
      </c>
      <c r="F412">
        <v>0</v>
      </c>
      <c r="G412">
        <v>0</v>
      </c>
      <c r="H412">
        <v>0</v>
      </c>
      <c r="I412">
        <v>0</v>
      </c>
    </row>
    <row r="413" spans="1:9" x14ac:dyDescent="0.25">
      <c r="A413">
        <v>227</v>
      </c>
      <c r="B413">
        <v>302</v>
      </c>
      <c r="C413">
        <v>301</v>
      </c>
      <c r="D413">
        <v>150</v>
      </c>
      <c r="E413">
        <v>0.01</v>
      </c>
      <c r="F413">
        <v>0</v>
      </c>
      <c r="G413">
        <v>0</v>
      </c>
      <c r="H413">
        <v>0</v>
      </c>
      <c r="I413">
        <v>0</v>
      </c>
    </row>
    <row r="414" spans="1:9" x14ac:dyDescent="0.25">
      <c r="A414">
        <v>511</v>
      </c>
      <c r="B414" t="s">
        <v>166</v>
      </c>
      <c r="C414">
        <v>79</v>
      </c>
      <c r="D414">
        <v>190</v>
      </c>
      <c r="E414">
        <v>0.01</v>
      </c>
      <c r="F414">
        <v>0</v>
      </c>
      <c r="G414">
        <v>1.2645</v>
      </c>
      <c r="H414">
        <v>0</v>
      </c>
      <c r="I414">
        <v>0</v>
      </c>
    </row>
    <row r="415" spans="1:9" x14ac:dyDescent="0.25">
      <c r="A415">
        <v>501</v>
      </c>
      <c r="B415" t="s">
        <v>167</v>
      </c>
      <c r="C415">
        <v>79</v>
      </c>
      <c r="D415">
        <v>150</v>
      </c>
      <c r="E415">
        <v>0.01</v>
      </c>
      <c r="F415">
        <v>0</v>
      </c>
      <c r="G415">
        <v>1.3805000000000001</v>
      </c>
      <c r="H415">
        <v>0</v>
      </c>
      <c r="I415">
        <v>0</v>
      </c>
    </row>
    <row r="416" spans="1:9" x14ac:dyDescent="0.25">
      <c r="A416">
        <v>329</v>
      </c>
      <c r="B416">
        <v>80</v>
      </c>
      <c r="C416">
        <v>79</v>
      </c>
      <c r="D416">
        <v>75</v>
      </c>
      <c r="E416">
        <v>0.01</v>
      </c>
      <c r="F416">
        <v>0</v>
      </c>
      <c r="G416">
        <v>0</v>
      </c>
      <c r="H416">
        <v>0</v>
      </c>
      <c r="I416">
        <v>0</v>
      </c>
    </row>
    <row r="417" spans="1:9" x14ac:dyDescent="0.25">
      <c r="A417">
        <v>309</v>
      </c>
      <c r="B417">
        <v>62</v>
      </c>
      <c r="C417">
        <v>63</v>
      </c>
      <c r="D417">
        <v>75</v>
      </c>
      <c r="E417">
        <v>0.01</v>
      </c>
      <c r="F417">
        <v>0</v>
      </c>
      <c r="G417">
        <v>0.3</v>
      </c>
      <c r="H417">
        <v>0</v>
      </c>
      <c r="I417">
        <v>0</v>
      </c>
    </row>
    <row r="418" spans="1:9" x14ac:dyDescent="0.25">
      <c r="A418">
        <v>262</v>
      </c>
      <c r="B418">
        <v>334</v>
      </c>
      <c r="C418">
        <v>63</v>
      </c>
      <c r="D418">
        <v>120</v>
      </c>
      <c r="E418">
        <v>0.01</v>
      </c>
      <c r="F418">
        <v>0</v>
      </c>
      <c r="G418">
        <v>3.2355</v>
      </c>
      <c r="H418">
        <v>0</v>
      </c>
      <c r="I418">
        <v>0</v>
      </c>
    </row>
    <row r="419" spans="1:9" x14ac:dyDescent="0.25">
      <c r="A419">
        <v>510</v>
      </c>
      <c r="B419" t="s">
        <v>168</v>
      </c>
      <c r="C419">
        <v>127</v>
      </c>
      <c r="D419">
        <v>220</v>
      </c>
      <c r="E419">
        <v>0.01</v>
      </c>
      <c r="F419">
        <v>0</v>
      </c>
      <c r="G419">
        <v>0.85599999999999998</v>
      </c>
      <c r="H419">
        <v>0</v>
      </c>
      <c r="I419">
        <v>0</v>
      </c>
    </row>
    <row r="420" spans="1:9" x14ac:dyDescent="0.25">
      <c r="A420">
        <v>31</v>
      </c>
      <c r="B420">
        <v>126</v>
      </c>
      <c r="C420">
        <v>127</v>
      </c>
      <c r="D420">
        <v>40</v>
      </c>
      <c r="E420">
        <v>0.01</v>
      </c>
      <c r="F420">
        <v>0</v>
      </c>
      <c r="G420">
        <v>0</v>
      </c>
      <c r="H420">
        <v>0</v>
      </c>
      <c r="I420">
        <v>0</v>
      </c>
    </row>
    <row r="421" spans="1:9" x14ac:dyDescent="0.25">
      <c r="A421">
        <v>331</v>
      </c>
      <c r="B421">
        <v>82</v>
      </c>
      <c r="C421">
        <v>83</v>
      </c>
      <c r="D421">
        <v>80</v>
      </c>
      <c r="E421">
        <v>0.01</v>
      </c>
      <c r="F421">
        <v>0</v>
      </c>
      <c r="G421">
        <v>0</v>
      </c>
      <c r="H421">
        <v>0</v>
      </c>
      <c r="I421">
        <v>0</v>
      </c>
    </row>
    <row r="422" spans="1:9" x14ac:dyDescent="0.25">
      <c r="A422">
        <v>479</v>
      </c>
      <c r="B422" t="s">
        <v>169</v>
      </c>
      <c r="C422">
        <v>162</v>
      </c>
      <c r="D422">
        <v>225</v>
      </c>
      <c r="E422">
        <v>0.01</v>
      </c>
      <c r="F422">
        <v>0</v>
      </c>
      <c r="G422">
        <v>3.7987139999999999</v>
      </c>
      <c r="H422">
        <v>0</v>
      </c>
      <c r="I422">
        <v>0</v>
      </c>
    </row>
    <row r="423" spans="1:9" x14ac:dyDescent="0.25">
      <c r="A423">
        <v>70</v>
      </c>
      <c r="B423">
        <v>161</v>
      </c>
      <c r="C423">
        <v>162</v>
      </c>
      <c r="D423">
        <v>110</v>
      </c>
      <c r="E423">
        <v>0.01</v>
      </c>
      <c r="F423">
        <v>0</v>
      </c>
      <c r="G423">
        <v>0</v>
      </c>
      <c r="H423">
        <v>0</v>
      </c>
      <c r="I423">
        <v>0</v>
      </c>
    </row>
    <row r="424" spans="1:9" x14ac:dyDescent="0.25">
      <c r="A424">
        <v>390</v>
      </c>
      <c r="B424" t="s">
        <v>170</v>
      </c>
      <c r="C424">
        <v>302</v>
      </c>
      <c r="D424">
        <v>280</v>
      </c>
      <c r="E424">
        <v>0.01</v>
      </c>
      <c r="F424">
        <v>0</v>
      </c>
      <c r="G424">
        <v>1.6879999999999999</v>
      </c>
      <c r="H424">
        <v>0</v>
      </c>
      <c r="I424">
        <v>0</v>
      </c>
    </row>
    <row r="425" spans="1:9" x14ac:dyDescent="0.25">
      <c r="A425">
        <v>273</v>
      </c>
      <c r="B425">
        <v>344</v>
      </c>
      <c r="C425">
        <v>302</v>
      </c>
      <c r="D425">
        <v>800</v>
      </c>
      <c r="E425">
        <v>0.01</v>
      </c>
      <c r="F425">
        <v>0</v>
      </c>
      <c r="G425">
        <v>0.18</v>
      </c>
      <c r="H425">
        <v>0</v>
      </c>
      <c r="I425">
        <v>0</v>
      </c>
    </row>
    <row r="426" spans="1:9" x14ac:dyDescent="0.25">
      <c r="A426">
        <v>509</v>
      </c>
      <c r="B426" t="s">
        <v>171</v>
      </c>
      <c r="C426">
        <v>80</v>
      </c>
      <c r="D426">
        <v>195</v>
      </c>
      <c r="E426">
        <v>0.01</v>
      </c>
      <c r="F426">
        <v>0</v>
      </c>
      <c r="G426">
        <v>1.1225000000000001</v>
      </c>
      <c r="H426">
        <v>0</v>
      </c>
      <c r="I426">
        <v>0</v>
      </c>
    </row>
    <row r="427" spans="1:9" x14ac:dyDescent="0.25">
      <c r="A427">
        <v>500</v>
      </c>
      <c r="B427" t="s">
        <v>172</v>
      </c>
      <c r="C427">
        <v>80</v>
      </c>
      <c r="D427">
        <v>150</v>
      </c>
      <c r="E427">
        <v>0.01</v>
      </c>
      <c r="F427">
        <v>0</v>
      </c>
      <c r="G427">
        <v>1.2529999999999999</v>
      </c>
      <c r="H427">
        <v>0</v>
      </c>
      <c r="I427">
        <v>0</v>
      </c>
    </row>
    <row r="428" spans="1:9" x14ac:dyDescent="0.25">
      <c r="A428">
        <v>299</v>
      </c>
      <c r="B428">
        <v>53</v>
      </c>
      <c r="C428">
        <v>80</v>
      </c>
      <c r="D428">
        <v>80</v>
      </c>
      <c r="E428">
        <v>0.01</v>
      </c>
      <c r="F428">
        <v>0</v>
      </c>
      <c r="G428">
        <v>0</v>
      </c>
      <c r="H428">
        <v>0</v>
      </c>
      <c r="I428">
        <v>0</v>
      </c>
    </row>
    <row r="429" spans="1:9" x14ac:dyDescent="0.25">
      <c r="A429">
        <v>508</v>
      </c>
      <c r="B429" t="s">
        <v>173</v>
      </c>
      <c r="C429">
        <v>62</v>
      </c>
      <c r="D429">
        <v>150</v>
      </c>
      <c r="E429">
        <v>0.01</v>
      </c>
      <c r="F429">
        <v>0</v>
      </c>
      <c r="G429">
        <v>2.7734999999999999</v>
      </c>
      <c r="H429">
        <v>0</v>
      </c>
      <c r="I429">
        <v>0</v>
      </c>
    </row>
    <row r="430" spans="1:9" x14ac:dyDescent="0.25">
      <c r="A430">
        <v>308</v>
      </c>
      <c r="B430">
        <v>61</v>
      </c>
      <c r="C430">
        <v>62</v>
      </c>
      <c r="D430">
        <v>75</v>
      </c>
      <c r="E430">
        <v>0.01</v>
      </c>
      <c r="F430">
        <v>0</v>
      </c>
      <c r="G430">
        <v>0</v>
      </c>
      <c r="H430">
        <v>0</v>
      </c>
      <c r="I430">
        <v>0</v>
      </c>
    </row>
    <row r="431" spans="1:9" x14ac:dyDescent="0.25">
      <c r="A431">
        <v>263</v>
      </c>
      <c r="B431">
        <v>335</v>
      </c>
      <c r="C431">
        <v>62</v>
      </c>
      <c r="D431">
        <v>120</v>
      </c>
      <c r="E431">
        <v>0.01</v>
      </c>
      <c r="F431">
        <v>0</v>
      </c>
      <c r="G431">
        <v>2.8105000000000002</v>
      </c>
      <c r="H431">
        <v>0</v>
      </c>
      <c r="I431">
        <v>0</v>
      </c>
    </row>
    <row r="432" spans="1:9" x14ac:dyDescent="0.25">
      <c r="A432">
        <v>391</v>
      </c>
      <c r="B432" t="s">
        <v>174</v>
      </c>
      <c r="C432">
        <v>126</v>
      </c>
      <c r="D432">
        <v>225</v>
      </c>
      <c r="E432">
        <v>0.01</v>
      </c>
      <c r="F432">
        <v>0</v>
      </c>
      <c r="G432">
        <v>0.74150000000000005</v>
      </c>
      <c r="H432">
        <v>0</v>
      </c>
      <c r="I432">
        <v>0</v>
      </c>
    </row>
    <row r="433" spans="1:9" x14ac:dyDescent="0.25">
      <c r="A433">
        <v>30</v>
      </c>
      <c r="B433">
        <v>125</v>
      </c>
      <c r="C433">
        <v>126</v>
      </c>
      <c r="D433">
        <v>80</v>
      </c>
      <c r="E433">
        <v>0.01</v>
      </c>
      <c r="F433">
        <v>0</v>
      </c>
      <c r="G433">
        <v>0</v>
      </c>
      <c r="H433">
        <v>0</v>
      </c>
      <c r="I433">
        <v>0</v>
      </c>
    </row>
    <row r="434" spans="1:9" x14ac:dyDescent="0.25">
      <c r="A434">
        <v>330</v>
      </c>
      <c r="B434">
        <v>81</v>
      </c>
      <c r="C434">
        <v>82</v>
      </c>
      <c r="D434">
        <v>80</v>
      </c>
      <c r="E434">
        <v>0.01</v>
      </c>
      <c r="F434">
        <v>0</v>
      </c>
      <c r="G434">
        <v>0</v>
      </c>
      <c r="H434">
        <v>0</v>
      </c>
      <c r="I434">
        <v>0</v>
      </c>
    </row>
    <row r="435" spans="1:9" x14ac:dyDescent="0.25">
      <c r="A435">
        <v>29</v>
      </c>
      <c r="B435">
        <v>124</v>
      </c>
      <c r="C435">
        <v>161</v>
      </c>
      <c r="D435">
        <v>230</v>
      </c>
      <c r="E435">
        <v>0.01</v>
      </c>
      <c r="F435">
        <v>0</v>
      </c>
      <c r="G435">
        <v>0</v>
      </c>
      <c r="H435">
        <v>0</v>
      </c>
      <c r="I435">
        <v>0</v>
      </c>
    </row>
    <row r="436" spans="1:9" x14ac:dyDescent="0.25">
      <c r="A436">
        <v>495</v>
      </c>
      <c r="B436" t="s">
        <v>175</v>
      </c>
      <c r="C436">
        <v>53</v>
      </c>
      <c r="D436">
        <v>200</v>
      </c>
      <c r="E436">
        <v>0.01</v>
      </c>
      <c r="F436">
        <v>0</v>
      </c>
      <c r="G436">
        <v>0.97199999999999998</v>
      </c>
      <c r="H436">
        <v>0</v>
      </c>
      <c r="I436">
        <v>0</v>
      </c>
    </row>
    <row r="437" spans="1:9" x14ac:dyDescent="0.25">
      <c r="A437">
        <v>486</v>
      </c>
      <c r="B437" t="s">
        <v>176</v>
      </c>
      <c r="C437">
        <v>53</v>
      </c>
      <c r="D437">
        <v>150</v>
      </c>
      <c r="E437">
        <v>0.01</v>
      </c>
      <c r="F437">
        <v>0</v>
      </c>
      <c r="G437">
        <v>1.117</v>
      </c>
      <c r="H437">
        <v>0</v>
      </c>
      <c r="I437">
        <v>0</v>
      </c>
    </row>
    <row r="438" spans="1:9" x14ac:dyDescent="0.25">
      <c r="A438">
        <v>298</v>
      </c>
      <c r="B438">
        <v>52</v>
      </c>
      <c r="C438">
        <v>53</v>
      </c>
      <c r="D438">
        <v>80</v>
      </c>
      <c r="E438">
        <v>0.01</v>
      </c>
      <c r="F438">
        <v>0</v>
      </c>
      <c r="G438">
        <v>0.4</v>
      </c>
      <c r="H438">
        <v>0</v>
      </c>
      <c r="I438">
        <v>0</v>
      </c>
    </row>
    <row r="439" spans="1:9" x14ac:dyDescent="0.25">
      <c r="A439">
        <v>307</v>
      </c>
      <c r="B439">
        <v>60</v>
      </c>
      <c r="C439">
        <v>61</v>
      </c>
      <c r="D439">
        <v>75</v>
      </c>
      <c r="E439">
        <v>0.01</v>
      </c>
      <c r="F439">
        <v>0</v>
      </c>
      <c r="G439">
        <v>0</v>
      </c>
      <c r="H439">
        <v>0</v>
      </c>
      <c r="I439">
        <v>0</v>
      </c>
    </row>
    <row r="440" spans="1:9" x14ac:dyDescent="0.25">
      <c r="A440">
        <v>264</v>
      </c>
      <c r="B440">
        <v>336</v>
      </c>
      <c r="C440">
        <v>61</v>
      </c>
      <c r="D440">
        <v>120</v>
      </c>
      <c r="E440">
        <v>0.01</v>
      </c>
      <c r="F440">
        <v>0</v>
      </c>
      <c r="G440">
        <v>2.7854999999999999</v>
      </c>
      <c r="H440">
        <v>0</v>
      </c>
      <c r="I440">
        <v>0</v>
      </c>
    </row>
    <row r="441" spans="1:9" x14ac:dyDescent="0.25">
      <c r="A441">
        <v>300</v>
      </c>
      <c r="B441">
        <v>54</v>
      </c>
      <c r="C441">
        <v>125</v>
      </c>
      <c r="D441">
        <v>220</v>
      </c>
      <c r="E441">
        <v>0.01</v>
      </c>
      <c r="F441">
        <v>0</v>
      </c>
      <c r="G441">
        <v>0</v>
      </c>
      <c r="H441">
        <v>0</v>
      </c>
      <c r="I441">
        <v>0</v>
      </c>
    </row>
    <row r="442" spans="1:9" x14ac:dyDescent="0.25">
      <c r="A442">
        <v>496</v>
      </c>
      <c r="B442" t="s">
        <v>177</v>
      </c>
      <c r="C442">
        <v>81</v>
      </c>
      <c r="D442">
        <v>80</v>
      </c>
      <c r="E442">
        <v>0.01</v>
      </c>
      <c r="F442">
        <v>0</v>
      </c>
      <c r="G442">
        <v>0</v>
      </c>
      <c r="H442">
        <v>0</v>
      </c>
      <c r="I442">
        <v>0</v>
      </c>
    </row>
    <row r="443" spans="1:9" x14ac:dyDescent="0.25">
      <c r="A443">
        <v>372</v>
      </c>
      <c r="B443" t="s">
        <v>178</v>
      </c>
      <c r="C443">
        <v>124</v>
      </c>
      <c r="D443">
        <v>80</v>
      </c>
      <c r="E443">
        <v>0.01</v>
      </c>
      <c r="F443">
        <v>0</v>
      </c>
      <c r="G443">
        <v>3.8792140000000002</v>
      </c>
      <c r="H443">
        <v>0</v>
      </c>
      <c r="I443">
        <v>0</v>
      </c>
    </row>
    <row r="444" spans="1:9" x14ac:dyDescent="0.25">
      <c r="A444">
        <v>303</v>
      </c>
      <c r="B444">
        <v>57</v>
      </c>
      <c r="C444">
        <v>124</v>
      </c>
      <c r="D444">
        <v>200</v>
      </c>
      <c r="E444">
        <v>0.01</v>
      </c>
      <c r="F444">
        <v>0</v>
      </c>
      <c r="G444">
        <v>0</v>
      </c>
      <c r="H444">
        <v>0</v>
      </c>
      <c r="I444">
        <v>0</v>
      </c>
    </row>
    <row r="445" spans="1:9" x14ac:dyDescent="0.25">
      <c r="A445">
        <v>497</v>
      </c>
      <c r="B445" t="s">
        <v>179</v>
      </c>
      <c r="C445">
        <v>52</v>
      </c>
      <c r="D445">
        <v>210</v>
      </c>
      <c r="E445">
        <v>0.01</v>
      </c>
      <c r="F445">
        <v>0</v>
      </c>
      <c r="G445">
        <v>0.311</v>
      </c>
      <c r="H445">
        <v>0</v>
      </c>
      <c r="I445">
        <v>0</v>
      </c>
    </row>
    <row r="446" spans="1:9" x14ac:dyDescent="0.25">
      <c r="A446">
        <v>487</v>
      </c>
      <c r="B446" t="s">
        <v>180</v>
      </c>
      <c r="C446">
        <v>52</v>
      </c>
      <c r="D446">
        <v>150</v>
      </c>
      <c r="E446">
        <v>0.01</v>
      </c>
      <c r="F446">
        <v>0</v>
      </c>
      <c r="G446">
        <v>0.48499999999999999</v>
      </c>
      <c r="H446">
        <v>0</v>
      </c>
      <c r="I446">
        <v>0</v>
      </c>
    </row>
    <row r="447" spans="1:9" x14ac:dyDescent="0.25">
      <c r="A447">
        <v>297</v>
      </c>
      <c r="B447">
        <v>51</v>
      </c>
      <c r="C447">
        <v>52</v>
      </c>
      <c r="D447">
        <v>80</v>
      </c>
      <c r="E447">
        <v>0.01</v>
      </c>
      <c r="F447">
        <v>0</v>
      </c>
      <c r="G447">
        <v>0</v>
      </c>
      <c r="H447">
        <v>0</v>
      </c>
      <c r="I447">
        <v>0</v>
      </c>
    </row>
    <row r="448" spans="1:9" x14ac:dyDescent="0.25">
      <c r="A448">
        <v>282</v>
      </c>
      <c r="B448">
        <v>38</v>
      </c>
      <c r="C448">
        <v>60</v>
      </c>
      <c r="D448">
        <v>75</v>
      </c>
      <c r="E448">
        <v>0.01</v>
      </c>
      <c r="F448">
        <v>0</v>
      </c>
      <c r="G448">
        <v>0</v>
      </c>
      <c r="H448">
        <v>0</v>
      </c>
      <c r="I448">
        <v>0</v>
      </c>
    </row>
    <row r="449" spans="1:9" x14ac:dyDescent="0.25">
      <c r="A449">
        <v>265</v>
      </c>
      <c r="B449">
        <v>337</v>
      </c>
      <c r="C449">
        <v>60</v>
      </c>
      <c r="D449">
        <v>120</v>
      </c>
      <c r="E449">
        <v>0.01</v>
      </c>
      <c r="F449">
        <v>0</v>
      </c>
      <c r="G449">
        <v>2.5785</v>
      </c>
      <c r="H449">
        <v>0</v>
      </c>
      <c r="I449">
        <v>0</v>
      </c>
    </row>
    <row r="450" spans="1:9" x14ac:dyDescent="0.25">
      <c r="A450">
        <v>301</v>
      </c>
      <c r="B450">
        <v>55</v>
      </c>
      <c r="C450">
        <v>54</v>
      </c>
      <c r="D450">
        <v>80</v>
      </c>
      <c r="E450">
        <v>0.01</v>
      </c>
      <c r="F450">
        <v>0</v>
      </c>
      <c r="G450">
        <v>0.18</v>
      </c>
      <c r="H450">
        <v>0</v>
      </c>
      <c r="I450">
        <v>0</v>
      </c>
    </row>
    <row r="451" spans="1:9" x14ac:dyDescent="0.25">
      <c r="A451">
        <v>302</v>
      </c>
      <c r="B451">
        <v>56</v>
      </c>
      <c r="C451">
        <v>57</v>
      </c>
      <c r="D451">
        <v>50</v>
      </c>
      <c r="E451">
        <v>0.01</v>
      </c>
      <c r="F451">
        <v>0</v>
      </c>
      <c r="G451">
        <v>3.7362139999999999</v>
      </c>
      <c r="H451">
        <v>0</v>
      </c>
      <c r="I451">
        <v>0</v>
      </c>
    </row>
    <row r="452" spans="1:9" x14ac:dyDescent="0.25">
      <c r="A452">
        <v>304</v>
      </c>
      <c r="B452">
        <v>58</v>
      </c>
      <c r="C452">
        <v>57</v>
      </c>
      <c r="D452">
        <v>170</v>
      </c>
      <c r="E452">
        <v>0.01</v>
      </c>
      <c r="F452">
        <v>0</v>
      </c>
      <c r="G452">
        <v>0</v>
      </c>
      <c r="H452">
        <v>0</v>
      </c>
      <c r="I452">
        <v>0</v>
      </c>
    </row>
    <row r="453" spans="1:9" x14ac:dyDescent="0.25">
      <c r="A453">
        <v>272</v>
      </c>
      <c r="B453">
        <v>343</v>
      </c>
      <c r="C453">
        <v>57</v>
      </c>
      <c r="D453">
        <v>550</v>
      </c>
      <c r="E453">
        <v>0.01</v>
      </c>
      <c r="F453">
        <v>0</v>
      </c>
      <c r="G453">
        <v>2.316214</v>
      </c>
      <c r="H453">
        <v>0</v>
      </c>
      <c r="I453">
        <v>0</v>
      </c>
    </row>
    <row r="454" spans="1:9" x14ac:dyDescent="0.25">
      <c r="A454">
        <v>498</v>
      </c>
      <c r="B454" t="s">
        <v>181</v>
      </c>
      <c r="C454">
        <v>51</v>
      </c>
      <c r="D454">
        <v>220</v>
      </c>
      <c r="E454">
        <v>0.01</v>
      </c>
      <c r="F454">
        <v>0</v>
      </c>
      <c r="G454">
        <v>0.05</v>
      </c>
      <c r="H454">
        <v>0</v>
      </c>
      <c r="I454">
        <v>0</v>
      </c>
    </row>
    <row r="455" spans="1:9" x14ac:dyDescent="0.25">
      <c r="A455">
        <v>488</v>
      </c>
      <c r="B455" t="s">
        <v>182</v>
      </c>
      <c r="C455">
        <v>51</v>
      </c>
      <c r="D455">
        <v>150</v>
      </c>
      <c r="E455">
        <v>0.01</v>
      </c>
      <c r="F455">
        <v>0</v>
      </c>
      <c r="G455">
        <v>0.253</v>
      </c>
      <c r="H455">
        <v>0</v>
      </c>
      <c r="I455">
        <v>0</v>
      </c>
    </row>
    <row r="456" spans="1:9" x14ac:dyDescent="0.25">
      <c r="A456">
        <v>283</v>
      </c>
      <c r="B456">
        <v>39</v>
      </c>
      <c r="C456">
        <v>38</v>
      </c>
      <c r="D456">
        <v>80</v>
      </c>
      <c r="E456">
        <v>0.01</v>
      </c>
      <c r="F456">
        <v>0</v>
      </c>
      <c r="G456">
        <v>0.2</v>
      </c>
      <c r="H456">
        <v>0</v>
      </c>
      <c r="I456">
        <v>0</v>
      </c>
    </row>
    <row r="457" spans="1:9" x14ac:dyDescent="0.25">
      <c r="A457">
        <v>281</v>
      </c>
      <c r="B457">
        <v>37</v>
      </c>
      <c r="C457">
        <v>38</v>
      </c>
      <c r="D457">
        <v>150</v>
      </c>
      <c r="E457">
        <v>0.01</v>
      </c>
      <c r="F457">
        <v>0</v>
      </c>
      <c r="G457">
        <v>0.62949999999999995</v>
      </c>
      <c r="H457">
        <v>0</v>
      </c>
      <c r="I457">
        <v>0</v>
      </c>
    </row>
    <row r="458" spans="1:9" x14ac:dyDescent="0.25">
      <c r="A458">
        <v>499</v>
      </c>
      <c r="B458" t="s">
        <v>183</v>
      </c>
      <c r="C458">
        <v>55</v>
      </c>
      <c r="D458">
        <v>80</v>
      </c>
      <c r="E458">
        <v>0.01</v>
      </c>
      <c r="F458">
        <v>0</v>
      </c>
      <c r="G458">
        <v>0</v>
      </c>
      <c r="H458">
        <v>0</v>
      </c>
      <c r="I458">
        <v>0</v>
      </c>
    </row>
    <row r="459" spans="1:9" x14ac:dyDescent="0.25">
      <c r="A459">
        <v>296</v>
      </c>
      <c r="B459">
        <v>50</v>
      </c>
      <c r="C459">
        <v>58</v>
      </c>
      <c r="D459">
        <v>180</v>
      </c>
      <c r="E459">
        <v>0.01</v>
      </c>
      <c r="F459">
        <v>0</v>
      </c>
      <c r="G459">
        <v>2.7772139999999998</v>
      </c>
      <c r="H459">
        <v>0</v>
      </c>
      <c r="I459">
        <v>0</v>
      </c>
    </row>
    <row r="460" spans="1:9" x14ac:dyDescent="0.25">
      <c r="A460">
        <v>305</v>
      </c>
      <c r="B460">
        <v>59</v>
      </c>
      <c r="C460">
        <v>58</v>
      </c>
      <c r="D460">
        <v>180</v>
      </c>
      <c r="E460">
        <v>0.01</v>
      </c>
      <c r="F460">
        <v>0</v>
      </c>
      <c r="G460">
        <v>0</v>
      </c>
      <c r="H460">
        <v>0</v>
      </c>
      <c r="I460">
        <v>0</v>
      </c>
    </row>
    <row r="461" spans="1:9" x14ac:dyDescent="0.25">
      <c r="A461">
        <v>113</v>
      </c>
      <c r="B461">
        <v>20</v>
      </c>
      <c r="C461">
        <v>37</v>
      </c>
      <c r="D461">
        <v>90</v>
      </c>
      <c r="E461">
        <v>0.01</v>
      </c>
      <c r="F461">
        <v>0</v>
      </c>
      <c r="G461">
        <v>0</v>
      </c>
      <c r="H461">
        <v>0</v>
      </c>
      <c r="I461">
        <v>0</v>
      </c>
    </row>
    <row r="462" spans="1:9" x14ac:dyDescent="0.25">
      <c r="A462">
        <v>285</v>
      </c>
      <c r="B462">
        <v>40</v>
      </c>
      <c r="C462">
        <v>39</v>
      </c>
      <c r="D462">
        <v>75</v>
      </c>
      <c r="E462">
        <v>0.01</v>
      </c>
      <c r="F462">
        <v>0</v>
      </c>
      <c r="G462">
        <v>0</v>
      </c>
      <c r="H462">
        <v>0</v>
      </c>
      <c r="I462">
        <v>0</v>
      </c>
    </row>
    <row r="463" spans="1:9" x14ac:dyDescent="0.25">
      <c r="A463">
        <v>293</v>
      </c>
      <c r="B463">
        <v>48</v>
      </c>
      <c r="C463">
        <v>59</v>
      </c>
      <c r="D463">
        <v>90</v>
      </c>
      <c r="E463">
        <v>0.01</v>
      </c>
      <c r="F463">
        <v>0</v>
      </c>
      <c r="G463">
        <v>0.2</v>
      </c>
      <c r="H463">
        <v>0</v>
      </c>
      <c r="I463">
        <v>0</v>
      </c>
    </row>
    <row r="464" spans="1:9" x14ac:dyDescent="0.25">
      <c r="A464">
        <v>294</v>
      </c>
      <c r="B464">
        <v>49</v>
      </c>
      <c r="C464">
        <v>59</v>
      </c>
      <c r="D464">
        <v>80</v>
      </c>
      <c r="E464">
        <v>0.01</v>
      </c>
      <c r="F464">
        <v>0</v>
      </c>
      <c r="G464">
        <v>2.676714</v>
      </c>
      <c r="H464">
        <v>0</v>
      </c>
      <c r="I464">
        <v>0</v>
      </c>
    </row>
    <row r="465" spans="1:9" x14ac:dyDescent="0.25">
      <c r="A465">
        <v>494</v>
      </c>
      <c r="B465" t="s">
        <v>184</v>
      </c>
      <c r="C465">
        <v>50</v>
      </c>
      <c r="D465">
        <v>160</v>
      </c>
      <c r="E465">
        <v>0.01</v>
      </c>
      <c r="F465">
        <v>0</v>
      </c>
      <c r="G465">
        <v>0.05</v>
      </c>
      <c r="H465">
        <v>0</v>
      </c>
      <c r="I465">
        <v>0</v>
      </c>
    </row>
    <row r="466" spans="1:9" x14ac:dyDescent="0.25">
      <c r="A466">
        <v>489</v>
      </c>
      <c r="B466" t="s">
        <v>185</v>
      </c>
      <c r="C466">
        <v>50</v>
      </c>
      <c r="D466">
        <v>150</v>
      </c>
      <c r="E466">
        <v>0.01</v>
      </c>
      <c r="F466">
        <v>0</v>
      </c>
      <c r="G466">
        <v>7.9000000000000001E-2</v>
      </c>
      <c r="H466">
        <v>0</v>
      </c>
      <c r="I466">
        <v>0</v>
      </c>
    </row>
    <row r="467" spans="1:9" x14ac:dyDescent="0.25">
      <c r="A467">
        <v>101</v>
      </c>
      <c r="B467">
        <v>19</v>
      </c>
      <c r="C467">
        <v>20</v>
      </c>
      <c r="D467">
        <v>90</v>
      </c>
      <c r="E467">
        <v>0.01</v>
      </c>
      <c r="F467">
        <v>0</v>
      </c>
      <c r="G467">
        <v>7.0000000000000007E-2</v>
      </c>
      <c r="H467">
        <v>0</v>
      </c>
      <c r="I467">
        <v>0</v>
      </c>
    </row>
    <row r="468" spans="1:9" x14ac:dyDescent="0.25">
      <c r="A468">
        <v>286</v>
      </c>
      <c r="B468">
        <v>41</v>
      </c>
      <c r="C468">
        <v>40</v>
      </c>
      <c r="D468">
        <v>155</v>
      </c>
      <c r="E468">
        <v>0.01</v>
      </c>
      <c r="F468">
        <v>0</v>
      </c>
      <c r="G468">
        <v>0.2</v>
      </c>
      <c r="H468">
        <v>0</v>
      </c>
      <c r="I468">
        <v>0</v>
      </c>
    </row>
    <row r="469" spans="1:9" x14ac:dyDescent="0.25">
      <c r="A469">
        <v>280</v>
      </c>
      <c r="B469">
        <v>36</v>
      </c>
      <c r="C469">
        <v>40</v>
      </c>
      <c r="D469">
        <v>150</v>
      </c>
      <c r="E469">
        <v>0.01</v>
      </c>
      <c r="F469">
        <v>0</v>
      </c>
      <c r="G469">
        <v>1.6830000000000001</v>
      </c>
      <c r="H469">
        <v>0</v>
      </c>
      <c r="I469">
        <v>0</v>
      </c>
    </row>
    <row r="470" spans="1:9" x14ac:dyDescent="0.25">
      <c r="A470">
        <v>493</v>
      </c>
      <c r="B470" t="s">
        <v>186</v>
      </c>
      <c r="C470">
        <v>49</v>
      </c>
      <c r="D470">
        <v>150</v>
      </c>
      <c r="E470">
        <v>0.01</v>
      </c>
      <c r="F470">
        <v>0</v>
      </c>
      <c r="G470">
        <v>0.2175</v>
      </c>
      <c r="H470">
        <v>0</v>
      </c>
      <c r="I470">
        <v>0</v>
      </c>
    </row>
    <row r="471" spans="1:9" x14ac:dyDescent="0.25">
      <c r="A471">
        <v>287</v>
      </c>
      <c r="B471">
        <v>42</v>
      </c>
      <c r="C471">
        <v>49</v>
      </c>
      <c r="D471">
        <v>150</v>
      </c>
      <c r="E471">
        <v>0.01</v>
      </c>
      <c r="F471">
        <v>0</v>
      </c>
      <c r="G471">
        <v>0</v>
      </c>
      <c r="H471">
        <v>0</v>
      </c>
      <c r="I471">
        <v>0</v>
      </c>
    </row>
    <row r="472" spans="1:9" x14ac:dyDescent="0.25">
      <c r="A472">
        <v>288</v>
      </c>
      <c r="B472">
        <v>43</v>
      </c>
      <c r="C472">
        <v>48</v>
      </c>
      <c r="D472">
        <v>180</v>
      </c>
      <c r="E472">
        <v>0.01</v>
      </c>
      <c r="F472">
        <v>0</v>
      </c>
      <c r="G472">
        <v>2.249714</v>
      </c>
      <c r="H472">
        <v>0</v>
      </c>
      <c r="I472">
        <v>0</v>
      </c>
    </row>
    <row r="473" spans="1:9" x14ac:dyDescent="0.25">
      <c r="A473">
        <v>292</v>
      </c>
      <c r="B473">
        <v>47</v>
      </c>
      <c r="C473">
        <v>48</v>
      </c>
      <c r="D473">
        <v>155</v>
      </c>
      <c r="E473">
        <v>0.01</v>
      </c>
      <c r="F473">
        <v>0</v>
      </c>
      <c r="G473">
        <v>0</v>
      </c>
      <c r="H473">
        <v>0</v>
      </c>
      <c r="I473">
        <v>0</v>
      </c>
    </row>
    <row r="474" spans="1:9" x14ac:dyDescent="0.25">
      <c r="A474">
        <v>90</v>
      </c>
      <c r="B474">
        <v>18</v>
      </c>
      <c r="C474">
        <v>19</v>
      </c>
      <c r="D474">
        <v>160</v>
      </c>
      <c r="E474">
        <v>0.01</v>
      </c>
      <c r="F474">
        <v>0</v>
      </c>
      <c r="G474">
        <v>0</v>
      </c>
      <c r="H474">
        <v>0</v>
      </c>
      <c r="I474">
        <v>0</v>
      </c>
    </row>
    <row r="475" spans="1:9" x14ac:dyDescent="0.25">
      <c r="A475">
        <v>485</v>
      </c>
      <c r="B475" t="s">
        <v>187</v>
      </c>
      <c r="C475">
        <v>36</v>
      </c>
      <c r="D475">
        <v>160</v>
      </c>
      <c r="E475">
        <v>0.01</v>
      </c>
      <c r="F475">
        <v>0</v>
      </c>
      <c r="G475">
        <v>0</v>
      </c>
      <c r="H475">
        <v>0</v>
      </c>
      <c r="I475">
        <v>0</v>
      </c>
    </row>
    <row r="476" spans="1:9" x14ac:dyDescent="0.25">
      <c r="A476">
        <v>484</v>
      </c>
      <c r="B476" t="s">
        <v>188</v>
      </c>
      <c r="C476">
        <v>36</v>
      </c>
      <c r="D476">
        <v>160</v>
      </c>
      <c r="E476">
        <v>0.01</v>
      </c>
      <c r="F476">
        <v>0</v>
      </c>
      <c r="G476">
        <v>0</v>
      </c>
      <c r="H476">
        <v>0</v>
      </c>
      <c r="I476">
        <v>0</v>
      </c>
    </row>
    <row r="477" spans="1:9" x14ac:dyDescent="0.25">
      <c r="A477">
        <v>124</v>
      </c>
      <c r="B477">
        <v>21</v>
      </c>
      <c r="C477">
        <v>36</v>
      </c>
      <c r="D477">
        <v>95</v>
      </c>
      <c r="E477">
        <v>0.01</v>
      </c>
      <c r="F477">
        <v>0</v>
      </c>
      <c r="G477">
        <v>0.1885</v>
      </c>
      <c r="H477">
        <v>0</v>
      </c>
      <c r="I477">
        <v>0</v>
      </c>
    </row>
    <row r="478" spans="1:9" x14ac:dyDescent="0.25">
      <c r="A478">
        <v>490</v>
      </c>
      <c r="B478" t="s">
        <v>189</v>
      </c>
      <c r="C478">
        <v>41</v>
      </c>
      <c r="D478">
        <v>155</v>
      </c>
      <c r="E478">
        <v>0.01</v>
      </c>
      <c r="F478">
        <v>0</v>
      </c>
      <c r="G478">
        <v>1.669</v>
      </c>
      <c r="H478">
        <v>0</v>
      </c>
      <c r="I478">
        <v>0</v>
      </c>
    </row>
    <row r="479" spans="1:9" x14ac:dyDescent="0.25">
      <c r="A479">
        <v>278</v>
      </c>
      <c r="B479">
        <v>35</v>
      </c>
      <c r="C479">
        <v>41</v>
      </c>
      <c r="D479">
        <v>150</v>
      </c>
      <c r="E479">
        <v>0.01</v>
      </c>
      <c r="F479">
        <v>0</v>
      </c>
      <c r="G479">
        <v>0</v>
      </c>
      <c r="H479">
        <v>0</v>
      </c>
      <c r="I479">
        <v>0</v>
      </c>
    </row>
    <row r="480" spans="1:9" x14ac:dyDescent="0.25">
      <c r="A480">
        <v>491</v>
      </c>
      <c r="B480" t="s">
        <v>190</v>
      </c>
      <c r="C480">
        <v>42</v>
      </c>
      <c r="D480">
        <v>75</v>
      </c>
      <c r="E480">
        <v>0.01</v>
      </c>
      <c r="F480">
        <v>0</v>
      </c>
      <c r="G480">
        <v>0</v>
      </c>
      <c r="H480">
        <v>0</v>
      </c>
      <c r="I480">
        <v>0</v>
      </c>
    </row>
    <row r="481" spans="1:9" x14ac:dyDescent="0.25">
      <c r="A481">
        <v>290</v>
      </c>
      <c r="B481">
        <v>45</v>
      </c>
      <c r="C481">
        <v>47</v>
      </c>
      <c r="D481">
        <v>160</v>
      </c>
      <c r="E481">
        <v>0.01</v>
      </c>
      <c r="F481">
        <v>0</v>
      </c>
      <c r="G481">
        <v>0</v>
      </c>
      <c r="H481">
        <v>0</v>
      </c>
      <c r="I481">
        <v>0</v>
      </c>
    </row>
    <row r="482" spans="1:9" x14ac:dyDescent="0.25">
      <c r="A482">
        <v>271</v>
      </c>
      <c r="B482">
        <v>342</v>
      </c>
      <c r="C482">
        <v>47</v>
      </c>
      <c r="D482">
        <v>250</v>
      </c>
      <c r="E482">
        <v>0.01</v>
      </c>
      <c r="F482">
        <v>0</v>
      </c>
      <c r="G482">
        <v>2.3447140000000002</v>
      </c>
      <c r="H482">
        <v>0</v>
      </c>
      <c r="I482">
        <v>0</v>
      </c>
    </row>
    <row r="483" spans="1:9" x14ac:dyDescent="0.25">
      <c r="A483">
        <v>289</v>
      </c>
      <c r="B483">
        <v>44</v>
      </c>
      <c r="C483">
        <v>47</v>
      </c>
      <c r="D483">
        <v>110</v>
      </c>
      <c r="E483">
        <v>0.01</v>
      </c>
      <c r="F483">
        <v>0</v>
      </c>
      <c r="G483">
        <v>1.2067140000000001</v>
      </c>
      <c r="H483">
        <v>0</v>
      </c>
      <c r="I483">
        <v>0</v>
      </c>
    </row>
    <row r="484" spans="1:9" x14ac:dyDescent="0.25">
      <c r="A484">
        <v>492</v>
      </c>
      <c r="B484" t="s">
        <v>191</v>
      </c>
      <c r="C484">
        <v>43</v>
      </c>
      <c r="D484">
        <v>155</v>
      </c>
      <c r="E484">
        <v>0.01</v>
      </c>
      <c r="F484">
        <v>0</v>
      </c>
      <c r="G484">
        <v>0.05</v>
      </c>
      <c r="H484">
        <v>0</v>
      </c>
      <c r="I484">
        <v>0</v>
      </c>
    </row>
    <row r="485" spans="1:9" x14ac:dyDescent="0.25">
      <c r="A485">
        <v>440</v>
      </c>
      <c r="B485" t="s">
        <v>192</v>
      </c>
      <c r="C485">
        <v>18</v>
      </c>
      <c r="D485">
        <v>110</v>
      </c>
      <c r="E485">
        <v>0.01</v>
      </c>
      <c r="F485">
        <v>0</v>
      </c>
      <c r="G485">
        <v>1.0820000000000001</v>
      </c>
      <c r="H485">
        <v>0</v>
      </c>
      <c r="I485">
        <v>0</v>
      </c>
    </row>
    <row r="486" spans="1:9" x14ac:dyDescent="0.25">
      <c r="A486">
        <v>79</v>
      </c>
      <c r="B486">
        <v>17</v>
      </c>
      <c r="C486">
        <v>18</v>
      </c>
      <c r="D486">
        <v>150</v>
      </c>
      <c r="E486">
        <v>0.01</v>
      </c>
      <c r="F486">
        <v>0</v>
      </c>
      <c r="G486">
        <v>0</v>
      </c>
      <c r="H486">
        <v>0</v>
      </c>
      <c r="I486">
        <v>0</v>
      </c>
    </row>
    <row r="487" spans="1:9" x14ac:dyDescent="0.25">
      <c r="A487">
        <v>268</v>
      </c>
      <c r="B487">
        <v>34</v>
      </c>
      <c r="C487">
        <v>35</v>
      </c>
      <c r="D487">
        <v>80</v>
      </c>
      <c r="E487">
        <v>0.01</v>
      </c>
      <c r="F487">
        <v>0</v>
      </c>
      <c r="G487">
        <v>0</v>
      </c>
      <c r="H487">
        <v>0</v>
      </c>
      <c r="I487">
        <v>0</v>
      </c>
    </row>
    <row r="488" spans="1:9" x14ac:dyDescent="0.25">
      <c r="A488">
        <v>135</v>
      </c>
      <c r="B488">
        <v>22</v>
      </c>
      <c r="C488">
        <v>35</v>
      </c>
      <c r="D488">
        <v>120</v>
      </c>
      <c r="E488">
        <v>0.01</v>
      </c>
      <c r="F488">
        <v>0</v>
      </c>
      <c r="G488">
        <v>1.2255</v>
      </c>
      <c r="H488">
        <v>0</v>
      </c>
      <c r="I488">
        <v>0</v>
      </c>
    </row>
    <row r="489" spans="1:9" x14ac:dyDescent="0.25">
      <c r="A489">
        <v>224</v>
      </c>
      <c r="B489">
        <v>30</v>
      </c>
      <c r="C489">
        <v>44</v>
      </c>
      <c r="D489">
        <v>150</v>
      </c>
      <c r="E489">
        <v>0.01</v>
      </c>
      <c r="F489">
        <v>0</v>
      </c>
      <c r="G489">
        <v>0</v>
      </c>
      <c r="H489">
        <v>0</v>
      </c>
      <c r="I489">
        <v>0</v>
      </c>
    </row>
    <row r="490" spans="1:9" x14ac:dyDescent="0.25">
      <c r="A490">
        <v>317</v>
      </c>
      <c r="B490">
        <v>7</v>
      </c>
      <c r="C490">
        <v>45</v>
      </c>
      <c r="D490">
        <v>170</v>
      </c>
      <c r="E490">
        <v>0.01</v>
      </c>
      <c r="F490">
        <v>0</v>
      </c>
      <c r="G490">
        <v>1.261714</v>
      </c>
      <c r="H490">
        <v>0</v>
      </c>
      <c r="I490">
        <v>0</v>
      </c>
    </row>
    <row r="491" spans="1:9" x14ac:dyDescent="0.25">
      <c r="A491">
        <v>291</v>
      </c>
      <c r="B491">
        <v>46</v>
      </c>
      <c r="C491">
        <v>45</v>
      </c>
      <c r="D491">
        <v>130</v>
      </c>
      <c r="E491">
        <v>0.01</v>
      </c>
      <c r="F491">
        <v>0</v>
      </c>
      <c r="G491">
        <v>0.2</v>
      </c>
      <c r="H491">
        <v>0</v>
      </c>
      <c r="I491">
        <v>0</v>
      </c>
    </row>
    <row r="492" spans="1:9" x14ac:dyDescent="0.25">
      <c r="A492">
        <v>68</v>
      </c>
      <c r="B492">
        <v>16</v>
      </c>
      <c r="C492">
        <v>17</v>
      </c>
      <c r="D492">
        <v>80</v>
      </c>
      <c r="E492">
        <v>0.01</v>
      </c>
      <c r="F492">
        <v>0</v>
      </c>
      <c r="G492">
        <v>0</v>
      </c>
      <c r="H492">
        <v>0</v>
      </c>
      <c r="I492">
        <v>0</v>
      </c>
    </row>
    <row r="493" spans="1:9" x14ac:dyDescent="0.25">
      <c r="A493">
        <v>410</v>
      </c>
      <c r="B493" t="s">
        <v>193</v>
      </c>
      <c r="C493">
        <v>22</v>
      </c>
      <c r="D493">
        <v>100</v>
      </c>
      <c r="E493">
        <v>0.01</v>
      </c>
      <c r="F493">
        <v>0</v>
      </c>
      <c r="G493">
        <v>0</v>
      </c>
      <c r="H493">
        <v>0</v>
      </c>
      <c r="I493">
        <v>0</v>
      </c>
    </row>
    <row r="494" spans="1:9" x14ac:dyDescent="0.25">
      <c r="A494">
        <v>257</v>
      </c>
      <c r="B494">
        <v>33</v>
      </c>
      <c r="C494">
        <v>34</v>
      </c>
      <c r="D494">
        <v>80</v>
      </c>
      <c r="E494">
        <v>0.01</v>
      </c>
      <c r="F494">
        <v>0</v>
      </c>
      <c r="G494">
        <v>0.27</v>
      </c>
      <c r="H494">
        <v>0</v>
      </c>
      <c r="I494">
        <v>0</v>
      </c>
    </row>
    <row r="495" spans="1:9" x14ac:dyDescent="0.25">
      <c r="A495">
        <v>146</v>
      </c>
      <c r="B495">
        <v>23</v>
      </c>
      <c r="C495">
        <v>34</v>
      </c>
      <c r="D495">
        <v>125</v>
      </c>
      <c r="E495">
        <v>0.01</v>
      </c>
      <c r="F495">
        <v>0</v>
      </c>
      <c r="G495">
        <v>1.365</v>
      </c>
      <c r="H495">
        <v>0</v>
      </c>
      <c r="I495">
        <v>0</v>
      </c>
    </row>
    <row r="496" spans="1:9" x14ac:dyDescent="0.25">
      <c r="A496">
        <v>482</v>
      </c>
      <c r="B496" t="s">
        <v>194</v>
      </c>
      <c r="C496">
        <v>30</v>
      </c>
      <c r="D496">
        <v>80</v>
      </c>
      <c r="E496">
        <v>0.01</v>
      </c>
      <c r="F496">
        <v>0</v>
      </c>
      <c r="G496">
        <v>1.137</v>
      </c>
      <c r="H496">
        <v>0</v>
      </c>
      <c r="I496">
        <v>0</v>
      </c>
    </row>
    <row r="497" spans="1:9" x14ac:dyDescent="0.25">
      <c r="A497">
        <v>212</v>
      </c>
      <c r="B497">
        <v>29</v>
      </c>
      <c r="C497">
        <v>30</v>
      </c>
      <c r="D497">
        <v>60</v>
      </c>
      <c r="E497">
        <v>0.01</v>
      </c>
      <c r="F497">
        <v>0</v>
      </c>
      <c r="G497">
        <v>0.18</v>
      </c>
      <c r="H497">
        <v>0</v>
      </c>
      <c r="I497">
        <v>0</v>
      </c>
    </row>
    <row r="498" spans="1:9" x14ac:dyDescent="0.25">
      <c r="A498">
        <v>190</v>
      </c>
      <c r="B498">
        <v>27</v>
      </c>
      <c r="C498">
        <v>30</v>
      </c>
      <c r="D498">
        <v>160</v>
      </c>
      <c r="E498">
        <v>0.01</v>
      </c>
      <c r="F498">
        <v>0</v>
      </c>
      <c r="G498">
        <v>0.499</v>
      </c>
      <c r="H498">
        <v>0</v>
      </c>
      <c r="I498">
        <v>0</v>
      </c>
    </row>
    <row r="499" spans="1:9" x14ac:dyDescent="0.25">
      <c r="A499">
        <v>328</v>
      </c>
      <c r="B499">
        <v>8</v>
      </c>
      <c r="C499">
        <v>46</v>
      </c>
      <c r="D499">
        <v>110</v>
      </c>
      <c r="E499">
        <v>0.01</v>
      </c>
      <c r="F499">
        <v>0</v>
      </c>
      <c r="G499">
        <v>0</v>
      </c>
      <c r="H499">
        <v>0</v>
      </c>
      <c r="I499">
        <v>0</v>
      </c>
    </row>
    <row r="500" spans="1:9" x14ac:dyDescent="0.25">
      <c r="A500">
        <v>519</v>
      </c>
      <c r="B500" t="s">
        <v>195</v>
      </c>
      <c r="C500">
        <v>7</v>
      </c>
      <c r="D500">
        <v>111</v>
      </c>
      <c r="E500">
        <v>0.01</v>
      </c>
      <c r="F500">
        <v>0</v>
      </c>
      <c r="G500">
        <v>0.98909999999999998</v>
      </c>
      <c r="H500">
        <v>0</v>
      </c>
      <c r="I500">
        <v>0</v>
      </c>
    </row>
    <row r="501" spans="1:9" x14ac:dyDescent="0.25">
      <c r="A501">
        <v>477</v>
      </c>
      <c r="B501" t="s">
        <v>196</v>
      </c>
      <c r="C501">
        <v>7</v>
      </c>
      <c r="D501">
        <v>55</v>
      </c>
      <c r="E501">
        <v>0.01</v>
      </c>
      <c r="F501">
        <v>0</v>
      </c>
      <c r="G501">
        <v>1.1515</v>
      </c>
      <c r="H501">
        <v>0</v>
      </c>
      <c r="I501">
        <v>0</v>
      </c>
    </row>
    <row r="502" spans="1:9" x14ac:dyDescent="0.25">
      <c r="A502">
        <v>306</v>
      </c>
      <c r="B502">
        <v>6</v>
      </c>
      <c r="C502">
        <v>7</v>
      </c>
      <c r="D502">
        <v>150</v>
      </c>
      <c r="E502">
        <v>0.01</v>
      </c>
      <c r="F502">
        <v>0</v>
      </c>
      <c r="G502">
        <v>0</v>
      </c>
      <c r="H502">
        <v>0</v>
      </c>
      <c r="I502">
        <v>0</v>
      </c>
    </row>
    <row r="503" spans="1:9" x14ac:dyDescent="0.25">
      <c r="A503">
        <v>447</v>
      </c>
      <c r="B503" t="s">
        <v>197</v>
      </c>
      <c r="C503">
        <v>16</v>
      </c>
      <c r="D503">
        <v>100</v>
      </c>
      <c r="E503">
        <v>0.01</v>
      </c>
      <c r="F503">
        <v>0</v>
      </c>
      <c r="G503">
        <v>0.67400000000000004</v>
      </c>
      <c r="H503">
        <v>0</v>
      </c>
      <c r="I503">
        <v>0</v>
      </c>
    </row>
    <row r="504" spans="1:9" x14ac:dyDescent="0.25">
      <c r="A504">
        <v>57</v>
      </c>
      <c r="B504">
        <v>15</v>
      </c>
      <c r="C504">
        <v>16</v>
      </c>
      <c r="D504">
        <v>80</v>
      </c>
      <c r="E504">
        <v>0.01</v>
      </c>
      <c r="F504">
        <v>0</v>
      </c>
      <c r="G504">
        <v>0</v>
      </c>
      <c r="H504">
        <v>0</v>
      </c>
      <c r="I504">
        <v>0</v>
      </c>
    </row>
    <row r="505" spans="1:9" x14ac:dyDescent="0.25">
      <c r="A505">
        <v>246</v>
      </c>
      <c r="B505">
        <v>32</v>
      </c>
      <c r="C505">
        <v>33</v>
      </c>
      <c r="D505">
        <v>80</v>
      </c>
      <c r="E505">
        <v>0.01</v>
      </c>
      <c r="F505">
        <v>0</v>
      </c>
      <c r="G505">
        <v>0</v>
      </c>
      <c r="H505">
        <v>0</v>
      </c>
      <c r="I505">
        <v>0</v>
      </c>
    </row>
    <row r="506" spans="1:9" x14ac:dyDescent="0.25">
      <c r="A506">
        <v>157</v>
      </c>
      <c r="B506">
        <v>24</v>
      </c>
      <c r="C506">
        <v>33</v>
      </c>
      <c r="D506">
        <v>135</v>
      </c>
      <c r="E506">
        <v>0.01</v>
      </c>
      <c r="F506">
        <v>0</v>
      </c>
      <c r="G506">
        <v>0.57599999999999996</v>
      </c>
      <c r="H506">
        <v>0</v>
      </c>
      <c r="I506">
        <v>0</v>
      </c>
    </row>
    <row r="507" spans="1:9" x14ac:dyDescent="0.25">
      <c r="A507">
        <v>24</v>
      </c>
      <c r="B507">
        <v>12</v>
      </c>
      <c r="C507">
        <v>27</v>
      </c>
      <c r="D507">
        <v>100</v>
      </c>
      <c r="E507">
        <v>0.01</v>
      </c>
      <c r="F507">
        <v>0</v>
      </c>
      <c r="G507">
        <v>0.18</v>
      </c>
      <c r="H507">
        <v>0</v>
      </c>
      <c r="I507">
        <v>0</v>
      </c>
    </row>
    <row r="508" spans="1:9" x14ac:dyDescent="0.25">
      <c r="A508">
        <v>201</v>
      </c>
      <c r="B508">
        <v>28</v>
      </c>
      <c r="C508">
        <v>29</v>
      </c>
      <c r="D508">
        <v>170</v>
      </c>
      <c r="E508">
        <v>0.01</v>
      </c>
      <c r="F508">
        <v>0</v>
      </c>
      <c r="G508">
        <v>0</v>
      </c>
      <c r="H508">
        <v>0</v>
      </c>
      <c r="I508">
        <v>0</v>
      </c>
    </row>
    <row r="509" spans="1:9" x14ac:dyDescent="0.25">
      <c r="A509">
        <v>339</v>
      </c>
      <c r="B509">
        <v>9</v>
      </c>
      <c r="C509">
        <v>8</v>
      </c>
      <c r="D509">
        <v>50</v>
      </c>
      <c r="E509">
        <v>0.01</v>
      </c>
      <c r="F509">
        <v>0</v>
      </c>
      <c r="G509">
        <v>0</v>
      </c>
      <c r="H509">
        <v>0</v>
      </c>
      <c r="I509">
        <v>0</v>
      </c>
    </row>
    <row r="510" spans="1:9" x14ac:dyDescent="0.25">
      <c r="A510">
        <v>295</v>
      </c>
      <c r="B510">
        <v>5</v>
      </c>
      <c r="C510">
        <v>6</v>
      </c>
      <c r="D510">
        <v>60</v>
      </c>
      <c r="E510">
        <v>0.01</v>
      </c>
      <c r="F510">
        <v>0</v>
      </c>
      <c r="G510">
        <v>0.2</v>
      </c>
      <c r="H510">
        <v>0</v>
      </c>
      <c r="I510">
        <v>0</v>
      </c>
    </row>
    <row r="511" spans="1:9" x14ac:dyDescent="0.25">
      <c r="A511">
        <v>2</v>
      </c>
      <c r="B511">
        <v>10</v>
      </c>
      <c r="C511">
        <v>6</v>
      </c>
      <c r="D511">
        <v>120</v>
      </c>
      <c r="E511">
        <v>0.01</v>
      </c>
      <c r="F511">
        <v>0</v>
      </c>
      <c r="G511">
        <v>0.70799999999999996</v>
      </c>
      <c r="H511">
        <v>0</v>
      </c>
      <c r="I511">
        <v>0</v>
      </c>
    </row>
    <row r="512" spans="1:9" x14ac:dyDescent="0.25">
      <c r="A512">
        <v>46</v>
      </c>
      <c r="B512">
        <v>14</v>
      </c>
      <c r="C512">
        <v>15</v>
      </c>
      <c r="D512">
        <v>80</v>
      </c>
      <c r="E512">
        <v>0.01</v>
      </c>
      <c r="F512">
        <v>0</v>
      </c>
      <c r="G512">
        <v>0.13</v>
      </c>
      <c r="H512">
        <v>0</v>
      </c>
      <c r="I512">
        <v>0</v>
      </c>
    </row>
    <row r="513" spans="1:9" x14ac:dyDescent="0.25">
      <c r="A513">
        <v>383</v>
      </c>
      <c r="B513" t="s">
        <v>198</v>
      </c>
      <c r="C513">
        <v>24</v>
      </c>
      <c r="D513">
        <v>100</v>
      </c>
      <c r="E513">
        <v>0.01</v>
      </c>
      <c r="F513">
        <v>0</v>
      </c>
      <c r="G513">
        <v>0</v>
      </c>
      <c r="H513">
        <v>0</v>
      </c>
      <c r="I513">
        <v>0</v>
      </c>
    </row>
    <row r="514" spans="1:9" x14ac:dyDescent="0.25">
      <c r="A514">
        <v>235</v>
      </c>
      <c r="B514">
        <v>31</v>
      </c>
      <c r="C514">
        <v>32</v>
      </c>
      <c r="D514">
        <v>80</v>
      </c>
      <c r="E514">
        <v>0.01</v>
      </c>
      <c r="F514">
        <v>0</v>
      </c>
      <c r="G514">
        <v>0.13</v>
      </c>
      <c r="H514">
        <v>0</v>
      </c>
      <c r="I514">
        <v>0</v>
      </c>
    </row>
    <row r="515" spans="1:9" x14ac:dyDescent="0.25">
      <c r="A515">
        <v>168</v>
      </c>
      <c r="B515">
        <v>25</v>
      </c>
      <c r="C515">
        <v>32</v>
      </c>
      <c r="D515">
        <v>145</v>
      </c>
      <c r="E515">
        <v>0.01</v>
      </c>
      <c r="F515">
        <v>0</v>
      </c>
      <c r="G515">
        <v>0.63700000000000001</v>
      </c>
      <c r="H515">
        <v>0</v>
      </c>
      <c r="I515">
        <v>0</v>
      </c>
    </row>
    <row r="516" spans="1:9" x14ac:dyDescent="0.25">
      <c r="A516">
        <v>13</v>
      </c>
      <c r="B516">
        <v>11</v>
      </c>
      <c r="C516">
        <v>28</v>
      </c>
      <c r="D516">
        <v>100</v>
      </c>
      <c r="E516">
        <v>0.01</v>
      </c>
      <c r="F516">
        <v>0</v>
      </c>
      <c r="G516">
        <v>0</v>
      </c>
      <c r="H516">
        <v>0</v>
      </c>
      <c r="I516">
        <v>0</v>
      </c>
    </row>
    <row r="517" spans="1:9" x14ac:dyDescent="0.25">
      <c r="A517">
        <v>112</v>
      </c>
      <c r="B517">
        <v>2</v>
      </c>
      <c r="C517">
        <v>9</v>
      </c>
      <c r="D517">
        <v>145</v>
      </c>
      <c r="E517">
        <v>0.01</v>
      </c>
      <c r="F517">
        <v>0</v>
      </c>
      <c r="G517">
        <v>0.27</v>
      </c>
      <c r="H517">
        <v>0</v>
      </c>
      <c r="I517">
        <v>0</v>
      </c>
    </row>
    <row r="518" spans="1:9" x14ac:dyDescent="0.25">
      <c r="A518">
        <v>266</v>
      </c>
      <c r="B518">
        <v>338</v>
      </c>
      <c r="C518">
        <v>5</v>
      </c>
      <c r="D518">
        <v>120</v>
      </c>
      <c r="E518">
        <v>0.01</v>
      </c>
      <c r="F518">
        <v>0</v>
      </c>
      <c r="G518">
        <v>0.39400000000000002</v>
      </c>
      <c r="H518">
        <v>0</v>
      </c>
      <c r="I518">
        <v>0</v>
      </c>
    </row>
    <row r="519" spans="1:9" x14ac:dyDescent="0.25">
      <c r="A519">
        <v>284</v>
      </c>
      <c r="B519">
        <v>4</v>
      </c>
      <c r="C519">
        <v>5</v>
      </c>
      <c r="D519">
        <v>30</v>
      </c>
      <c r="E519">
        <v>0.01</v>
      </c>
      <c r="F519">
        <v>0</v>
      </c>
      <c r="G519">
        <v>0</v>
      </c>
      <c r="H519">
        <v>0</v>
      </c>
      <c r="I519">
        <v>0</v>
      </c>
    </row>
    <row r="520" spans="1:9" x14ac:dyDescent="0.25">
      <c r="A520">
        <v>454</v>
      </c>
      <c r="B520" t="s">
        <v>199</v>
      </c>
      <c r="C520">
        <v>14</v>
      </c>
      <c r="D520">
        <v>100</v>
      </c>
      <c r="E520">
        <v>0.01</v>
      </c>
      <c r="F520">
        <v>0</v>
      </c>
      <c r="G520">
        <v>0.192</v>
      </c>
      <c r="H520">
        <v>0</v>
      </c>
      <c r="I520">
        <v>0</v>
      </c>
    </row>
    <row r="521" spans="1:9" x14ac:dyDescent="0.25">
      <c r="A521">
        <v>35</v>
      </c>
      <c r="B521">
        <v>13</v>
      </c>
      <c r="C521">
        <v>14</v>
      </c>
      <c r="D521">
        <v>80</v>
      </c>
      <c r="E521">
        <v>0.01</v>
      </c>
      <c r="F521">
        <v>0</v>
      </c>
      <c r="G521">
        <v>0</v>
      </c>
      <c r="H521">
        <v>0</v>
      </c>
      <c r="I521">
        <v>0</v>
      </c>
    </row>
    <row r="522" spans="1:9" x14ac:dyDescent="0.25">
      <c r="A522">
        <v>179</v>
      </c>
      <c r="B522">
        <v>26</v>
      </c>
      <c r="C522">
        <v>31</v>
      </c>
      <c r="D522">
        <v>155</v>
      </c>
      <c r="E522">
        <v>0.01</v>
      </c>
      <c r="F522">
        <v>0</v>
      </c>
      <c r="G522">
        <v>0</v>
      </c>
      <c r="H522">
        <v>0</v>
      </c>
      <c r="I522">
        <v>0</v>
      </c>
    </row>
    <row r="523" spans="1:9" x14ac:dyDescent="0.25">
      <c r="A523">
        <v>367</v>
      </c>
      <c r="B523" t="s">
        <v>200</v>
      </c>
      <c r="C523">
        <v>11</v>
      </c>
      <c r="D523">
        <v>80</v>
      </c>
      <c r="E523">
        <v>0.01</v>
      </c>
      <c r="F523">
        <v>0</v>
      </c>
      <c r="G523">
        <v>0</v>
      </c>
      <c r="H523">
        <v>0</v>
      </c>
      <c r="I523">
        <v>0</v>
      </c>
    </row>
    <row r="524" spans="1:9" x14ac:dyDescent="0.25">
      <c r="A524">
        <v>350</v>
      </c>
      <c r="B524" t="s">
        <v>201</v>
      </c>
      <c r="C524">
        <v>11</v>
      </c>
      <c r="D524">
        <v>80</v>
      </c>
      <c r="E524">
        <v>0.01</v>
      </c>
      <c r="F524">
        <v>0</v>
      </c>
      <c r="G524">
        <v>0</v>
      </c>
      <c r="H524">
        <v>0</v>
      </c>
      <c r="I524">
        <v>0</v>
      </c>
    </row>
    <row r="525" spans="1:9" x14ac:dyDescent="0.25">
      <c r="A525">
        <v>483</v>
      </c>
      <c r="B525" t="s">
        <v>202</v>
      </c>
      <c r="C525">
        <v>2</v>
      </c>
      <c r="D525">
        <v>60</v>
      </c>
      <c r="E525">
        <v>0.01</v>
      </c>
      <c r="F525">
        <v>0</v>
      </c>
      <c r="G525">
        <v>1.449214</v>
      </c>
      <c r="H525">
        <v>0</v>
      </c>
      <c r="I525">
        <v>0</v>
      </c>
    </row>
    <row r="526" spans="1:9" x14ac:dyDescent="0.25">
      <c r="A526">
        <v>233</v>
      </c>
      <c r="B526">
        <v>308</v>
      </c>
      <c r="C526">
        <v>2</v>
      </c>
      <c r="D526">
        <v>197.66</v>
      </c>
      <c r="E526">
        <v>0.01</v>
      </c>
      <c r="F526">
        <v>0</v>
      </c>
      <c r="G526">
        <v>0.13</v>
      </c>
      <c r="H526">
        <v>0</v>
      </c>
      <c r="I526">
        <v>0</v>
      </c>
    </row>
    <row r="527" spans="1:9" x14ac:dyDescent="0.25">
      <c r="A527">
        <v>232</v>
      </c>
      <c r="B527">
        <v>307</v>
      </c>
      <c r="C527">
        <v>2</v>
      </c>
      <c r="D527">
        <v>120</v>
      </c>
      <c r="E527">
        <v>0.01</v>
      </c>
      <c r="F527">
        <v>0</v>
      </c>
      <c r="G527">
        <v>1.143214</v>
      </c>
      <c r="H527">
        <v>0</v>
      </c>
      <c r="I527">
        <v>0</v>
      </c>
    </row>
    <row r="528" spans="1:9" x14ac:dyDescent="0.25">
      <c r="A528">
        <v>267</v>
      </c>
      <c r="B528">
        <v>339</v>
      </c>
      <c r="C528">
        <v>4</v>
      </c>
      <c r="D528">
        <v>120</v>
      </c>
      <c r="E528">
        <v>0.01</v>
      </c>
      <c r="F528">
        <v>0</v>
      </c>
      <c r="G528">
        <v>0.33700000000000002</v>
      </c>
      <c r="H528">
        <v>0</v>
      </c>
      <c r="I528">
        <v>0</v>
      </c>
    </row>
    <row r="529" spans="1:9" x14ac:dyDescent="0.25">
      <c r="A529">
        <v>223</v>
      </c>
      <c r="B529">
        <v>3</v>
      </c>
      <c r="C529">
        <v>4</v>
      </c>
      <c r="D529">
        <v>30</v>
      </c>
      <c r="E529">
        <v>0.01</v>
      </c>
      <c r="F529">
        <v>0</v>
      </c>
      <c r="G529">
        <v>0.25</v>
      </c>
      <c r="H529">
        <v>0</v>
      </c>
      <c r="I529">
        <v>0</v>
      </c>
    </row>
    <row r="530" spans="1:9" x14ac:dyDescent="0.25">
      <c r="A530">
        <v>369</v>
      </c>
      <c r="B530" t="s">
        <v>203</v>
      </c>
      <c r="C530">
        <v>13</v>
      </c>
      <c r="D530">
        <v>80</v>
      </c>
      <c r="E530">
        <v>0.01</v>
      </c>
      <c r="F530">
        <v>0</v>
      </c>
      <c r="G530">
        <v>0.05</v>
      </c>
      <c r="H530">
        <v>0</v>
      </c>
      <c r="I530">
        <v>0</v>
      </c>
    </row>
    <row r="531" spans="1:9" x14ac:dyDescent="0.25">
      <c r="A531">
        <v>373</v>
      </c>
      <c r="B531" t="s">
        <v>204</v>
      </c>
      <c r="C531">
        <v>26</v>
      </c>
      <c r="D531">
        <v>100</v>
      </c>
      <c r="E531">
        <v>0.01</v>
      </c>
      <c r="F531">
        <v>0</v>
      </c>
      <c r="G531">
        <v>0.05</v>
      </c>
      <c r="H531">
        <v>0</v>
      </c>
      <c r="I531">
        <v>0</v>
      </c>
    </row>
    <row r="532" spans="1:9" x14ac:dyDescent="0.25">
      <c r="A532">
        <v>270</v>
      </c>
      <c r="B532">
        <v>341</v>
      </c>
      <c r="C532">
        <v>308</v>
      </c>
      <c r="D532">
        <v>300</v>
      </c>
      <c r="E532">
        <v>0.01</v>
      </c>
      <c r="F532">
        <v>0</v>
      </c>
      <c r="G532">
        <v>0.05</v>
      </c>
      <c r="H532">
        <v>0</v>
      </c>
      <c r="I532">
        <v>0</v>
      </c>
    </row>
    <row r="533" spans="1:9" x14ac:dyDescent="0.25">
      <c r="A533">
        <v>269</v>
      </c>
      <c r="B533">
        <v>340</v>
      </c>
      <c r="C533">
        <v>3</v>
      </c>
      <c r="D533">
        <v>120</v>
      </c>
      <c r="E533">
        <v>0.01</v>
      </c>
      <c r="F533">
        <v>0</v>
      </c>
      <c r="G533">
        <v>0</v>
      </c>
      <c r="H533">
        <v>0</v>
      </c>
      <c r="I53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FCF3E-8113-4C04-8B48-419262860D10}">
  <dimension ref="A1:G533"/>
  <sheetViews>
    <sheetView topLeftCell="A175" workbookViewId="0">
      <selection activeCell="A230" sqref="A230"/>
    </sheetView>
  </sheetViews>
  <sheetFormatPr defaultRowHeight="15" x14ac:dyDescent="0.25"/>
  <sheetData>
    <row r="1" spans="1:7" x14ac:dyDescent="0.25">
      <c r="A1" t="s">
        <v>1</v>
      </c>
    </row>
    <row r="2" spans="1:7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</row>
    <row r="3" spans="1:7" x14ac:dyDescent="0.25">
      <c r="A3" t="s">
        <v>9</v>
      </c>
      <c r="B3" t="s">
        <v>10</v>
      </c>
      <c r="C3" t="s">
        <v>11</v>
      </c>
      <c r="D3" t="s">
        <v>12</v>
      </c>
      <c r="E3" t="s">
        <v>12</v>
      </c>
      <c r="F3" t="s">
        <v>12</v>
      </c>
      <c r="G3" t="s">
        <v>13</v>
      </c>
    </row>
    <row r="4" spans="1:7" x14ac:dyDescent="0.25">
      <c r="A4">
        <v>158</v>
      </c>
      <c r="B4" t="s">
        <v>14</v>
      </c>
      <c r="C4">
        <v>2</v>
      </c>
      <c r="D4">
        <v>0</v>
      </c>
      <c r="E4">
        <v>0</v>
      </c>
      <c r="F4">
        <v>0</v>
      </c>
      <c r="G4">
        <v>1</v>
      </c>
    </row>
    <row r="5" spans="1:7" x14ac:dyDescent="0.25">
      <c r="A5">
        <v>163</v>
      </c>
      <c r="B5" t="s">
        <v>14</v>
      </c>
      <c r="C5">
        <v>0.8</v>
      </c>
      <c r="D5">
        <v>0</v>
      </c>
      <c r="E5">
        <v>0</v>
      </c>
      <c r="F5">
        <v>0</v>
      </c>
      <c r="G5">
        <v>1</v>
      </c>
    </row>
    <row r="6" spans="1:7" x14ac:dyDescent="0.25">
      <c r="A6">
        <v>156</v>
      </c>
      <c r="B6" t="s">
        <v>14</v>
      </c>
      <c r="C6">
        <v>1.5</v>
      </c>
      <c r="D6">
        <v>0</v>
      </c>
      <c r="E6">
        <v>0</v>
      </c>
      <c r="F6">
        <v>0</v>
      </c>
      <c r="G6">
        <v>1</v>
      </c>
    </row>
    <row r="7" spans="1:7" x14ac:dyDescent="0.25">
      <c r="A7">
        <v>153</v>
      </c>
      <c r="B7" t="s">
        <v>14</v>
      </c>
      <c r="C7">
        <v>2</v>
      </c>
      <c r="D7">
        <v>0</v>
      </c>
      <c r="E7">
        <v>0</v>
      </c>
      <c r="F7">
        <v>0</v>
      </c>
      <c r="G7">
        <v>1</v>
      </c>
    </row>
    <row r="8" spans="1:7" x14ac:dyDescent="0.25">
      <c r="A8">
        <v>152</v>
      </c>
      <c r="B8" t="s">
        <v>14</v>
      </c>
      <c r="C8">
        <v>0.4</v>
      </c>
      <c r="D8">
        <v>0</v>
      </c>
      <c r="E8">
        <v>0</v>
      </c>
      <c r="F8">
        <v>0</v>
      </c>
      <c r="G8">
        <v>1</v>
      </c>
    </row>
    <row r="9" spans="1:7" x14ac:dyDescent="0.25">
      <c r="A9">
        <v>149</v>
      </c>
      <c r="B9" t="s">
        <v>14</v>
      </c>
      <c r="C9">
        <v>2</v>
      </c>
      <c r="D9">
        <v>0</v>
      </c>
      <c r="E9">
        <v>0</v>
      </c>
      <c r="F9">
        <v>0</v>
      </c>
      <c r="G9">
        <v>1</v>
      </c>
    </row>
    <row r="10" spans="1:7" x14ac:dyDescent="0.25">
      <c r="A10">
        <v>161</v>
      </c>
      <c r="B10" t="s">
        <v>14</v>
      </c>
      <c r="C10">
        <v>0.53</v>
      </c>
      <c r="D10">
        <v>0</v>
      </c>
      <c r="E10">
        <v>0</v>
      </c>
      <c r="F10">
        <v>0</v>
      </c>
      <c r="G10">
        <v>1</v>
      </c>
    </row>
    <row r="11" spans="1:7" x14ac:dyDescent="0.25">
      <c r="A11">
        <v>155</v>
      </c>
      <c r="B11" t="s">
        <v>14</v>
      </c>
      <c r="C11">
        <v>1.5</v>
      </c>
      <c r="D11">
        <v>0</v>
      </c>
      <c r="E11">
        <v>0</v>
      </c>
      <c r="F11">
        <v>0</v>
      </c>
      <c r="G11">
        <v>1</v>
      </c>
    </row>
    <row r="12" spans="1:7" x14ac:dyDescent="0.25">
      <c r="A12">
        <v>169</v>
      </c>
      <c r="B12" t="s">
        <v>14</v>
      </c>
      <c r="C12">
        <v>0.8</v>
      </c>
      <c r="D12">
        <v>0</v>
      </c>
      <c r="E12">
        <v>0</v>
      </c>
      <c r="F12">
        <v>0</v>
      </c>
      <c r="G12">
        <v>1</v>
      </c>
    </row>
    <row r="13" spans="1:7" x14ac:dyDescent="0.25">
      <c r="A13">
        <v>162</v>
      </c>
      <c r="B13" t="s">
        <v>14</v>
      </c>
      <c r="C13">
        <v>0.35</v>
      </c>
      <c r="D13">
        <v>0</v>
      </c>
      <c r="E13">
        <v>0</v>
      </c>
      <c r="F13">
        <v>0</v>
      </c>
      <c r="G13">
        <v>1</v>
      </c>
    </row>
    <row r="14" spans="1:7" x14ac:dyDescent="0.25">
      <c r="A14">
        <v>148</v>
      </c>
      <c r="B14" t="s">
        <v>14</v>
      </c>
      <c r="C14">
        <v>0.4</v>
      </c>
      <c r="D14">
        <v>0</v>
      </c>
      <c r="E14">
        <v>0</v>
      </c>
      <c r="F14">
        <v>0</v>
      </c>
      <c r="G14">
        <v>1</v>
      </c>
    </row>
    <row r="15" spans="1:7" x14ac:dyDescent="0.25">
      <c r="A15">
        <v>144</v>
      </c>
      <c r="B15" t="s">
        <v>14</v>
      </c>
      <c r="C15">
        <v>2</v>
      </c>
      <c r="D15">
        <v>0</v>
      </c>
      <c r="E15">
        <v>0</v>
      </c>
      <c r="F15">
        <v>0</v>
      </c>
      <c r="G15">
        <v>1</v>
      </c>
    </row>
    <row r="16" spans="1:7" x14ac:dyDescent="0.25">
      <c r="A16">
        <v>151</v>
      </c>
      <c r="B16" t="s">
        <v>14</v>
      </c>
      <c r="C16">
        <v>0.4</v>
      </c>
      <c r="D16">
        <v>0</v>
      </c>
      <c r="E16">
        <v>0</v>
      </c>
      <c r="F16">
        <v>0</v>
      </c>
      <c r="G16">
        <v>1</v>
      </c>
    </row>
    <row r="17" spans="1:7" x14ac:dyDescent="0.25">
      <c r="A17">
        <v>154</v>
      </c>
      <c r="B17" t="s">
        <v>14</v>
      </c>
      <c r="C17">
        <v>1.5</v>
      </c>
      <c r="D17">
        <v>0</v>
      </c>
      <c r="E17">
        <v>0</v>
      </c>
      <c r="F17">
        <v>0</v>
      </c>
      <c r="G17">
        <v>1</v>
      </c>
    </row>
    <row r="18" spans="1:7" x14ac:dyDescent="0.25">
      <c r="A18">
        <v>160</v>
      </c>
      <c r="B18" t="s">
        <v>14</v>
      </c>
      <c r="C18">
        <v>0.4</v>
      </c>
      <c r="D18">
        <v>0</v>
      </c>
      <c r="E18">
        <v>0</v>
      </c>
      <c r="F18">
        <v>0</v>
      </c>
      <c r="G18">
        <v>1</v>
      </c>
    </row>
    <row r="19" spans="1:7" x14ac:dyDescent="0.25">
      <c r="A19">
        <v>450</v>
      </c>
      <c r="B19" t="s">
        <v>14</v>
      </c>
      <c r="C19">
        <v>0.35</v>
      </c>
      <c r="D19">
        <v>0</v>
      </c>
      <c r="E19">
        <v>0</v>
      </c>
      <c r="F19">
        <v>0</v>
      </c>
      <c r="G19">
        <v>1</v>
      </c>
    </row>
    <row r="20" spans="1:7" x14ac:dyDescent="0.25">
      <c r="A20">
        <v>177</v>
      </c>
      <c r="B20" t="s">
        <v>14</v>
      </c>
      <c r="C20">
        <v>0.8</v>
      </c>
      <c r="D20">
        <v>0</v>
      </c>
      <c r="E20">
        <v>0</v>
      </c>
      <c r="F20">
        <v>0</v>
      </c>
      <c r="G20">
        <v>1</v>
      </c>
    </row>
    <row r="21" spans="1:7" x14ac:dyDescent="0.25">
      <c r="A21">
        <v>167</v>
      </c>
      <c r="B21" t="s">
        <v>14</v>
      </c>
      <c r="C21">
        <v>0.6</v>
      </c>
      <c r="D21">
        <v>0</v>
      </c>
      <c r="E21">
        <v>0</v>
      </c>
      <c r="F21">
        <v>0</v>
      </c>
      <c r="G21">
        <v>1</v>
      </c>
    </row>
    <row r="22" spans="1:7" x14ac:dyDescent="0.25">
      <c r="A22">
        <v>143</v>
      </c>
      <c r="B22" t="s">
        <v>14</v>
      </c>
      <c r="C22">
        <v>0.35</v>
      </c>
      <c r="D22">
        <v>0</v>
      </c>
      <c r="E22">
        <v>0</v>
      </c>
      <c r="F22">
        <v>0</v>
      </c>
      <c r="G22">
        <v>1</v>
      </c>
    </row>
    <row r="23" spans="1:7" x14ac:dyDescent="0.25">
      <c r="A23">
        <v>137</v>
      </c>
      <c r="B23" t="s">
        <v>14</v>
      </c>
      <c r="C23">
        <v>2</v>
      </c>
      <c r="D23">
        <v>0</v>
      </c>
      <c r="E23">
        <v>0</v>
      </c>
      <c r="F23">
        <v>0</v>
      </c>
      <c r="G23">
        <v>1</v>
      </c>
    </row>
    <row r="24" spans="1:7" x14ac:dyDescent="0.25">
      <c r="A24">
        <v>147</v>
      </c>
      <c r="B24" t="s">
        <v>14</v>
      </c>
      <c r="C24">
        <v>0.4</v>
      </c>
      <c r="D24">
        <v>0</v>
      </c>
      <c r="E24">
        <v>0</v>
      </c>
      <c r="F24">
        <v>0</v>
      </c>
      <c r="G24">
        <v>1</v>
      </c>
    </row>
    <row r="25" spans="1:7" x14ac:dyDescent="0.25">
      <c r="A25">
        <v>150</v>
      </c>
      <c r="B25" t="s">
        <v>14</v>
      </c>
      <c r="C25">
        <v>0.35</v>
      </c>
      <c r="D25">
        <v>0</v>
      </c>
      <c r="E25">
        <v>0</v>
      </c>
      <c r="F25">
        <v>0</v>
      </c>
      <c r="G25">
        <v>1</v>
      </c>
    </row>
    <row r="26" spans="1:7" x14ac:dyDescent="0.25">
      <c r="A26">
        <v>448</v>
      </c>
      <c r="B26" t="s">
        <v>14</v>
      </c>
      <c r="C26">
        <v>0.35</v>
      </c>
      <c r="D26">
        <v>0</v>
      </c>
      <c r="E26">
        <v>0</v>
      </c>
      <c r="F26">
        <v>0</v>
      </c>
      <c r="G26">
        <v>1</v>
      </c>
    </row>
    <row r="27" spans="1:7" x14ac:dyDescent="0.25">
      <c r="A27">
        <v>159</v>
      </c>
      <c r="B27" t="s">
        <v>14</v>
      </c>
      <c r="C27">
        <v>0.6</v>
      </c>
      <c r="D27">
        <v>0</v>
      </c>
      <c r="E27">
        <v>0</v>
      </c>
      <c r="F27">
        <v>0</v>
      </c>
      <c r="G27">
        <v>1</v>
      </c>
    </row>
    <row r="28" spans="1:7" x14ac:dyDescent="0.25">
      <c r="A28">
        <v>87</v>
      </c>
      <c r="B28" t="s">
        <v>14</v>
      </c>
      <c r="C28">
        <v>1.5</v>
      </c>
      <c r="D28">
        <v>0</v>
      </c>
      <c r="E28">
        <v>0</v>
      </c>
      <c r="F28">
        <v>0</v>
      </c>
      <c r="G28">
        <v>1</v>
      </c>
    </row>
    <row r="29" spans="1:7" x14ac:dyDescent="0.25">
      <c r="A29">
        <v>449</v>
      </c>
      <c r="B29" t="s">
        <v>14</v>
      </c>
      <c r="C29">
        <v>0.35</v>
      </c>
      <c r="D29">
        <v>0</v>
      </c>
      <c r="E29">
        <v>0</v>
      </c>
      <c r="F29">
        <v>0</v>
      </c>
      <c r="G29">
        <v>1</v>
      </c>
    </row>
    <row r="30" spans="1:7" x14ac:dyDescent="0.25">
      <c r="A30">
        <v>451</v>
      </c>
      <c r="B30" t="s">
        <v>14</v>
      </c>
      <c r="C30">
        <v>0.35</v>
      </c>
      <c r="D30">
        <v>0</v>
      </c>
      <c r="E30">
        <v>0</v>
      </c>
      <c r="F30">
        <v>0</v>
      </c>
      <c r="G30">
        <v>1</v>
      </c>
    </row>
    <row r="31" spans="1:7" x14ac:dyDescent="0.25">
      <c r="A31">
        <v>166</v>
      </c>
      <c r="B31" t="s">
        <v>14</v>
      </c>
      <c r="C31">
        <v>0.6</v>
      </c>
      <c r="D31">
        <v>0</v>
      </c>
      <c r="E31">
        <v>0</v>
      </c>
      <c r="F31">
        <v>0</v>
      </c>
      <c r="G31">
        <v>1</v>
      </c>
    </row>
    <row r="32" spans="1:7" x14ac:dyDescent="0.25">
      <c r="A32">
        <v>183</v>
      </c>
      <c r="B32" t="s">
        <v>14</v>
      </c>
      <c r="C32">
        <v>0.8</v>
      </c>
      <c r="D32">
        <v>0</v>
      </c>
      <c r="E32">
        <v>0</v>
      </c>
      <c r="F32">
        <v>0</v>
      </c>
      <c r="G32">
        <v>1</v>
      </c>
    </row>
    <row r="33" spans="1:7" x14ac:dyDescent="0.25">
      <c r="A33">
        <v>176</v>
      </c>
      <c r="B33" t="s">
        <v>14</v>
      </c>
      <c r="C33">
        <v>0.35</v>
      </c>
      <c r="D33">
        <v>0</v>
      </c>
      <c r="E33">
        <v>0</v>
      </c>
      <c r="F33">
        <v>0</v>
      </c>
      <c r="G33">
        <v>1</v>
      </c>
    </row>
    <row r="34" spans="1:7" x14ac:dyDescent="0.25">
      <c r="A34">
        <v>138</v>
      </c>
      <c r="B34" t="s">
        <v>14</v>
      </c>
      <c r="C34">
        <v>0.6</v>
      </c>
      <c r="D34">
        <v>0</v>
      </c>
      <c r="E34">
        <v>0</v>
      </c>
      <c r="F34">
        <v>0</v>
      </c>
      <c r="G34">
        <v>1</v>
      </c>
    </row>
    <row r="35" spans="1:7" x14ac:dyDescent="0.25">
      <c r="A35">
        <v>136</v>
      </c>
      <c r="B35" t="s">
        <v>14</v>
      </c>
      <c r="C35">
        <v>1.5</v>
      </c>
      <c r="D35">
        <v>0</v>
      </c>
      <c r="E35">
        <v>0</v>
      </c>
      <c r="F35">
        <v>0</v>
      </c>
      <c r="G35">
        <v>1</v>
      </c>
    </row>
    <row r="36" spans="1:7" x14ac:dyDescent="0.25">
      <c r="A36">
        <v>142</v>
      </c>
      <c r="B36" t="s">
        <v>14</v>
      </c>
      <c r="C36">
        <v>0.35</v>
      </c>
      <c r="D36">
        <v>0</v>
      </c>
      <c r="E36">
        <v>0</v>
      </c>
      <c r="F36">
        <v>0</v>
      </c>
      <c r="G36">
        <v>1</v>
      </c>
    </row>
    <row r="37" spans="1:7" x14ac:dyDescent="0.25">
      <c r="A37">
        <v>145</v>
      </c>
      <c r="B37" t="s">
        <v>14</v>
      </c>
      <c r="C37">
        <v>0.4</v>
      </c>
      <c r="D37">
        <v>0</v>
      </c>
      <c r="E37">
        <v>0</v>
      </c>
      <c r="F37">
        <v>0</v>
      </c>
      <c r="G37">
        <v>1</v>
      </c>
    </row>
    <row r="38" spans="1:7" x14ac:dyDescent="0.25">
      <c r="A38">
        <v>446</v>
      </c>
      <c r="B38" t="s">
        <v>14</v>
      </c>
      <c r="C38">
        <v>0.35</v>
      </c>
      <c r="D38">
        <v>0</v>
      </c>
      <c r="E38">
        <v>0</v>
      </c>
      <c r="F38">
        <v>0</v>
      </c>
      <c r="G38">
        <v>1</v>
      </c>
    </row>
    <row r="39" spans="1:7" x14ac:dyDescent="0.25">
      <c r="A39">
        <v>88</v>
      </c>
      <c r="B39" t="s">
        <v>14</v>
      </c>
      <c r="C39">
        <v>0.35</v>
      </c>
      <c r="D39">
        <v>0</v>
      </c>
      <c r="E39">
        <v>0</v>
      </c>
      <c r="F39">
        <v>0</v>
      </c>
      <c r="G39">
        <v>1</v>
      </c>
    </row>
    <row r="40" spans="1:7" x14ac:dyDescent="0.25">
      <c r="A40">
        <v>86</v>
      </c>
      <c r="B40" t="s">
        <v>14</v>
      </c>
      <c r="C40">
        <v>1.2</v>
      </c>
      <c r="D40">
        <v>0</v>
      </c>
      <c r="E40">
        <v>0</v>
      </c>
      <c r="F40">
        <v>0</v>
      </c>
      <c r="G40">
        <v>1</v>
      </c>
    </row>
    <row r="41" spans="1:7" x14ac:dyDescent="0.25">
      <c r="A41">
        <v>48</v>
      </c>
      <c r="B41" t="s">
        <v>14</v>
      </c>
      <c r="C41">
        <v>1.5</v>
      </c>
      <c r="D41">
        <v>0</v>
      </c>
      <c r="E41">
        <v>0</v>
      </c>
      <c r="F41">
        <v>0</v>
      </c>
      <c r="G41">
        <v>1</v>
      </c>
    </row>
    <row r="42" spans="1:7" x14ac:dyDescent="0.25">
      <c r="A42">
        <v>419</v>
      </c>
      <c r="B42" t="s">
        <v>14</v>
      </c>
      <c r="C42">
        <v>0.35</v>
      </c>
      <c r="D42">
        <v>0</v>
      </c>
      <c r="E42">
        <v>0</v>
      </c>
      <c r="F42">
        <v>0</v>
      </c>
      <c r="G42">
        <v>1</v>
      </c>
    </row>
    <row r="43" spans="1:7" x14ac:dyDescent="0.25">
      <c r="A43">
        <v>164</v>
      </c>
      <c r="B43" t="s">
        <v>14</v>
      </c>
      <c r="C43">
        <v>0.6</v>
      </c>
      <c r="D43">
        <v>0</v>
      </c>
      <c r="E43">
        <v>0</v>
      </c>
      <c r="F43">
        <v>0</v>
      </c>
      <c r="G43">
        <v>1</v>
      </c>
    </row>
    <row r="44" spans="1:7" x14ac:dyDescent="0.25">
      <c r="A44">
        <v>172</v>
      </c>
      <c r="B44" t="s">
        <v>14</v>
      </c>
      <c r="C44">
        <v>0.6</v>
      </c>
      <c r="D44">
        <v>0</v>
      </c>
      <c r="E44">
        <v>0</v>
      </c>
      <c r="F44">
        <v>0</v>
      </c>
      <c r="G44">
        <v>1</v>
      </c>
    </row>
    <row r="45" spans="1:7" x14ac:dyDescent="0.25">
      <c r="A45">
        <v>165</v>
      </c>
      <c r="B45" t="s">
        <v>14</v>
      </c>
      <c r="C45">
        <v>0.35</v>
      </c>
      <c r="D45">
        <v>0</v>
      </c>
      <c r="E45">
        <v>0</v>
      </c>
      <c r="F45">
        <v>0</v>
      </c>
      <c r="G45">
        <v>1</v>
      </c>
    </row>
    <row r="46" spans="1:7" x14ac:dyDescent="0.25">
      <c r="A46">
        <v>456</v>
      </c>
      <c r="B46" t="s">
        <v>14</v>
      </c>
      <c r="C46">
        <v>0.35</v>
      </c>
      <c r="D46">
        <v>0</v>
      </c>
      <c r="E46">
        <v>0</v>
      </c>
      <c r="F46">
        <v>0</v>
      </c>
      <c r="G46">
        <v>1</v>
      </c>
    </row>
    <row r="47" spans="1:7" x14ac:dyDescent="0.25">
      <c r="A47">
        <v>188</v>
      </c>
      <c r="B47" t="s">
        <v>14</v>
      </c>
      <c r="C47">
        <v>0.8</v>
      </c>
      <c r="D47">
        <v>0</v>
      </c>
      <c r="E47">
        <v>0</v>
      </c>
      <c r="F47">
        <v>0</v>
      </c>
      <c r="G47">
        <v>1</v>
      </c>
    </row>
    <row r="48" spans="1:7" x14ac:dyDescent="0.25">
      <c r="A48">
        <v>182</v>
      </c>
      <c r="B48" t="s">
        <v>14</v>
      </c>
      <c r="C48">
        <v>0.35</v>
      </c>
      <c r="D48">
        <v>0</v>
      </c>
      <c r="E48">
        <v>0</v>
      </c>
      <c r="F48">
        <v>0</v>
      </c>
      <c r="G48">
        <v>1</v>
      </c>
    </row>
    <row r="49" spans="1:7" x14ac:dyDescent="0.25">
      <c r="A49">
        <v>276</v>
      </c>
      <c r="B49" t="s">
        <v>14</v>
      </c>
      <c r="C49">
        <v>0.35</v>
      </c>
      <c r="D49">
        <v>0</v>
      </c>
      <c r="E49">
        <v>0</v>
      </c>
      <c r="F49">
        <v>0</v>
      </c>
      <c r="G49">
        <v>1</v>
      </c>
    </row>
    <row r="50" spans="1:7" x14ac:dyDescent="0.25">
      <c r="A50">
        <v>134</v>
      </c>
      <c r="B50" t="s">
        <v>14</v>
      </c>
      <c r="C50">
        <v>1.5</v>
      </c>
      <c r="D50">
        <v>0</v>
      </c>
      <c r="E50">
        <v>0</v>
      </c>
      <c r="F50">
        <v>0</v>
      </c>
      <c r="G50">
        <v>1</v>
      </c>
    </row>
    <row r="51" spans="1:7" x14ac:dyDescent="0.25">
      <c r="A51">
        <v>128</v>
      </c>
      <c r="B51" t="s">
        <v>14</v>
      </c>
      <c r="C51">
        <v>0.6</v>
      </c>
      <c r="D51">
        <v>0</v>
      </c>
      <c r="E51">
        <v>0</v>
      </c>
      <c r="F51">
        <v>0</v>
      </c>
      <c r="G51">
        <v>1</v>
      </c>
    </row>
    <row r="52" spans="1:7" x14ac:dyDescent="0.25">
      <c r="A52">
        <v>139</v>
      </c>
      <c r="B52" t="s">
        <v>14</v>
      </c>
      <c r="C52">
        <v>0.6</v>
      </c>
      <c r="D52">
        <v>0</v>
      </c>
      <c r="E52">
        <v>0</v>
      </c>
      <c r="F52">
        <v>0</v>
      </c>
      <c r="G52">
        <v>1</v>
      </c>
    </row>
    <row r="53" spans="1:7" x14ac:dyDescent="0.25">
      <c r="A53">
        <v>141</v>
      </c>
      <c r="B53" t="s">
        <v>14</v>
      </c>
      <c r="C53">
        <v>0.35</v>
      </c>
      <c r="D53">
        <v>0</v>
      </c>
      <c r="E53">
        <v>0</v>
      </c>
      <c r="F53">
        <v>0</v>
      </c>
      <c r="G53">
        <v>1</v>
      </c>
    </row>
    <row r="54" spans="1:7" x14ac:dyDescent="0.25">
      <c r="A54">
        <v>445</v>
      </c>
      <c r="B54" t="s">
        <v>14</v>
      </c>
      <c r="C54">
        <v>0.35</v>
      </c>
      <c r="D54">
        <v>0</v>
      </c>
      <c r="E54">
        <v>0</v>
      </c>
      <c r="F54">
        <v>0</v>
      </c>
      <c r="G54">
        <v>1</v>
      </c>
    </row>
    <row r="55" spans="1:7" x14ac:dyDescent="0.25">
      <c r="A55">
        <v>89</v>
      </c>
      <c r="B55" t="s">
        <v>14</v>
      </c>
      <c r="C55">
        <v>0.4</v>
      </c>
      <c r="D55">
        <v>0</v>
      </c>
      <c r="E55">
        <v>0</v>
      </c>
      <c r="F55">
        <v>0</v>
      </c>
      <c r="G55">
        <v>1</v>
      </c>
    </row>
    <row r="56" spans="1:7" x14ac:dyDescent="0.25">
      <c r="A56">
        <v>420</v>
      </c>
      <c r="B56" t="s">
        <v>14</v>
      </c>
      <c r="C56">
        <v>0.35</v>
      </c>
      <c r="D56">
        <v>0</v>
      </c>
      <c r="E56">
        <v>0</v>
      </c>
      <c r="F56">
        <v>0</v>
      </c>
      <c r="G56">
        <v>1</v>
      </c>
    </row>
    <row r="57" spans="1:7" x14ac:dyDescent="0.25">
      <c r="A57">
        <v>49</v>
      </c>
      <c r="B57" t="s">
        <v>14</v>
      </c>
      <c r="C57">
        <v>0.35</v>
      </c>
      <c r="D57">
        <v>0</v>
      </c>
      <c r="E57">
        <v>0</v>
      </c>
      <c r="F57">
        <v>0</v>
      </c>
      <c r="G57">
        <v>1</v>
      </c>
    </row>
    <row r="58" spans="1:7" x14ac:dyDescent="0.25">
      <c r="A58">
        <v>374</v>
      </c>
      <c r="B58" t="s">
        <v>14</v>
      </c>
      <c r="C58">
        <v>0.35</v>
      </c>
      <c r="D58">
        <v>0</v>
      </c>
      <c r="E58">
        <v>0</v>
      </c>
      <c r="F58">
        <v>0</v>
      </c>
      <c r="G58">
        <v>1</v>
      </c>
    </row>
    <row r="59" spans="1:7" x14ac:dyDescent="0.25">
      <c r="A59">
        <v>47</v>
      </c>
      <c r="B59" t="s">
        <v>14</v>
      </c>
      <c r="C59">
        <v>1.5</v>
      </c>
      <c r="D59">
        <v>0</v>
      </c>
      <c r="E59">
        <v>0</v>
      </c>
      <c r="F59">
        <v>0</v>
      </c>
      <c r="G59">
        <v>1</v>
      </c>
    </row>
    <row r="60" spans="1:7" x14ac:dyDescent="0.25">
      <c r="A60">
        <v>23</v>
      </c>
      <c r="B60" t="s">
        <v>14</v>
      </c>
      <c r="C60">
        <v>0.8</v>
      </c>
      <c r="D60">
        <v>0</v>
      </c>
      <c r="E60">
        <v>0</v>
      </c>
      <c r="F60">
        <v>0</v>
      </c>
      <c r="G60">
        <v>1</v>
      </c>
    </row>
    <row r="61" spans="1:7" x14ac:dyDescent="0.25">
      <c r="A61">
        <v>85</v>
      </c>
      <c r="B61" t="s">
        <v>14</v>
      </c>
      <c r="C61">
        <v>1.2</v>
      </c>
      <c r="D61">
        <v>0</v>
      </c>
      <c r="E61">
        <v>0</v>
      </c>
      <c r="F61">
        <v>0</v>
      </c>
      <c r="G61">
        <v>1</v>
      </c>
    </row>
    <row r="62" spans="1:7" x14ac:dyDescent="0.25">
      <c r="A62">
        <v>417</v>
      </c>
      <c r="B62" t="s">
        <v>14</v>
      </c>
      <c r="C62">
        <v>0.35</v>
      </c>
      <c r="D62">
        <v>0</v>
      </c>
      <c r="E62">
        <v>0</v>
      </c>
      <c r="F62">
        <v>0</v>
      </c>
      <c r="G62">
        <v>1</v>
      </c>
    </row>
    <row r="63" spans="1:7" x14ac:dyDescent="0.25">
      <c r="A63">
        <v>170</v>
      </c>
      <c r="B63" t="s">
        <v>14</v>
      </c>
      <c r="C63">
        <v>0.6</v>
      </c>
      <c r="D63">
        <v>0</v>
      </c>
      <c r="E63">
        <v>0</v>
      </c>
      <c r="F63">
        <v>0</v>
      </c>
      <c r="G63">
        <v>1</v>
      </c>
    </row>
    <row r="64" spans="1:7" x14ac:dyDescent="0.25">
      <c r="A64">
        <v>452</v>
      </c>
      <c r="B64" t="s">
        <v>14</v>
      </c>
      <c r="C64">
        <v>0.35</v>
      </c>
      <c r="D64">
        <v>0</v>
      </c>
      <c r="E64">
        <v>0</v>
      </c>
      <c r="F64">
        <v>0</v>
      </c>
      <c r="G64">
        <v>1</v>
      </c>
    </row>
    <row r="65" spans="1:7" x14ac:dyDescent="0.25">
      <c r="A65">
        <v>175</v>
      </c>
      <c r="B65" t="s">
        <v>14</v>
      </c>
      <c r="C65">
        <v>0.53</v>
      </c>
      <c r="D65">
        <v>0</v>
      </c>
      <c r="E65">
        <v>0</v>
      </c>
      <c r="F65">
        <v>0</v>
      </c>
      <c r="G65">
        <v>1</v>
      </c>
    </row>
    <row r="66" spans="1:7" x14ac:dyDescent="0.25">
      <c r="A66">
        <v>171</v>
      </c>
      <c r="B66" t="s">
        <v>14</v>
      </c>
      <c r="C66">
        <v>0.35</v>
      </c>
      <c r="D66">
        <v>0</v>
      </c>
      <c r="E66">
        <v>0</v>
      </c>
      <c r="F66">
        <v>0</v>
      </c>
      <c r="G66">
        <v>1</v>
      </c>
    </row>
    <row r="67" spans="1:7" x14ac:dyDescent="0.25">
      <c r="A67">
        <v>195</v>
      </c>
      <c r="B67" t="s">
        <v>14</v>
      </c>
      <c r="C67">
        <v>0.4</v>
      </c>
      <c r="D67">
        <v>0</v>
      </c>
      <c r="E67">
        <v>0</v>
      </c>
      <c r="F67">
        <v>0</v>
      </c>
      <c r="G67">
        <v>1</v>
      </c>
    </row>
    <row r="68" spans="1:7" x14ac:dyDescent="0.25">
      <c r="A68">
        <v>187</v>
      </c>
      <c r="B68" t="s">
        <v>14</v>
      </c>
      <c r="C68">
        <v>0.8</v>
      </c>
      <c r="D68">
        <v>0</v>
      </c>
      <c r="E68">
        <v>0</v>
      </c>
      <c r="F68">
        <v>0</v>
      </c>
      <c r="G68">
        <v>1</v>
      </c>
    </row>
    <row r="69" spans="1:7" x14ac:dyDescent="0.25">
      <c r="A69">
        <v>129</v>
      </c>
      <c r="B69" t="s">
        <v>14</v>
      </c>
      <c r="C69">
        <v>0.35</v>
      </c>
      <c r="D69">
        <v>0</v>
      </c>
      <c r="E69">
        <v>0</v>
      </c>
      <c r="F69">
        <v>0</v>
      </c>
      <c r="G69">
        <v>1</v>
      </c>
    </row>
    <row r="70" spans="1:7" x14ac:dyDescent="0.25">
      <c r="A70">
        <v>127</v>
      </c>
      <c r="B70" t="s">
        <v>14</v>
      </c>
      <c r="C70">
        <v>0.6</v>
      </c>
      <c r="D70">
        <v>0</v>
      </c>
      <c r="E70">
        <v>0</v>
      </c>
      <c r="F70">
        <v>0</v>
      </c>
      <c r="G70">
        <v>1</v>
      </c>
    </row>
    <row r="71" spans="1:7" x14ac:dyDescent="0.25">
      <c r="A71">
        <v>133</v>
      </c>
      <c r="B71" t="s">
        <v>14</v>
      </c>
      <c r="C71">
        <v>1.5</v>
      </c>
      <c r="D71">
        <v>0</v>
      </c>
      <c r="E71">
        <v>0</v>
      </c>
      <c r="F71">
        <v>0</v>
      </c>
      <c r="G71">
        <v>1</v>
      </c>
    </row>
    <row r="72" spans="1:7" x14ac:dyDescent="0.25">
      <c r="A72">
        <v>140</v>
      </c>
      <c r="B72" t="s">
        <v>14</v>
      </c>
      <c r="C72">
        <v>0.6</v>
      </c>
      <c r="D72">
        <v>0</v>
      </c>
      <c r="E72">
        <v>0</v>
      </c>
      <c r="F72">
        <v>0</v>
      </c>
      <c r="G72">
        <v>1</v>
      </c>
    </row>
    <row r="73" spans="1:7" x14ac:dyDescent="0.25">
      <c r="A73">
        <v>444</v>
      </c>
      <c r="B73" t="s">
        <v>14</v>
      </c>
      <c r="C73">
        <v>0.35</v>
      </c>
      <c r="D73">
        <v>0</v>
      </c>
      <c r="E73">
        <v>0</v>
      </c>
      <c r="F73">
        <v>0</v>
      </c>
      <c r="G73">
        <v>1</v>
      </c>
    </row>
    <row r="74" spans="1:7" x14ac:dyDescent="0.25">
      <c r="A74">
        <v>91</v>
      </c>
      <c r="B74" t="s">
        <v>14</v>
      </c>
      <c r="C74">
        <v>0.35</v>
      </c>
      <c r="D74">
        <v>0</v>
      </c>
      <c r="E74">
        <v>0</v>
      </c>
      <c r="F74">
        <v>0</v>
      </c>
      <c r="G74">
        <v>1</v>
      </c>
    </row>
    <row r="75" spans="1:7" x14ac:dyDescent="0.25">
      <c r="A75">
        <v>421</v>
      </c>
      <c r="B75" t="s">
        <v>14</v>
      </c>
      <c r="C75">
        <v>0.35</v>
      </c>
      <c r="D75">
        <v>0</v>
      </c>
      <c r="E75">
        <v>0</v>
      </c>
      <c r="F75">
        <v>0</v>
      </c>
      <c r="G75">
        <v>1</v>
      </c>
    </row>
    <row r="76" spans="1:7" x14ac:dyDescent="0.25">
      <c r="A76">
        <v>50</v>
      </c>
      <c r="B76" t="s">
        <v>14</v>
      </c>
      <c r="C76">
        <v>0.4</v>
      </c>
      <c r="D76">
        <v>0</v>
      </c>
      <c r="E76">
        <v>0</v>
      </c>
      <c r="F76">
        <v>0</v>
      </c>
      <c r="G76">
        <v>1</v>
      </c>
    </row>
    <row r="77" spans="1:7" x14ac:dyDescent="0.25">
      <c r="A77">
        <v>375</v>
      </c>
      <c r="B77" t="s">
        <v>14</v>
      </c>
      <c r="C77">
        <v>0.35</v>
      </c>
      <c r="D77">
        <v>0</v>
      </c>
      <c r="E77">
        <v>0</v>
      </c>
      <c r="F77">
        <v>0</v>
      </c>
      <c r="G77">
        <v>1</v>
      </c>
    </row>
    <row r="78" spans="1:7" x14ac:dyDescent="0.25">
      <c r="A78">
        <v>22</v>
      </c>
      <c r="B78" t="s">
        <v>14</v>
      </c>
      <c r="C78">
        <v>0.35</v>
      </c>
      <c r="D78">
        <v>0</v>
      </c>
      <c r="E78">
        <v>0</v>
      </c>
      <c r="F78">
        <v>0</v>
      </c>
      <c r="G78">
        <v>1</v>
      </c>
    </row>
    <row r="79" spans="1:7" x14ac:dyDescent="0.25">
      <c r="A79">
        <v>365</v>
      </c>
      <c r="B79" t="s">
        <v>14</v>
      </c>
      <c r="C79">
        <v>0.35</v>
      </c>
      <c r="D79">
        <v>0</v>
      </c>
      <c r="E79">
        <v>0</v>
      </c>
      <c r="F79">
        <v>0</v>
      </c>
      <c r="G79">
        <v>1</v>
      </c>
    </row>
    <row r="80" spans="1:7" x14ac:dyDescent="0.25">
      <c r="A80">
        <v>348</v>
      </c>
      <c r="B80" t="s">
        <v>14</v>
      </c>
      <c r="C80">
        <v>0.8</v>
      </c>
      <c r="D80">
        <v>0</v>
      </c>
      <c r="E80">
        <v>0</v>
      </c>
      <c r="F80">
        <v>0</v>
      </c>
      <c r="G80">
        <v>1</v>
      </c>
    </row>
    <row r="81" spans="1:7" x14ac:dyDescent="0.25">
      <c r="A81">
        <v>418</v>
      </c>
      <c r="B81" t="s">
        <v>14</v>
      </c>
      <c r="C81">
        <v>0.35</v>
      </c>
      <c r="D81">
        <v>0</v>
      </c>
      <c r="E81">
        <v>0</v>
      </c>
      <c r="F81">
        <v>0</v>
      </c>
      <c r="G81">
        <v>1</v>
      </c>
    </row>
    <row r="82" spans="1:7" x14ac:dyDescent="0.25">
      <c r="A82">
        <v>45</v>
      </c>
      <c r="B82" t="s">
        <v>14</v>
      </c>
      <c r="C82">
        <v>0.8</v>
      </c>
      <c r="D82">
        <v>0</v>
      </c>
      <c r="E82">
        <v>0</v>
      </c>
      <c r="F82">
        <v>0</v>
      </c>
      <c r="G82">
        <v>1</v>
      </c>
    </row>
    <row r="83" spans="1:7" x14ac:dyDescent="0.25">
      <c r="A83">
        <v>25</v>
      </c>
      <c r="B83" t="s">
        <v>14</v>
      </c>
      <c r="C83">
        <v>1.5</v>
      </c>
      <c r="D83">
        <v>0</v>
      </c>
      <c r="E83">
        <v>0</v>
      </c>
      <c r="F83">
        <v>0</v>
      </c>
      <c r="G83">
        <v>1</v>
      </c>
    </row>
    <row r="84" spans="1:7" x14ac:dyDescent="0.25">
      <c r="A84">
        <v>84</v>
      </c>
      <c r="B84" t="s">
        <v>14</v>
      </c>
      <c r="C84">
        <v>1.2</v>
      </c>
      <c r="D84">
        <v>0</v>
      </c>
      <c r="E84">
        <v>0</v>
      </c>
      <c r="F84">
        <v>0</v>
      </c>
      <c r="G84">
        <v>1</v>
      </c>
    </row>
    <row r="85" spans="1:7" x14ac:dyDescent="0.25">
      <c r="A85">
        <v>415</v>
      </c>
      <c r="B85" t="s">
        <v>14</v>
      </c>
      <c r="C85">
        <v>0.35</v>
      </c>
      <c r="D85">
        <v>0</v>
      </c>
      <c r="E85">
        <v>0</v>
      </c>
      <c r="F85">
        <v>0</v>
      </c>
      <c r="G85">
        <v>1</v>
      </c>
    </row>
    <row r="86" spans="1:7" x14ac:dyDescent="0.25">
      <c r="A86">
        <v>173</v>
      </c>
      <c r="B86" t="s">
        <v>14</v>
      </c>
      <c r="C86">
        <v>0.6</v>
      </c>
      <c r="D86">
        <v>0</v>
      </c>
      <c r="E86">
        <v>0</v>
      </c>
      <c r="F86">
        <v>0</v>
      </c>
      <c r="G86">
        <v>1</v>
      </c>
    </row>
    <row r="87" spans="1:7" x14ac:dyDescent="0.25">
      <c r="A87">
        <v>453</v>
      </c>
      <c r="B87" t="s">
        <v>14</v>
      </c>
      <c r="C87">
        <v>0.35</v>
      </c>
      <c r="D87">
        <v>0</v>
      </c>
      <c r="E87">
        <v>0</v>
      </c>
      <c r="F87">
        <v>0</v>
      </c>
      <c r="G87">
        <v>1</v>
      </c>
    </row>
    <row r="88" spans="1:7" x14ac:dyDescent="0.25">
      <c r="A88">
        <v>181</v>
      </c>
      <c r="B88" t="s">
        <v>14</v>
      </c>
      <c r="C88">
        <v>0.53</v>
      </c>
      <c r="D88">
        <v>0</v>
      </c>
      <c r="E88">
        <v>0</v>
      </c>
      <c r="F88">
        <v>0</v>
      </c>
      <c r="G88">
        <v>1</v>
      </c>
    </row>
    <row r="89" spans="1:7" x14ac:dyDescent="0.25">
      <c r="A89">
        <v>174</v>
      </c>
      <c r="B89" t="s">
        <v>14</v>
      </c>
      <c r="C89">
        <v>0.35</v>
      </c>
      <c r="D89">
        <v>0</v>
      </c>
      <c r="E89">
        <v>0</v>
      </c>
      <c r="F89">
        <v>0</v>
      </c>
      <c r="G89">
        <v>1</v>
      </c>
    </row>
    <row r="90" spans="1:7" x14ac:dyDescent="0.25">
      <c r="A90">
        <v>460</v>
      </c>
      <c r="B90" t="s">
        <v>14</v>
      </c>
      <c r="C90">
        <v>0.35</v>
      </c>
      <c r="D90">
        <v>0</v>
      </c>
      <c r="E90">
        <v>0</v>
      </c>
      <c r="F90">
        <v>0</v>
      </c>
      <c r="G90">
        <v>1</v>
      </c>
    </row>
    <row r="91" spans="1:7" x14ac:dyDescent="0.25">
      <c r="A91">
        <v>194</v>
      </c>
      <c r="B91" t="s">
        <v>14</v>
      </c>
      <c r="C91">
        <v>0.8</v>
      </c>
      <c r="D91">
        <v>0</v>
      </c>
      <c r="E91">
        <v>0</v>
      </c>
      <c r="F91">
        <v>0</v>
      </c>
      <c r="G91">
        <v>1</v>
      </c>
    </row>
    <row r="92" spans="1:7" x14ac:dyDescent="0.25">
      <c r="A92">
        <v>464</v>
      </c>
      <c r="B92" t="s">
        <v>14</v>
      </c>
      <c r="C92">
        <v>0.35</v>
      </c>
      <c r="D92">
        <v>0</v>
      </c>
      <c r="E92">
        <v>0</v>
      </c>
      <c r="F92">
        <v>0</v>
      </c>
      <c r="G92">
        <v>1</v>
      </c>
    </row>
    <row r="93" spans="1:7" x14ac:dyDescent="0.25">
      <c r="A93">
        <v>216</v>
      </c>
      <c r="B93" t="s">
        <v>14</v>
      </c>
      <c r="C93">
        <v>0.4</v>
      </c>
      <c r="D93">
        <v>0</v>
      </c>
      <c r="E93">
        <v>0</v>
      </c>
      <c r="F93">
        <v>0</v>
      </c>
      <c r="G93">
        <v>1</v>
      </c>
    </row>
    <row r="94" spans="1:7" x14ac:dyDescent="0.25">
      <c r="A94">
        <v>126</v>
      </c>
      <c r="B94" t="s">
        <v>14</v>
      </c>
      <c r="C94">
        <v>0.35</v>
      </c>
      <c r="D94">
        <v>0</v>
      </c>
      <c r="E94">
        <v>0</v>
      </c>
      <c r="F94">
        <v>0</v>
      </c>
      <c r="G94">
        <v>1</v>
      </c>
    </row>
    <row r="95" spans="1:7" x14ac:dyDescent="0.25">
      <c r="A95">
        <v>120</v>
      </c>
      <c r="B95" t="s">
        <v>14</v>
      </c>
      <c r="C95">
        <v>0.4</v>
      </c>
      <c r="D95">
        <v>0</v>
      </c>
      <c r="E95">
        <v>0</v>
      </c>
      <c r="F95">
        <v>0</v>
      </c>
      <c r="G95">
        <v>1</v>
      </c>
    </row>
    <row r="96" spans="1:7" x14ac:dyDescent="0.25">
      <c r="A96">
        <v>439</v>
      </c>
      <c r="B96" t="s">
        <v>14</v>
      </c>
      <c r="C96">
        <v>0.35</v>
      </c>
      <c r="D96">
        <v>0</v>
      </c>
      <c r="E96">
        <v>0</v>
      </c>
      <c r="F96">
        <v>0</v>
      </c>
      <c r="G96">
        <v>1</v>
      </c>
    </row>
    <row r="97" spans="1:7" x14ac:dyDescent="0.25">
      <c r="A97">
        <v>131</v>
      </c>
      <c r="B97" t="s">
        <v>14</v>
      </c>
      <c r="C97">
        <v>0.35</v>
      </c>
      <c r="D97">
        <v>0</v>
      </c>
      <c r="E97">
        <v>0</v>
      </c>
      <c r="F97">
        <v>0</v>
      </c>
      <c r="G97">
        <v>1</v>
      </c>
    </row>
    <row r="98" spans="1:7" x14ac:dyDescent="0.25">
      <c r="A98">
        <v>132</v>
      </c>
      <c r="B98" t="s">
        <v>14</v>
      </c>
      <c r="C98">
        <v>1.2</v>
      </c>
      <c r="D98">
        <v>0</v>
      </c>
      <c r="E98">
        <v>0</v>
      </c>
      <c r="F98">
        <v>0</v>
      </c>
      <c r="G98">
        <v>1</v>
      </c>
    </row>
    <row r="99" spans="1:7" x14ac:dyDescent="0.25">
      <c r="A99">
        <v>443</v>
      </c>
      <c r="B99" t="s">
        <v>14</v>
      </c>
      <c r="C99">
        <v>0.35</v>
      </c>
      <c r="D99">
        <v>0</v>
      </c>
      <c r="E99">
        <v>0</v>
      </c>
      <c r="F99">
        <v>0</v>
      </c>
      <c r="G99">
        <v>1</v>
      </c>
    </row>
    <row r="100" spans="1:7" x14ac:dyDescent="0.25">
      <c r="A100">
        <v>92</v>
      </c>
      <c r="B100" t="s">
        <v>14</v>
      </c>
      <c r="C100">
        <v>0.53</v>
      </c>
      <c r="D100">
        <v>0</v>
      </c>
      <c r="E100">
        <v>0</v>
      </c>
      <c r="F100">
        <v>0</v>
      </c>
      <c r="G100">
        <v>1</v>
      </c>
    </row>
    <row r="101" spans="1:7" x14ac:dyDescent="0.25">
      <c r="A101">
        <v>422</v>
      </c>
      <c r="B101" t="s">
        <v>14</v>
      </c>
      <c r="C101">
        <v>0.35</v>
      </c>
      <c r="D101">
        <v>0</v>
      </c>
      <c r="E101">
        <v>0</v>
      </c>
      <c r="F101">
        <v>0</v>
      </c>
      <c r="G101">
        <v>1</v>
      </c>
    </row>
    <row r="102" spans="1:7" x14ac:dyDescent="0.25">
      <c r="A102">
        <v>51</v>
      </c>
      <c r="B102" t="s">
        <v>14</v>
      </c>
      <c r="C102">
        <v>0.35</v>
      </c>
      <c r="D102">
        <v>0</v>
      </c>
      <c r="E102">
        <v>0</v>
      </c>
      <c r="F102">
        <v>0</v>
      </c>
      <c r="G102">
        <v>1</v>
      </c>
    </row>
    <row r="103" spans="1:7" x14ac:dyDescent="0.25">
      <c r="A103">
        <v>376</v>
      </c>
      <c r="B103" t="s">
        <v>14</v>
      </c>
      <c r="C103">
        <v>0.35</v>
      </c>
      <c r="D103">
        <v>0</v>
      </c>
      <c r="E103">
        <v>0</v>
      </c>
      <c r="F103">
        <v>0</v>
      </c>
      <c r="G103">
        <v>1</v>
      </c>
    </row>
    <row r="104" spans="1:7" x14ac:dyDescent="0.25">
      <c r="A104">
        <v>21</v>
      </c>
      <c r="B104" t="s">
        <v>14</v>
      </c>
      <c r="C104">
        <v>0.4</v>
      </c>
      <c r="D104">
        <v>0</v>
      </c>
      <c r="E104">
        <v>0</v>
      </c>
      <c r="F104">
        <v>0</v>
      </c>
      <c r="G104">
        <v>1</v>
      </c>
    </row>
    <row r="105" spans="1:7" x14ac:dyDescent="0.25">
      <c r="A105">
        <v>364</v>
      </c>
      <c r="B105" t="s">
        <v>14</v>
      </c>
      <c r="C105">
        <v>0.35</v>
      </c>
      <c r="D105">
        <v>0</v>
      </c>
      <c r="E105">
        <v>0</v>
      </c>
      <c r="F105">
        <v>0</v>
      </c>
      <c r="G105">
        <v>1</v>
      </c>
    </row>
    <row r="106" spans="1:7" x14ac:dyDescent="0.25">
      <c r="A106">
        <v>347</v>
      </c>
      <c r="B106" t="s">
        <v>14</v>
      </c>
      <c r="C106">
        <v>0.4</v>
      </c>
      <c r="D106">
        <v>0</v>
      </c>
      <c r="E106">
        <v>0</v>
      </c>
      <c r="F106">
        <v>0</v>
      </c>
      <c r="G106">
        <v>1</v>
      </c>
    </row>
    <row r="107" spans="1:7" x14ac:dyDescent="0.25">
      <c r="A107">
        <v>248</v>
      </c>
      <c r="B107" t="s">
        <v>14</v>
      </c>
      <c r="C107">
        <v>0.53</v>
      </c>
      <c r="D107">
        <v>0</v>
      </c>
      <c r="E107">
        <v>0</v>
      </c>
      <c r="F107">
        <v>0</v>
      </c>
      <c r="G107">
        <v>1</v>
      </c>
    </row>
    <row r="108" spans="1:7" x14ac:dyDescent="0.25">
      <c r="A108">
        <v>349</v>
      </c>
      <c r="B108" t="s">
        <v>14</v>
      </c>
      <c r="C108">
        <v>0.6</v>
      </c>
      <c r="D108">
        <v>0</v>
      </c>
      <c r="E108">
        <v>0</v>
      </c>
      <c r="F108">
        <v>0</v>
      </c>
      <c r="G108">
        <v>1</v>
      </c>
    </row>
    <row r="109" spans="1:7" x14ac:dyDescent="0.25">
      <c r="A109">
        <v>366</v>
      </c>
      <c r="B109" t="s">
        <v>14</v>
      </c>
      <c r="C109">
        <v>0.35</v>
      </c>
      <c r="D109">
        <v>0</v>
      </c>
      <c r="E109">
        <v>0</v>
      </c>
      <c r="F109">
        <v>0</v>
      </c>
      <c r="G109">
        <v>1</v>
      </c>
    </row>
    <row r="110" spans="1:7" x14ac:dyDescent="0.25">
      <c r="A110">
        <v>26</v>
      </c>
      <c r="B110" t="s">
        <v>14</v>
      </c>
      <c r="C110">
        <v>1.5</v>
      </c>
      <c r="D110">
        <v>0</v>
      </c>
      <c r="E110">
        <v>0</v>
      </c>
      <c r="F110">
        <v>0</v>
      </c>
      <c r="G110">
        <v>1</v>
      </c>
    </row>
    <row r="111" spans="1:7" x14ac:dyDescent="0.25">
      <c r="A111">
        <v>416</v>
      </c>
      <c r="B111" t="s">
        <v>14</v>
      </c>
      <c r="C111">
        <v>0.35</v>
      </c>
      <c r="D111">
        <v>0</v>
      </c>
      <c r="E111">
        <v>0</v>
      </c>
      <c r="F111">
        <v>0</v>
      </c>
      <c r="G111">
        <v>1</v>
      </c>
    </row>
    <row r="112" spans="1:7" x14ac:dyDescent="0.25">
      <c r="A112">
        <v>368</v>
      </c>
      <c r="B112" t="s">
        <v>14</v>
      </c>
      <c r="C112">
        <v>0.35</v>
      </c>
      <c r="D112">
        <v>0</v>
      </c>
      <c r="E112">
        <v>0</v>
      </c>
      <c r="F112">
        <v>0</v>
      </c>
      <c r="G112">
        <v>1</v>
      </c>
    </row>
    <row r="113" spans="1:7" x14ac:dyDescent="0.25">
      <c r="A113">
        <v>44</v>
      </c>
      <c r="B113" t="s">
        <v>14</v>
      </c>
      <c r="C113">
        <v>0.8</v>
      </c>
      <c r="D113">
        <v>0</v>
      </c>
      <c r="E113">
        <v>0</v>
      </c>
      <c r="F113">
        <v>0</v>
      </c>
      <c r="G113">
        <v>1</v>
      </c>
    </row>
    <row r="114" spans="1:7" x14ac:dyDescent="0.25">
      <c r="A114">
        <v>83</v>
      </c>
      <c r="B114" t="s">
        <v>14</v>
      </c>
      <c r="C114">
        <v>1.2</v>
      </c>
      <c r="D114">
        <v>0</v>
      </c>
      <c r="E114">
        <v>0</v>
      </c>
      <c r="F114">
        <v>0</v>
      </c>
      <c r="G114">
        <v>1</v>
      </c>
    </row>
    <row r="115" spans="1:7" x14ac:dyDescent="0.25">
      <c r="A115">
        <v>413</v>
      </c>
      <c r="B115" t="s">
        <v>14</v>
      </c>
      <c r="C115">
        <v>0.35</v>
      </c>
      <c r="D115">
        <v>0</v>
      </c>
      <c r="E115">
        <v>0</v>
      </c>
      <c r="F115">
        <v>0</v>
      </c>
      <c r="G115">
        <v>1</v>
      </c>
    </row>
    <row r="116" spans="1:7" x14ac:dyDescent="0.25">
      <c r="A116">
        <v>178</v>
      </c>
      <c r="B116" t="s">
        <v>14</v>
      </c>
      <c r="C116">
        <v>0.6</v>
      </c>
      <c r="D116">
        <v>0</v>
      </c>
      <c r="E116">
        <v>0</v>
      </c>
      <c r="F116">
        <v>0</v>
      </c>
      <c r="G116">
        <v>1</v>
      </c>
    </row>
    <row r="117" spans="1:7" x14ac:dyDescent="0.25">
      <c r="A117">
        <v>455</v>
      </c>
      <c r="B117" t="s">
        <v>14</v>
      </c>
      <c r="C117">
        <v>0.35</v>
      </c>
      <c r="D117">
        <v>0</v>
      </c>
      <c r="E117">
        <v>0</v>
      </c>
      <c r="F117">
        <v>0</v>
      </c>
      <c r="G117">
        <v>1</v>
      </c>
    </row>
    <row r="118" spans="1:7" x14ac:dyDescent="0.25">
      <c r="A118">
        <v>458</v>
      </c>
      <c r="B118" t="s">
        <v>14</v>
      </c>
      <c r="C118">
        <v>0.35</v>
      </c>
      <c r="D118">
        <v>0</v>
      </c>
      <c r="E118">
        <v>0</v>
      </c>
      <c r="F118">
        <v>0</v>
      </c>
      <c r="G118">
        <v>1</v>
      </c>
    </row>
    <row r="119" spans="1:7" x14ac:dyDescent="0.25">
      <c r="A119">
        <v>186</v>
      </c>
      <c r="B119" t="s">
        <v>14</v>
      </c>
      <c r="C119">
        <v>0.53</v>
      </c>
      <c r="D119">
        <v>0</v>
      </c>
      <c r="E119">
        <v>0</v>
      </c>
      <c r="F119">
        <v>0</v>
      </c>
      <c r="G119">
        <v>1</v>
      </c>
    </row>
    <row r="120" spans="1:7" x14ac:dyDescent="0.25">
      <c r="A120">
        <v>180</v>
      </c>
      <c r="B120" t="s">
        <v>14</v>
      </c>
      <c r="C120">
        <v>0.4</v>
      </c>
      <c r="D120">
        <v>0</v>
      </c>
      <c r="E120">
        <v>0</v>
      </c>
      <c r="F120">
        <v>0</v>
      </c>
      <c r="G120">
        <v>1</v>
      </c>
    </row>
    <row r="121" spans="1:7" x14ac:dyDescent="0.25">
      <c r="A121">
        <v>207</v>
      </c>
      <c r="B121" t="s">
        <v>14</v>
      </c>
      <c r="C121">
        <v>0.8</v>
      </c>
      <c r="D121">
        <v>0</v>
      </c>
      <c r="E121">
        <v>0</v>
      </c>
      <c r="F121">
        <v>0</v>
      </c>
      <c r="G121">
        <v>1</v>
      </c>
    </row>
    <row r="122" spans="1:7" x14ac:dyDescent="0.25">
      <c r="A122">
        <v>193</v>
      </c>
      <c r="B122" t="s">
        <v>14</v>
      </c>
      <c r="C122">
        <v>0.35</v>
      </c>
      <c r="D122">
        <v>0</v>
      </c>
      <c r="E122">
        <v>0</v>
      </c>
      <c r="F122">
        <v>0</v>
      </c>
      <c r="G122">
        <v>1</v>
      </c>
    </row>
    <row r="123" spans="1:7" x14ac:dyDescent="0.25">
      <c r="A123">
        <v>471</v>
      </c>
      <c r="B123" t="s">
        <v>14</v>
      </c>
      <c r="C123">
        <v>0.35</v>
      </c>
      <c r="D123">
        <v>0</v>
      </c>
      <c r="E123">
        <v>0</v>
      </c>
      <c r="F123">
        <v>0</v>
      </c>
      <c r="G123">
        <v>1</v>
      </c>
    </row>
    <row r="124" spans="1:7" x14ac:dyDescent="0.25">
      <c r="A124">
        <v>275</v>
      </c>
      <c r="B124" t="s">
        <v>14</v>
      </c>
      <c r="C124">
        <v>0.35</v>
      </c>
      <c r="D124">
        <v>0</v>
      </c>
      <c r="E124">
        <v>0</v>
      </c>
      <c r="F124">
        <v>0</v>
      </c>
      <c r="G124">
        <v>1</v>
      </c>
    </row>
    <row r="125" spans="1:7" x14ac:dyDescent="0.25">
      <c r="A125">
        <v>215</v>
      </c>
      <c r="B125" t="s">
        <v>14</v>
      </c>
      <c r="C125">
        <v>0.4</v>
      </c>
      <c r="D125">
        <v>0</v>
      </c>
      <c r="E125">
        <v>0</v>
      </c>
      <c r="F125">
        <v>0</v>
      </c>
      <c r="G125">
        <v>1</v>
      </c>
    </row>
    <row r="126" spans="1:7" x14ac:dyDescent="0.25">
      <c r="A126">
        <v>121</v>
      </c>
      <c r="B126" t="s">
        <v>14</v>
      </c>
      <c r="C126">
        <v>0.35</v>
      </c>
      <c r="D126">
        <v>0</v>
      </c>
      <c r="E126">
        <v>0</v>
      </c>
      <c r="F126">
        <v>0</v>
      </c>
      <c r="G126">
        <v>1</v>
      </c>
    </row>
    <row r="127" spans="1:7" x14ac:dyDescent="0.25">
      <c r="A127">
        <v>119</v>
      </c>
      <c r="B127" t="s">
        <v>14</v>
      </c>
      <c r="C127">
        <v>0.4</v>
      </c>
      <c r="D127">
        <v>0</v>
      </c>
      <c r="E127">
        <v>0</v>
      </c>
      <c r="F127">
        <v>0</v>
      </c>
      <c r="G127">
        <v>1</v>
      </c>
    </row>
    <row r="128" spans="1:7" x14ac:dyDescent="0.25">
      <c r="A128">
        <v>125</v>
      </c>
      <c r="B128" t="s">
        <v>14</v>
      </c>
      <c r="C128">
        <v>0.35</v>
      </c>
      <c r="D128">
        <v>0</v>
      </c>
      <c r="E128">
        <v>0</v>
      </c>
      <c r="F128">
        <v>0</v>
      </c>
      <c r="G128">
        <v>1</v>
      </c>
    </row>
    <row r="129" spans="1:7" x14ac:dyDescent="0.25">
      <c r="A129">
        <v>442</v>
      </c>
      <c r="B129" t="s">
        <v>14</v>
      </c>
      <c r="C129">
        <v>0.35</v>
      </c>
      <c r="D129">
        <v>0</v>
      </c>
      <c r="E129">
        <v>0</v>
      </c>
      <c r="F129">
        <v>0</v>
      </c>
      <c r="G129">
        <v>1</v>
      </c>
    </row>
    <row r="130" spans="1:7" x14ac:dyDescent="0.25">
      <c r="A130">
        <v>130</v>
      </c>
      <c r="B130" t="s">
        <v>14</v>
      </c>
      <c r="C130">
        <v>1</v>
      </c>
      <c r="D130">
        <v>0</v>
      </c>
      <c r="E130">
        <v>0</v>
      </c>
      <c r="F130">
        <v>0</v>
      </c>
      <c r="G130">
        <v>1</v>
      </c>
    </row>
    <row r="131" spans="1:7" x14ac:dyDescent="0.25">
      <c r="A131">
        <v>93</v>
      </c>
      <c r="B131" t="s">
        <v>14</v>
      </c>
      <c r="C131">
        <v>0.4</v>
      </c>
      <c r="D131">
        <v>0</v>
      </c>
      <c r="E131">
        <v>0</v>
      </c>
      <c r="F131">
        <v>0</v>
      </c>
      <c r="G131">
        <v>1</v>
      </c>
    </row>
    <row r="132" spans="1:7" x14ac:dyDescent="0.25">
      <c r="A132">
        <v>423</v>
      </c>
      <c r="B132" t="s">
        <v>14</v>
      </c>
      <c r="C132">
        <v>0.35</v>
      </c>
      <c r="D132">
        <v>0</v>
      </c>
      <c r="E132">
        <v>0</v>
      </c>
      <c r="F132">
        <v>0</v>
      </c>
      <c r="G132">
        <v>1</v>
      </c>
    </row>
    <row r="133" spans="1:7" x14ac:dyDescent="0.25">
      <c r="A133">
        <v>52</v>
      </c>
      <c r="B133" t="s">
        <v>14</v>
      </c>
      <c r="C133">
        <v>0.53</v>
      </c>
      <c r="D133">
        <v>0</v>
      </c>
      <c r="E133">
        <v>0</v>
      </c>
      <c r="F133">
        <v>0</v>
      </c>
      <c r="G133">
        <v>1</v>
      </c>
    </row>
    <row r="134" spans="1:7" x14ac:dyDescent="0.25">
      <c r="A134">
        <v>377</v>
      </c>
      <c r="B134" t="s">
        <v>14</v>
      </c>
      <c r="C134">
        <v>0.35</v>
      </c>
      <c r="D134">
        <v>0</v>
      </c>
      <c r="E134">
        <v>0</v>
      </c>
      <c r="F134">
        <v>0</v>
      </c>
      <c r="G134">
        <v>1</v>
      </c>
    </row>
    <row r="135" spans="1:7" x14ac:dyDescent="0.25">
      <c r="A135">
        <v>363</v>
      </c>
      <c r="B135" t="s">
        <v>14</v>
      </c>
      <c r="C135">
        <v>0.35</v>
      </c>
      <c r="D135">
        <v>0</v>
      </c>
      <c r="E135">
        <v>0</v>
      </c>
      <c r="F135">
        <v>0</v>
      </c>
      <c r="G135">
        <v>1</v>
      </c>
    </row>
    <row r="136" spans="1:7" x14ac:dyDescent="0.25">
      <c r="A136">
        <v>20</v>
      </c>
      <c r="B136" t="s">
        <v>14</v>
      </c>
      <c r="C136">
        <v>0.35</v>
      </c>
      <c r="D136">
        <v>0</v>
      </c>
      <c r="E136">
        <v>0</v>
      </c>
      <c r="F136">
        <v>0</v>
      </c>
      <c r="G136">
        <v>1</v>
      </c>
    </row>
    <row r="137" spans="1:7" x14ac:dyDescent="0.25">
      <c r="A137">
        <v>3</v>
      </c>
      <c r="B137" t="s">
        <v>14</v>
      </c>
      <c r="C137">
        <v>0.4</v>
      </c>
      <c r="D137">
        <v>0</v>
      </c>
      <c r="E137">
        <v>0</v>
      </c>
      <c r="F137">
        <v>0</v>
      </c>
      <c r="G137">
        <v>1</v>
      </c>
    </row>
    <row r="138" spans="1:7" x14ac:dyDescent="0.25">
      <c r="A138">
        <v>247</v>
      </c>
      <c r="B138" t="s">
        <v>14</v>
      </c>
      <c r="C138">
        <v>0.35</v>
      </c>
      <c r="D138">
        <v>0</v>
      </c>
      <c r="E138">
        <v>0</v>
      </c>
      <c r="F138">
        <v>0</v>
      </c>
      <c r="G138">
        <v>1</v>
      </c>
    </row>
    <row r="139" spans="1:7" x14ac:dyDescent="0.25">
      <c r="A139">
        <v>529</v>
      </c>
      <c r="B139" t="s">
        <v>14</v>
      </c>
      <c r="C139">
        <v>0.35</v>
      </c>
      <c r="D139">
        <v>0</v>
      </c>
      <c r="E139">
        <v>0</v>
      </c>
      <c r="F139">
        <v>0</v>
      </c>
      <c r="G139">
        <v>1</v>
      </c>
    </row>
    <row r="140" spans="1:7" x14ac:dyDescent="0.25">
      <c r="A140">
        <v>249</v>
      </c>
      <c r="B140" t="s">
        <v>14</v>
      </c>
      <c r="C140">
        <v>0.4</v>
      </c>
      <c r="D140">
        <v>0</v>
      </c>
      <c r="E140">
        <v>0</v>
      </c>
      <c r="F140">
        <v>0</v>
      </c>
      <c r="G140">
        <v>1</v>
      </c>
    </row>
    <row r="141" spans="1:7" x14ac:dyDescent="0.25">
      <c r="A141">
        <v>346</v>
      </c>
      <c r="B141" t="s">
        <v>14</v>
      </c>
      <c r="C141">
        <v>0.8</v>
      </c>
      <c r="D141">
        <v>0</v>
      </c>
      <c r="E141">
        <v>0</v>
      </c>
      <c r="F141">
        <v>0</v>
      </c>
      <c r="G141">
        <v>1</v>
      </c>
    </row>
    <row r="142" spans="1:7" x14ac:dyDescent="0.25">
      <c r="A142">
        <v>27</v>
      </c>
      <c r="B142" t="s">
        <v>14</v>
      </c>
      <c r="C142">
        <v>1.5</v>
      </c>
      <c r="D142">
        <v>0</v>
      </c>
      <c r="E142">
        <v>0</v>
      </c>
      <c r="F142">
        <v>0</v>
      </c>
      <c r="G142">
        <v>1</v>
      </c>
    </row>
    <row r="143" spans="1:7" x14ac:dyDescent="0.25">
      <c r="A143">
        <v>414</v>
      </c>
      <c r="B143" t="s">
        <v>14</v>
      </c>
      <c r="C143">
        <v>0.35</v>
      </c>
      <c r="D143">
        <v>0</v>
      </c>
      <c r="E143">
        <v>0</v>
      </c>
      <c r="F143">
        <v>0</v>
      </c>
      <c r="G143">
        <v>1</v>
      </c>
    </row>
    <row r="144" spans="1:7" x14ac:dyDescent="0.25">
      <c r="A144">
        <v>370</v>
      </c>
      <c r="B144" t="s">
        <v>14</v>
      </c>
      <c r="C144">
        <v>0.35</v>
      </c>
      <c r="D144">
        <v>0</v>
      </c>
      <c r="E144">
        <v>0</v>
      </c>
      <c r="F144">
        <v>0</v>
      </c>
      <c r="G144">
        <v>1</v>
      </c>
    </row>
    <row r="145" spans="1:7" x14ac:dyDescent="0.25">
      <c r="A145">
        <v>43</v>
      </c>
      <c r="B145" t="s">
        <v>14</v>
      </c>
      <c r="C145">
        <v>0.8</v>
      </c>
      <c r="D145">
        <v>0</v>
      </c>
      <c r="E145">
        <v>0</v>
      </c>
      <c r="F145">
        <v>0</v>
      </c>
      <c r="G145">
        <v>1</v>
      </c>
    </row>
    <row r="146" spans="1:7" x14ac:dyDescent="0.25">
      <c r="A146">
        <v>82</v>
      </c>
      <c r="B146" t="s">
        <v>14</v>
      </c>
      <c r="C146">
        <v>1.2</v>
      </c>
      <c r="D146">
        <v>0</v>
      </c>
      <c r="E146">
        <v>0</v>
      </c>
      <c r="F146">
        <v>0</v>
      </c>
      <c r="G146">
        <v>1</v>
      </c>
    </row>
    <row r="147" spans="1:7" x14ac:dyDescent="0.25">
      <c r="A147">
        <v>411</v>
      </c>
      <c r="B147" t="s">
        <v>14</v>
      </c>
      <c r="C147">
        <v>0.35</v>
      </c>
      <c r="D147">
        <v>0</v>
      </c>
      <c r="E147">
        <v>0</v>
      </c>
      <c r="F147">
        <v>0</v>
      </c>
      <c r="G147">
        <v>1</v>
      </c>
    </row>
    <row r="148" spans="1:7" x14ac:dyDescent="0.25">
      <c r="A148">
        <v>184</v>
      </c>
      <c r="B148" t="s">
        <v>14</v>
      </c>
      <c r="C148">
        <v>0.6</v>
      </c>
      <c r="D148">
        <v>0</v>
      </c>
      <c r="E148">
        <v>0</v>
      </c>
      <c r="F148">
        <v>0</v>
      </c>
      <c r="G148">
        <v>1</v>
      </c>
    </row>
    <row r="149" spans="1:7" x14ac:dyDescent="0.25">
      <c r="A149">
        <v>457</v>
      </c>
      <c r="B149" t="s">
        <v>14</v>
      </c>
      <c r="C149">
        <v>0.35</v>
      </c>
      <c r="D149">
        <v>0</v>
      </c>
      <c r="E149">
        <v>0</v>
      </c>
      <c r="F149">
        <v>0</v>
      </c>
      <c r="G149">
        <v>1</v>
      </c>
    </row>
    <row r="150" spans="1:7" x14ac:dyDescent="0.25">
      <c r="A150">
        <v>185</v>
      </c>
      <c r="B150" t="s">
        <v>14</v>
      </c>
      <c r="C150">
        <v>0.53</v>
      </c>
      <c r="D150">
        <v>0</v>
      </c>
      <c r="E150">
        <v>0</v>
      </c>
      <c r="F150">
        <v>0</v>
      </c>
      <c r="G150">
        <v>1</v>
      </c>
    </row>
    <row r="151" spans="1:7" x14ac:dyDescent="0.25">
      <c r="A151">
        <v>462</v>
      </c>
      <c r="B151" t="s">
        <v>14</v>
      </c>
      <c r="C151">
        <v>0.35</v>
      </c>
      <c r="D151">
        <v>0</v>
      </c>
      <c r="E151">
        <v>0</v>
      </c>
      <c r="F151">
        <v>0</v>
      </c>
      <c r="G151">
        <v>1</v>
      </c>
    </row>
    <row r="152" spans="1:7" x14ac:dyDescent="0.25">
      <c r="A152">
        <v>206</v>
      </c>
      <c r="B152" t="s">
        <v>14</v>
      </c>
      <c r="C152">
        <v>0.35</v>
      </c>
      <c r="D152">
        <v>0</v>
      </c>
      <c r="E152">
        <v>0</v>
      </c>
      <c r="F152">
        <v>0</v>
      </c>
      <c r="G152">
        <v>1</v>
      </c>
    </row>
    <row r="153" spans="1:7" x14ac:dyDescent="0.25">
      <c r="A153">
        <v>208</v>
      </c>
      <c r="B153" t="s">
        <v>14</v>
      </c>
      <c r="C153">
        <v>0.8</v>
      </c>
      <c r="D153">
        <v>0</v>
      </c>
      <c r="E153">
        <v>0</v>
      </c>
      <c r="F153">
        <v>0</v>
      </c>
      <c r="G153">
        <v>1</v>
      </c>
    </row>
    <row r="154" spans="1:7" x14ac:dyDescent="0.25">
      <c r="A154">
        <v>472</v>
      </c>
      <c r="B154" t="s">
        <v>14</v>
      </c>
      <c r="C154">
        <v>0.35</v>
      </c>
      <c r="D154">
        <v>0</v>
      </c>
      <c r="E154">
        <v>0</v>
      </c>
      <c r="F154">
        <v>0</v>
      </c>
      <c r="G154">
        <v>1</v>
      </c>
    </row>
    <row r="155" spans="1:7" x14ac:dyDescent="0.25">
      <c r="A155">
        <v>214</v>
      </c>
      <c r="B155" t="s">
        <v>14</v>
      </c>
      <c r="C155">
        <v>0.35</v>
      </c>
      <c r="D155">
        <v>0</v>
      </c>
      <c r="E155">
        <v>0</v>
      </c>
      <c r="F155">
        <v>0</v>
      </c>
      <c r="G155">
        <v>1</v>
      </c>
    </row>
    <row r="156" spans="1:7" x14ac:dyDescent="0.25">
      <c r="A156">
        <v>277</v>
      </c>
      <c r="B156" t="s">
        <v>14</v>
      </c>
      <c r="C156">
        <v>0.35</v>
      </c>
      <c r="D156">
        <v>0</v>
      </c>
      <c r="E156">
        <v>0</v>
      </c>
      <c r="F156">
        <v>0</v>
      </c>
      <c r="G156">
        <v>1</v>
      </c>
    </row>
    <row r="157" spans="1:7" x14ac:dyDescent="0.25">
      <c r="A157">
        <v>118</v>
      </c>
      <c r="B157" t="s">
        <v>14</v>
      </c>
      <c r="C157">
        <v>0.35</v>
      </c>
      <c r="D157">
        <v>0</v>
      </c>
      <c r="E157">
        <v>0</v>
      </c>
      <c r="F157">
        <v>0</v>
      </c>
      <c r="G157">
        <v>1</v>
      </c>
    </row>
    <row r="158" spans="1:7" x14ac:dyDescent="0.25">
      <c r="A158">
        <v>111</v>
      </c>
      <c r="B158" t="s">
        <v>14</v>
      </c>
      <c r="C158">
        <v>0.4</v>
      </c>
      <c r="D158">
        <v>0</v>
      </c>
      <c r="E158">
        <v>0</v>
      </c>
      <c r="F158">
        <v>0</v>
      </c>
      <c r="G158">
        <v>1</v>
      </c>
    </row>
    <row r="159" spans="1:7" x14ac:dyDescent="0.25">
      <c r="A159">
        <v>122</v>
      </c>
      <c r="B159" t="s">
        <v>14</v>
      </c>
      <c r="C159">
        <v>0.35</v>
      </c>
      <c r="D159">
        <v>0</v>
      </c>
      <c r="E159">
        <v>0</v>
      </c>
      <c r="F159">
        <v>0</v>
      </c>
      <c r="G159">
        <v>1</v>
      </c>
    </row>
    <row r="160" spans="1:7" x14ac:dyDescent="0.25">
      <c r="A160">
        <v>441</v>
      </c>
      <c r="B160" t="s">
        <v>14</v>
      </c>
      <c r="C160">
        <v>0.35</v>
      </c>
      <c r="D160">
        <v>0</v>
      </c>
      <c r="E160">
        <v>0</v>
      </c>
      <c r="F160">
        <v>0</v>
      </c>
      <c r="G160">
        <v>1</v>
      </c>
    </row>
    <row r="161" spans="1:7" x14ac:dyDescent="0.25">
      <c r="A161">
        <v>437</v>
      </c>
      <c r="B161" t="s">
        <v>14</v>
      </c>
      <c r="C161">
        <v>0.35</v>
      </c>
      <c r="D161">
        <v>0</v>
      </c>
      <c r="E161">
        <v>0</v>
      </c>
      <c r="F161">
        <v>0</v>
      </c>
      <c r="G161">
        <v>1</v>
      </c>
    </row>
    <row r="162" spans="1:7" x14ac:dyDescent="0.25">
      <c r="A162">
        <v>424</v>
      </c>
      <c r="B162" t="s">
        <v>14</v>
      </c>
      <c r="C162">
        <v>0.35</v>
      </c>
      <c r="D162">
        <v>0</v>
      </c>
      <c r="E162">
        <v>0</v>
      </c>
      <c r="F162">
        <v>0</v>
      </c>
      <c r="G162">
        <v>1</v>
      </c>
    </row>
    <row r="163" spans="1:7" x14ac:dyDescent="0.25">
      <c r="A163">
        <v>94</v>
      </c>
      <c r="B163" t="s">
        <v>14</v>
      </c>
      <c r="C163">
        <v>0.35</v>
      </c>
      <c r="D163">
        <v>0</v>
      </c>
      <c r="E163">
        <v>0</v>
      </c>
      <c r="F163">
        <v>0</v>
      </c>
      <c r="G163">
        <v>1</v>
      </c>
    </row>
    <row r="164" spans="1:7" x14ac:dyDescent="0.25">
      <c r="A164">
        <v>53</v>
      </c>
      <c r="B164" t="s">
        <v>14</v>
      </c>
      <c r="C164">
        <v>0.4</v>
      </c>
      <c r="D164">
        <v>0</v>
      </c>
      <c r="E164">
        <v>0</v>
      </c>
      <c r="F164">
        <v>0</v>
      </c>
      <c r="G164">
        <v>1</v>
      </c>
    </row>
    <row r="165" spans="1:7" x14ac:dyDescent="0.25">
      <c r="A165">
        <v>123</v>
      </c>
      <c r="B165" t="s">
        <v>14</v>
      </c>
      <c r="C165">
        <v>0.6</v>
      </c>
      <c r="D165">
        <v>0</v>
      </c>
      <c r="E165">
        <v>0</v>
      </c>
      <c r="F165">
        <v>0</v>
      </c>
      <c r="G165">
        <v>1</v>
      </c>
    </row>
    <row r="166" spans="1:7" x14ac:dyDescent="0.25">
      <c r="A166">
        <v>95</v>
      </c>
      <c r="B166" t="s">
        <v>14</v>
      </c>
      <c r="C166">
        <v>0.53</v>
      </c>
      <c r="D166">
        <v>0</v>
      </c>
      <c r="E166">
        <v>0</v>
      </c>
      <c r="F166">
        <v>0</v>
      </c>
      <c r="G166">
        <v>1</v>
      </c>
    </row>
    <row r="167" spans="1:7" x14ac:dyDescent="0.25">
      <c r="A167">
        <v>378</v>
      </c>
      <c r="B167" t="s">
        <v>14</v>
      </c>
      <c r="C167">
        <v>0.35</v>
      </c>
      <c r="D167">
        <v>0</v>
      </c>
      <c r="E167">
        <v>0</v>
      </c>
      <c r="F167">
        <v>0</v>
      </c>
      <c r="G167">
        <v>1</v>
      </c>
    </row>
    <row r="168" spans="1:7" x14ac:dyDescent="0.25">
      <c r="A168">
        <v>19</v>
      </c>
      <c r="B168" t="s">
        <v>14</v>
      </c>
      <c r="C168">
        <v>0.53</v>
      </c>
      <c r="D168">
        <v>0</v>
      </c>
      <c r="E168">
        <v>0</v>
      </c>
      <c r="F168">
        <v>0</v>
      </c>
      <c r="G168">
        <v>1</v>
      </c>
    </row>
    <row r="169" spans="1:7" x14ac:dyDescent="0.25">
      <c r="A169">
        <v>530</v>
      </c>
      <c r="B169" t="s">
        <v>14</v>
      </c>
      <c r="C169">
        <v>0.35</v>
      </c>
      <c r="D169">
        <v>0</v>
      </c>
      <c r="E169">
        <v>0</v>
      </c>
      <c r="F169">
        <v>0</v>
      </c>
      <c r="G169">
        <v>1</v>
      </c>
    </row>
    <row r="170" spans="1:7" x14ac:dyDescent="0.25">
      <c r="A170">
        <v>245</v>
      </c>
      <c r="B170" t="s">
        <v>14</v>
      </c>
      <c r="C170">
        <v>0.35</v>
      </c>
      <c r="D170">
        <v>0</v>
      </c>
      <c r="E170">
        <v>0</v>
      </c>
      <c r="F170">
        <v>0</v>
      </c>
      <c r="G170">
        <v>1</v>
      </c>
    </row>
    <row r="171" spans="1:7" x14ac:dyDescent="0.25">
      <c r="A171">
        <v>4</v>
      </c>
      <c r="B171" t="s">
        <v>14</v>
      </c>
      <c r="C171">
        <v>0.35</v>
      </c>
      <c r="D171">
        <v>0</v>
      </c>
      <c r="E171">
        <v>0</v>
      </c>
      <c r="F171">
        <v>0</v>
      </c>
      <c r="G171">
        <v>1</v>
      </c>
    </row>
    <row r="172" spans="1:7" x14ac:dyDescent="0.25">
      <c r="A172">
        <v>362</v>
      </c>
      <c r="B172" t="s">
        <v>14</v>
      </c>
      <c r="C172">
        <v>0.35</v>
      </c>
      <c r="D172">
        <v>0</v>
      </c>
      <c r="E172">
        <v>0</v>
      </c>
      <c r="F172">
        <v>0</v>
      </c>
      <c r="G172">
        <v>1</v>
      </c>
    </row>
    <row r="173" spans="1:7" x14ac:dyDescent="0.25">
      <c r="A173">
        <v>344</v>
      </c>
      <c r="B173" t="s">
        <v>14</v>
      </c>
      <c r="C173">
        <v>1.5</v>
      </c>
      <c r="D173">
        <v>0</v>
      </c>
      <c r="E173">
        <v>0</v>
      </c>
      <c r="F173">
        <v>0</v>
      </c>
      <c r="G173">
        <v>1</v>
      </c>
    </row>
    <row r="174" spans="1:7" x14ac:dyDescent="0.25">
      <c r="A174">
        <v>28</v>
      </c>
      <c r="B174" t="s">
        <v>14</v>
      </c>
      <c r="C174">
        <v>1.2</v>
      </c>
      <c r="D174">
        <v>0</v>
      </c>
      <c r="E174">
        <v>0</v>
      </c>
      <c r="F174">
        <v>0</v>
      </c>
      <c r="G174">
        <v>1</v>
      </c>
    </row>
    <row r="175" spans="1:7" x14ac:dyDescent="0.25">
      <c r="A175">
        <v>345</v>
      </c>
      <c r="B175" t="s">
        <v>14</v>
      </c>
      <c r="C175">
        <v>0.8</v>
      </c>
      <c r="D175">
        <v>0</v>
      </c>
      <c r="E175">
        <v>0</v>
      </c>
      <c r="F175">
        <v>0</v>
      </c>
      <c r="G175">
        <v>1</v>
      </c>
    </row>
    <row r="176" spans="1:7" x14ac:dyDescent="0.25">
      <c r="A176">
        <v>250</v>
      </c>
      <c r="B176" t="s">
        <v>14</v>
      </c>
      <c r="C176">
        <v>0.35</v>
      </c>
      <c r="D176">
        <v>0</v>
      </c>
      <c r="E176">
        <v>0</v>
      </c>
      <c r="F176">
        <v>0</v>
      </c>
      <c r="G176">
        <v>1</v>
      </c>
    </row>
    <row r="177" spans="1:7" x14ac:dyDescent="0.25">
      <c r="A177">
        <v>412</v>
      </c>
      <c r="B177" t="s">
        <v>14</v>
      </c>
      <c r="C177">
        <v>0.35</v>
      </c>
      <c r="D177">
        <v>0</v>
      </c>
      <c r="E177">
        <v>0</v>
      </c>
      <c r="F177">
        <v>0</v>
      </c>
      <c r="G177">
        <v>1</v>
      </c>
    </row>
    <row r="178" spans="1:7" x14ac:dyDescent="0.25">
      <c r="A178">
        <v>371</v>
      </c>
      <c r="B178" t="s">
        <v>14</v>
      </c>
      <c r="C178">
        <v>0.35</v>
      </c>
      <c r="D178">
        <v>0</v>
      </c>
      <c r="E178">
        <v>0</v>
      </c>
      <c r="F178">
        <v>0</v>
      </c>
      <c r="G178">
        <v>1</v>
      </c>
    </row>
    <row r="179" spans="1:7" x14ac:dyDescent="0.25">
      <c r="A179">
        <v>42</v>
      </c>
      <c r="B179" t="s">
        <v>14</v>
      </c>
      <c r="C179">
        <v>0.8</v>
      </c>
      <c r="D179">
        <v>0</v>
      </c>
      <c r="E179">
        <v>0</v>
      </c>
      <c r="F179">
        <v>0</v>
      </c>
      <c r="G179">
        <v>1</v>
      </c>
    </row>
    <row r="180" spans="1:7" x14ac:dyDescent="0.25">
      <c r="A180">
        <v>81</v>
      </c>
      <c r="B180" t="s">
        <v>14</v>
      </c>
      <c r="C180">
        <v>1.2</v>
      </c>
      <c r="D180">
        <v>0</v>
      </c>
      <c r="E180">
        <v>0</v>
      </c>
      <c r="F180">
        <v>0</v>
      </c>
      <c r="G180">
        <v>1</v>
      </c>
    </row>
    <row r="181" spans="1:7" x14ac:dyDescent="0.25">
      <c r="A181">
        <v>408</v>
      </c>
      <c r="B181" t="s">
        <v>14</v>
      </c>
      <c r="C181">
        <v>0.35</v>
      </c>
      <c r="D181">
        <v>0</v>
      </c>
      <c r="E181">
        <v>0</v>
      </c>
      <c r="F181">
        <v>0</v>
      </c>
      <c r="G181">
        <v>1</v>
      </c>
    </row>
    <row r="182" spans="1:7" x14ac:dyDescent="0.25">
      <c r="A182">
        <v>189</v>
      </c>
      <c r="B182" t="s">
        <v>14</v>
      </c>
      <c r="C182">
        <v>0.6</v>
      </c>
      <c r="D182">
        <v>0</v>
      </c>
      <c r="E182">
        <v>0</v>
      </c>
      <c r="F182">
        <v>0</v>
      </c>
      <c r="G182">
        <v>1</v>
      </c>
    </row>
    <row r="183" spans="1:7" x14ac:dyDescent="0.25">
      <c r="A183">
        <v>459</v>
      </c>
      <c r="B183" t="s">
        <v>14</v>
      </c>
      <c r="C183">
        <v>0.35</v>
      </c>
      <c r="D183">
        <v>0</v>
      </c>
      <c r="E183">
        <v>0</v>
      </c>
      <c r="F183">
        <v>0</v>
      </c>
      <c r="G183">
        <v>1</v>
      </c>
    </row>
    <row r="184" spans="1:7" x14ac:dyDescent="0.25">
      <c r="A184">
        <v>192</v>
      </c>
      <c r="B184" t="s">
        <v>14</v>
      </c>
      <c r="C184">
        <v>0.4</v>
      </c>
      <c r="D184">
        <v>0</v>
      </c>
      <c r="E184">
        <v>0</v>
      </c>
      <c r="F184">
        <v>0</v>
      </c>
      <c r="G184">
        <v>1</v>
      </c>
    </row>
    <row r="185" spans="1:7" x14ac:dyDescent="0.25">
      <c r="A185">
        <v>209</v>
      </c>
      <c r="B185" t="s">
        <v>14</v>
      </c>
      <c r="C185">
        <v>0.8</v>
      </c>
      <c r="D185">
        <v>0</v>
      </c>
      <c r="E185">
        <v>0</v>
      </c>
      <c r="F185">
        <v>0</v>
      </c>
      <c r="G185">
        <v>1</v>
      </c>
    </row>
    <row r="186" spans="1:7" x14ac:dyDescent="0.25">
      <c r="A186">
        <v>205</v>
      </c>
      <c r="B186" t="s">
        <v>14</v>
      </c>
      <c r="C186">
        <v>0.35</v>
      </c>
      <c r="D186">
        <v>0</v>
      </c>
      <c r="E186">
        <v>0</v>
      </c>
      <c r="F186">
        <v>0</v>
      </c>
      <c r="G186">
        <v>1</v>
      </c>
    </row>
    <row r="187" spans="1:7" x14ac:dyDescent="0.25">
      <c r="A187">
        <v>463</v>
      </c>
      <c r="B187" t="s">
        <v>14</v>
      </c>
      <c r="C187">
        <v>0.35</v>
      </c>
      <c r="D187">
        <v>0</v>
      </c>
      <c r="E187">
        <v>0</v>
      </c>
      <c r="F187">
        <v>0</v>
      </c>
      <c r="G187">
        <v>1</v>
      </c>
    </row>
    <row r="188" spans="1:7" x14ac:dyDescent="0.25">
      <c r="A188">
        <v>473</v>
      </c>
      <c r="B188" t="s">
        <v>14</v>
      </c>
      <c r="C188">
        <v>0.35</v>
      </c>
      <c r="D188">
        <v>0</v>
      </c>
      <c r="E188">
        <v>0</v>
      </c>
      <c r="F188">
        <v>0</v>
      </c>
      <c r="G188">
        <v>1</v>
      </c>
    </row>
    <row r="189" spans="1:7" x14ac:dyDescent="0.25">
      <c r="A189">
        <v>213</v>
      </c>
      <c r="B189" t="s">
        <v>14</v>
      </c>
      <c r="C189">
        <v>0.35</v>
      </c>
      <c r="D189">
        <v>0</v>
      </c>
      <c r="E189">
        <v>0</v>
      </c>
      <c r="F189">
        <v>0</v>
      </c>
      <c r="G189">
        <v>1</v>
      </c>
    </row>
    <row r="190" spans="1:7" x14ac:dyDescent="0.25">
      <c r="A190">
        <v>114</v>
      </c>
      <c r="B190" t="s">
        <v>14</v>
      </c>
      <c r="C190">
        <v>0.4</v>
      </c>
      <c r="D190">
        <v>0</v>
      </c>
      <c r="E190">
        <v>0</v>
      </c>
      <c r="F190">
        <v>0</v>
      </c>
      <c r="G190">
        <v>1</v>
      </c>
    </row>
    <row r="191" spans="1:7" x14ac:dyDescent="0.25">
      <c r="A191">
        <v>110</v>
      </c>
      <c r="B191" t="s">
        <v>14</v>
      </c>
      <c r="C191">
        <v>0.4</v>
      </c>
      <c r="D191">
        <v>0</v>
      </c>
      <c r="E191">
        <v>0</v>
      </c>
      <c r="F191">
        <v>0</v>
      </c>
      <c r="G191">
        <v>1</v>
      </c>
    </row>
    <row r="192" spans="1:7" x14ac:dyDescent="0.25">
      <c r="A192">
        <v>117</v>
      </c>
      <c r="B192" t="s">
        <v>14</v>
      </c>
      <c r="C192">
        <v>0.35</v>
      </c>
      <c r="D192">
        <v>0</v>
      </c>
      <c r="E192">
        <v>0</v>
      </c>
      <c r="F192">
        <v>0</v>
      </c>
      <c r="G192">
        <v>1</v>
      </c>
    </row>
    <row r="193" spans="1:7" x14ac:dyDescent="0.25">
      <c r="A193">
        <v>54</v>
      </c>
      <c r="B193" t="s">
        <v>14</v>
      </c>
      <c r="C193">
        <v>0.35</v>
      </c>
      <c r="D193">
        <v>0</v>
      </c>
      <c r="E193">
        <v>0</v>
      </c>
      <c r="F193">
        <v>0</v>
      </c>
      <c r="G193">
        <v>1</v>
      </c>
    </row>
    <row r="194" spans="1:7" x14ac:dyDescent="0.25">
      <c r="A194">
        <v>18</v>
      </c>
      <c r="B194" t="s">
        <v>14</v>
      </c>
      <c r="C194">
        <v>0.4</v>
      </c>
      <c r="D194">
        <v>0</v>
      </c>
      <c r="E194">
        <v>0</v>
      </c>
      <c r="F194">
        <v>0</v>
      </c>
      <c r="G194">
        <v>1</v>
      </c>
    </row>
    <row r="195" spans="1:7" x14ac:dyDescent="0.25">
      <c r="A195">
        <v>426</v>
      </c>
      <c r="B195" t="s">
        <v>14</v>
      </c>
      <c r="C195">
        <v>0.35</v>
      </c>
      <c r="D195">
        <v>0</v>
      </c>
      <c r="E195">
        <v>0</v>
      </c>
      <c r="F195">
        <v>0</v>
      </c>
      <c r="G195">
        <v>1</v>
      </c>
    </row>
    <row r="196" spans="1:7" x14ac:dyDescent="0.25">
      <c r="A196">
        <v>96</v>
      </c>
      <c r="B196" t="s">
        <v>14</v>
      </c>
      <c r="C196">
        <v>0.35</v>
      </c>
      <c r="D196">
        <v>0</v>
      </c>
      <c r="E196">
        <v>0</v>
      </c>
      <c r="F196">
        <v>0</v>
      </c>
      <c r="G196">
        <v>1</v>
      </c>
    </row>
    <row r="197" spans="1:7" x14ac:dyDescent="0.25">
      <c r="A197">
        <v>55</v>
      </c>
      <c r="B197" t="s">
        <v>14</v>
      </c>
      <c r="C197">
        <v>0.53</v>
      </c>
      <c r="D197">
        <v>0</v>
      </c>
      <c r="E197">
        <v>0</v>
      </c>
      <c r="F197">
        <v>0</v>
      </c>
      <c r="G197">
        <v>1</v>
      </c>
    </row>
    <row r="198" spans="1:7" x14ac:dyDescent="0.25">
      <c r="A198">
        <v>438</v>
      </c>
      <c r="B198" t="s">
        <v>14</v>
      </c>
      <c r="C198">
        <v>0.35</v>
      </c>
      <c r="D198">
        <v>0</v>
      </c>
      <c r="E198">
        <v>0</v>
      </c>
      <c r="F198">
        <v>0</v>
      </c>
      <c r="G198">
        <v>1</v>
      </c>
    </row>
    <row r="199" spans="1:7" x14ac:dyDescent="0.25">
      <c r="A199">
        <v>98</v>
      </c>
      <c r="B199" t="s">
        <v>14</v>
      </c>
      <c r="C199">
        <v>0.6</v>
      </c>
      <c r="D199">
        <v>0</v>
      </c>
      <c r="E199">
        <v>0</v>
      </c>
      <c r="F199">
        <v>0</v>
      </c>
      <c r="G199">
        <v>1</v>
      </c>
    </row>
    <row r="200" spans="1:7" x14ac:dyDescent="0.25">
      <c r="A200">
        <v>361</v>
      </c>
      <c r="B200" t="s">
        <v>14</v>
      </c>
      <c r="C200">
        <v>0.35</v>
      </c>
      <c r="D200">
        <v>0</v>
      </c>
      <c r="E200">
        <v>0</v>
      </c>
      <c r="F200">
        <v>0</v>
      </c>
      <c r="G200">
        <v>1</v>
      </c>
    </row>
    <row r="201" spans="1:7" x14ac:dyDescent="0.25">
      <c r="A201">
        <v>5</v>
      </c>
      <c r="B201" t="s">
        <v>14</v>
      </c>
      <c r="C201">
        <v>0.53</v>
      </c>
      <c r="D201">
        <v>0</v>
      </c>
      <c r="E201">
        <v>0</v>
      </c>
      <c r="F201">
        <v>0</v>
      </c>
      <c r="G201">
        <v>1</v>
      </c>
    </row>
    <row r="202" spans="1:7" x14ac:dyDescent="0.25">
      <c r="A202">
        <v>244</v>
      </c>
      <c r="B202" t="s">
        <v>14</v>
      </c>
      <c r="C202">
        <v>0.35</v>
      </c>
      <c r="D202">
        <v>0</v>
      </c>
      <c r="E202">
        <v>0</v>
      </c>
      <c r="F202">
        <v>0</v>
      </c>
      <c r="G202">
        <v>1</v>
      </c>
    </row>
    <row r="203" spans="1:7" x14ac:dyDescent="0.25">
      <c r="A203">
        <v>343</v>
      </c>
      <c r="B203" t="s">
        <v>14</v>
      </c>
      <c r="C203">
        <v>1.2</v>
      </c>
      <c r="D203">
        <v>0</v>
      </c>
      <c r="E203">
        <v>0</v>
      </c>
      <c r="F203">
        <v>0</v>
      </c>
      <c r="G203">
        <v>1</v>
      </c>
    </row>
    <row r="204" spans="1:7" x14ac:dyDescent="0.25">
      <c r="A204">
        <v>319</v>
      </c>
      <c r="B204" t="s">
        <v>14</v>
      </c>
      <c r="C204">
        <v>1.5</v>
      </c>
      <c r="D204">
        <v>0</v>
      </c>
      <c r="E204">
        <v>0</v>
      </c>
      <c r="F204">
        <v>0</v>
      </c>
      <c r="G204">
        <v>1</v>
      </c>
    </row>
    <row r="205" spans="1:7" x14ac:dyDescent="0.25">
      <c r="A205">
        <v>252</v>
      </c>
      <c r="B205" t="s">
        <v>14</v>
      </c>
      <c r="C205">
        <v>0.4</v>
      </c>
      <c r="D205">
        <v>0</v>
      </c>
      <c r="E205">
        <v>0</v>
      </c>
      <c r="F205">
        <v>0</v>
      </c>
      <c r="G205">
        <v>1</v>
      </c>
    </row>
    <row r="206" spans="1:7" x14ac:dyDescent="0.25">
      <c r="A206">
        <v>528</v>
      </c>
      <c r="B206" t="s">
        <v>14</v>
      </c>
      <c r="C206">
        <v>0.35</v>
      </c>
      <c r="D206">
        <v>0</v>
      </c>
      <c r="E206">
        <v>0</v>
      </c>
      <c r="F206">
        <v>0</v>
      </c>
      <c r="G206">
        <v>1</v>
      </c>
    </row>
    <row r="207" spans="1:7" x14ac:dyDescent="0.25">
      <c r="A207">
        <v>251</v>
      </c>
      <c r="B207" t="s">
        <v>14</v>
      </c>
      <c r="C207">
        <v>0.4</v>
      </c>
      <c r="D207">
        <v>0</v>
      </c>
      <c r="E207">
        <v>0</v>
      </c>
      <c r="F207">
        <v>0</v>
      </c>
      <c r="G207">
        <v>1</v>
      </c>
    </row>
    <row r="208" spans="1:7" x14ac:dyDescent="0.25">
      <c r="A208">
        <v>527</v>
      </c>
      <c r="B208" t="s">
        <v>14</v>
      </c>
      <c r="C208">
        <v>0.35</v>
      </c>
      <c r="D208">
        <v>0</v>
      </c>
      <c r="E208">
        <v>0</v>
      </c>
      <c r="F208">
        <v>0</v>
      </c>
      <c r="G208">
        <v>1</v>
      </c>
    </row>
    <row r="209" spans="1:7" x14ac:dyDescent="0.25">
      <c r="A209">
        <v>409</v>
      </c>
      <c r="B209" t="s">
        <v>14</v>
      </c>
      <c r="C209">
        <v>0.35</v>
      </c>
      <c r="D209">
        <v>0</v>
      </c>
      <c r="E209">
        <v>0</v>
      </c>
      <c r="F209">
        <v>0</v>
      </c>
      <c r="G209">
        <v>1</v>
      </c>
    </row>
    <row r="210" spans="1:7" x14ac:dyDescent="0.25">
      <c r="A210">
        <v>41</v>
      </c>
      <c r="B210" t="s">
        <v>14</v>
      </c>
      <c r="C210">
        <v>0.8</v>
      </c>
      <c r="D210">
        <v>0</v>
      </c>
      <c r="E210">
        <v>0</v>
      </c>
      <c r="F210">
        <v>0</v>
      </c>
      <c r="G210">
        <v>1</v>
      </c>
    </row>
    <row r="211" spans="1:7" x14ac:dyDescent="0.25">
      <c r="A211">
        <v>80</v>
      </c>
      <c r="B211" t="s">
        <v>14</v>
      </c>
      <c r="C211">
        <v>1.2</v>
      </c>
      <c r="D211">
        <v>0</v>
      </c>
      <c r="E211">
        <v>0</v>
      </c>
      <c r="F211">
        <v>0</v>
      </c>
      <c r="G211">
        <v>1</v>
      </c>
    </row>
    <row r="212" spans="1:7" x14ac:dyDescent="0.25">
      <c r="A212">
        <v>406</v>
      </c>
      <c r="B212" t="s">
        <v>14</v>
      </c>
      <c r="C212">
        <v>0.35</v>
      </c>
      <c r="D212">
        <v>0</v>
      </c>
      <c r="E212">
        <v>0</v>
      </c>
      <c r="F212">
        <v>0</v>
      </c>
      <c r="G212">
        <v>1</v>
      </c>
    </row>
    <row r="213" spans="1:7" x14ac:dyDescent="0.25">
      <c r="A213">
        <v>191</v>
      </c>
      <c r="B213" t="s">
        <v>14</v>
      </c>
      <c r="C213">
        <v>0.6</v>
      </c>
      <c r="D213">
        <v>0</v>
      </c>
      <c r="E213">
        <v>0</v>
      </c>
      <c r="F213">
        <v>0</v>
      </c>
      <c r="G213">
        <v>1</v>
      </c>
    </row>
    <row r="214" spans="1:7" x14ac:dyDescent="0.25">
      <c r="A214">
        <v>461</v>
      </c>
      <c r="B214" t="s">
        <v>14</v>
      </c>
      <c r="C214">
        <v>0.35</v>
      </c>
      <c r="D214">
        <v>0</v>
      </c>
      <c r="E214">
        <v>0</v>
      </c>
      <c r="F214">
        <v>0</v>
      </c>
      <c r="G214">
        <v>1</v>
      </c>
    </row>
    <row r="215" spans="1:7" x14ac:dyDescent="0.25">
      <c r="A215">
        <v>202</v>
      </c>
      <c r="B215" t="s">
        <v>14</v>
      </c>
      <c r="C215">
        <v>0.4</v>
      </c>
      <c r="D215">
        <v>0</v>
      </c>
      <c r="E215">
        <v>0</v>
      </c>
      <c r="F215">
        <v>0</v>
      </c>
      <c r="G215">
        <v>1</v>
      </c>
    </row>
    <row r="216" spans="1:7" x14ac:dyDescent="0.25">
      <c r="A216">
        <v>470</v>
      </c>
      <c r="B216" t="s">
        <v>14</v>
      </c>
      <c r="C216">
        <v>0.35</v>
      </c>
      <c r="D216">
        <v>0</v>
      </c>
      <c r="E216">
        <v>0</v>
      </c>
      <c r="F216">
        <v>0</v>
      </c>
      <c r="G216">
        <v>1</v>
      </c>
    </row>
    <row r="217" spans="1:7" x14ac:dyDescent="0.25">
      <c r="A217">
        <v>204</v>
      </c>
      <c r="B217" t="s">
        <v>14</v>
      </c>
      <c r="C217">
        <v>0.35</v>
      </c>
      <c r="D217">
        <v>0</v>
      </c>
      <c r="E217">
        <v>0</v>
      </c>
      <c r="F217">
        <v>0</v>
      </c>
      <c r="G217">
        <v>1</v>
      </c>
    </row>
    <row r="218" spans="1:7" x14ac:dyDescent="0.25">
      <c r="A218">
        <v>469</v>
      </c>
      <c r="B218" t="s">
        <v>14</v>
      </c>
      <c r="C218">
        <v>0.35</v>
      </c>
      <c r="D218">
        <v>0</v>
      </c>
      <c r="E218">
        <v>0</v>
      </c>
      <c r="F218">
        <v>0</v>
      </c>
      <c r="G218">
        <v>1</v>
      </c>
    </row>
    <row r="219" spans="1:7" x14ac:dyDescent="0.25">
      <c r="A219">
        <v>210</v>
      </c>
      <c r="B219" t="s">
        <v>14</v>
      </c>
      <c r="C219">
        <v>0.8</v>
      </c>
      <c r="D219">
        <v>0</v>
      </c>
      <c r="E219">
        <v>0</v>
      </c>
      <c r="F219">
        <v>0</v>
      </c>
      <c r="G219">
        <v>1</v>
      </c>
    </row>
    <row r="220" spans="1:7" x14ac:dyDescent="0.25">
      <c r="A220">
        <v>474</v>
      </c>
      <c r="B220" t="s">
        <v>14</v>
      </c>
      <c r="C220">
        <v>0.35</v>
      </c>
      <c r="D220">
        <v>0</v>
      </c>
      <c r="E220">
        <v>0</v>
      </c>
      <c r="F220">
        <v>0</v>
      </c>
      <c r="G220">
        <v>1</v>
      </c>
    </row>
    <row r="221" spans="1:7" x14ac:dyDescent="0.25">
      <c r="A221">
        <v>217</v>
      </c>
      <c r="B221" t="s">
        <v>14</v>
      </c>
      <c r="C221">
        <v>0.35</v>
      </c>
      <c r="D221">
        <v>0</v>
      </c>
      <c r="E221">
        <v>0</v>
      </c>
      <c r="F221">
        <v>0</v>
      </c>
      <c r="G221">
        <v>1</v>
      </c>
    </row>
    <row r="222" spans="1:7" x14ac:dyDescent="0.25">
      <c r="A222">
        <v>109</v>
      </c>
      <c r="B222" t="s">
        <v>14</v>
      </c>
      <c r="C222">
        <v>0.35</v>
      </c>
      <c r="D222">
        <v>0</v>
      </c>
      <c r="E222">
        <v>0</v>
      </c>
      <c r="F222">
        <v>0</v>
      </c>
      <c r="G222">
        <v>1</v>
      </c>
    </row>
    <row r="223" spans="1:7" x14ac:dyDescent="0.25">
      <c r="A223">
        <v>106</v>
      </c>
      <c r="B223" t="s">
        <v>14</v>
      </c>
      <c r="C223">
        <v>0.35</v>
      </c>
      <c r="D223">
        <v>0</v>
      </c>
      <c r="E223">
        <v>0</v>
      </c>
      <c r="F223">
        <v>0</v>
      </c>
      <c r="G223">
        <v>1</v>
      </c>
    </row>
    <row r="224" spans="1:7" x14ac:dyDescent="0.25">
      <c r="A224">
        <v>115</v>
      </c>
      <c r="B224" t="s">
        <v>14</v>
      </c>
      <c r="C224">
        <v>0.4</v>
      </c>
      <c r="D224">
        <v>0</v>
      </c>
      <c r="E224">
        <v>0</v>
      </c>
      <c r="F224">
        <v>0</v>
      </c>
      <c r="G224">
        <v>1</v>
      </c>
    </row>
    <row r="225" spans="1:7" x14ac:dyDescent="0.25">
      <c r="A225">
        <v>436</v>
      </c>
      <c r="B225" t="s">
        <v>14</v>
      </c>
      <c r="C225">
        <v>0.35</v>
      </c>
      <c r="D225">
        <v>0</v>
      </c>
      <c r="E225">
        <v>0</v>
      </c>
      <c r="F225">
        <v>0</v>
      </c>
      <c r="G225">
        <v>1</v>
      </c>
    </row>
    <row r="226" spans="1:7" x14ac:dyDescent="0.25">
      <c r="A226">
        <v>17</v>
      </c>
      <c r="B226" t="s">
        <v>14</v>
      </c>
      <c r="C226">
        <v>0.4</v>
      </c>
      <c r="D226">
        <v>0</v>
      </c>
      <c r="E226">
        <v>0</v>
      </c>
      <c r="F226">
        <v>0</v>
      </c>
      <c r="G226">
        <v>1</v>
      </c>
    </row>
    <row r="227" spans="1:7" x14ac:dyDescent="0.25">
      <c r="A227">
        <v>425</v>
      </c>
      <c r="B227" t="s">
        <v>14</v>
      </c>
      <c r="C227">
        <v>0.35</v>
      </c>
      <c r="D227">
        <v>0</v>
      </c>
      <c r="E227">
        <v>0</v>
      </c>
      <c r="F227">
        <v>0</v>
      </c>
      <c r="G227">
        <v>1</v>
      </c>
    </row>
    <row r="228" spans="1:7" x14ac:dyDescent="0.25">
      <c r="A228">
        <v>379</v>
      </c>
      <c r="B228" t="s">
        <v>14</v>
      </c>
      <c r="C228">
        <v>0.35</v>
      </c>
      <c r="D228">
        <v>0</v>
      </c>
      <c r="E228">
        <v>0</v>
      </c>
      <c r="F228">
        <v>0</v>
      </c>
      <c r="G228">
        <v>1</v>
      </c>
    </row>
    <row r="229" spans="1:7" x14ac:dyDescent="0.25">
      <c r="A229">
        <v>360</v>
      </c>
      <c r="B229" t="s">
        <v>14</v>
      </c>
      <c r="C229">
        <v>0.35</v>
      </c>
      <c r="D229">
        <v>0</v>
      </c>
      <c r="E229">
        <v>0</v>
      </c>
      <c r="F229">
        <v>0</v>
      </c>
      <c r="G229">
        <v>1</v>
      </c>
    </row>
    <row r="230" spans="1:7" x14ac:dyDescent="0.25">
      <c r="A230">
        <v>56</v>
      </c>
      <c r="B230" t="s">
        <v>14</v>
      </c>
      <c r="C230">
        <v>0.35</v>
      </c>
      <c r="D230">
        <v>0</v>
      </c>
      <c r="E230">
        <v>0</v>
      </c>
      <c r="F230">
        <v>0</v>
      </c>
      <c r="G230">
        <v>1</v>
      </c>
    </row>
    <row r="231" spans="1:7" x14ac:dyDescent="0.25">
      <c r="A231">
        <v>16</v>
      </c>
      <c r="B231" t="s">
        <v>14</v>
      </c>
      <c r="C231">
        <v>0.53</v>
      </c>
      <c r="D231">
        <v>0</v>
      </c>
      <c r="E231">
        <v>0</v>
      </c>
      <c r="F231">
        <v>0</v>
      </c>
      <c r="G231">
        <v>1</v>
      </c>
    </row>
    <row r="232" spans="1:7" x14ac:dyDescent="0.25">
      <c r="A232">
        <v>99</v>
      </c>
      <c r="B232" t="s">
        <v>14</v>
      </c>
      <c r="C232">
        <v>0.6</v>
      </c>
      <c r="D232">
        <v>0</v>
      </c>
      <c r="E232">
        <v>0</v>
      </c>
      <c r="F232">
        <v>0</v>
      </c>
      <c r="G232">
        <v>1</v>
      </c>
    </row>
    <row r="233" spans="1:7" x14ac:dyDescent="0.25">
      <c r="A233">
        <v>97</v>
      </c>
      <c r="B233" t="s">
        <v>14</v>
      </c>
      <c r="C233">
        <v>0.35</v>
      </c>
      <c r="D233">
        <v>0</v>
      </c>
      <c r="E233">
        <v>0</v>
      </c>
      <c r="F233">
        <v>0</v>
      </c>
      <c r="G233">
        <v>1</v>
      </c>
    </row>
    <row r="234" spans="1:7" x14ac:dyDescent="0.25">
      <c r="A234">
        <v>351</v>
      </c>
      <c r="B234" t="s">
        <v>14</v>
      </c>
      <c r="C234">
        <v>0.35</v>
      </c>
      <c r="D234">
        <v>0</v>
      </c>
      <c r="E234">
        <v>0</v>
      </c>
      <c r="F234">
        <v>0</v>
      </c>
      <c r="G234">
        <v>1</v>
      </c>
    </row>
    <row r="235" spans="1:7" x14ac:dyDescent="0.25">
      <c r="A235">
        <v>243</v>
      </c>
      <c r="B235" t="s">
        <v>14</v>
      </c>
      <c r="C235">
        <v>0.4</v>
      </c>
      <c r="D235">
        <v>0</v>
      </c>
      <c r="E235">
        <v>0</v>
      </c>
      <c r="F235">
        <v>0</v>
      </c>
      <c r="G235">
        <v>1</v>
      </c>
    </row>
    <row r="236" spans="1:7" x14ac:dyDescent="0.25">
      <c r="A236">
        <v>6</v>
      </c>
      <c r="B236" t="s">
        <v>14</v>
      </c>
      <c r="C236">
        <v>0.53</v>
      </c>
      <c r="D236">
        <v>0</v>
      </c>
      <c r="E236">
        <v>0</v>
      </c>
      <c r="F236">
        <v>0</v>
      </c>
      <c r="G236">
        <v>1</v>
      </c>
    </row>
    <row r="237" spans="1:7" x14ac:dyDescent="0.25">
      <c r="A237">
        <v>342</v>
      </c>
      <c r="B237" t="s">
        <v>14</v>
      </c>
      <c r="C237">
        <v>0.8</v>
      </c>
      <c r="D237">
        <v>0</v>
      </c>
      <c r="E237">
        <v>0</v>
      </c>
      <c r="F237">
        <v>0</v>
      </c>
      <c r="G237">
        <v>1</v>
      </c>
    </row>
    <row r="238" spans="1:7" x14ac:dyDescent="0.25">
      <c r="A238">
        <v>320</v>
      </c>
      <c r="B238" t="s">
        <v>14</v>
      </c>
      <c r="C238">
        <v>1</v>
      </c>
      <c r="D238">
        <v>0</v>
      </c>
      <c r="E238">
        <v>0</v>
      </c>
      <c r="F238">
        <v>0</v>
      </c>
      <c r="G238">
        <v>1</v>
      </c>
    </row>
    <row r="239" spans="1:7" x14ac:dyDescent="0.25">
      <c r="A239">
        <v>505</v>
      </c>
      <c r="B239" t="s">
        <v>14</v>
      </c>
      <c r="C239">
        <v>0.35</v>
      </c>
      <c r="D239">
        <v>0</v>
      </c>
      <c r="E239">
        <v>0</v>
      </c>
      <c r="F239">
        <v>0</v>
      </c>
      <c r="G239">
        <v>1</v>
      </c>
    </row>
    <row r="240" spans="1:7" x14ac:dyDescent="0.25">
      <c r="A240">
        <v>318</v>
      </c>
      <c r="B240" t="s">
        <v>14</v>
      </c>
      <c r="C240">
        <v>1.5</v>
      </c>
      <c r="D240">
        <v>0</v>
      </c>
      <c r="E240">
        <v>0</v>
      </c>
      <c r="F240">
        <v>0</v>
      </c>
      <c r="G240">
        <v>1</v>
      </c>
    </row>
    <row r="241" spans="1:7" x14ac:dyDescent="0.25">
      <c r="A241">
        <v>253</v>
      </c>
      <c r="B241" t="s">
        <v>14</v>
      </c>
      <c r="C241">
        <v>0.4</v>
      </c>
      <c r="D241">
        <v>0</v>
      </c>
      <c r="E241">
        <v>0</v>
      </c>
      <c r="F241">
        <v>0</v>
      </c>
      <c r="G241">
        <v>1</v>
      </c>
    </row>
    <row r="242" spans="1:7" x14ac:dyDescent="0.25">
      <c r="A242">
        <v>526</v>
      </c>
      <c r="B242" t="s">
        <v>14</v>
      </c>
      <c r="C242">
        <v>0.35</v>
      </c>
      <c r="D242">
        <v>0</v>
      </c>
      <c r="E242">
        <v>0</v>
      </c>
      <c r="F242">
        <v>0</v>
      </c>
      <c r="G242">
        <v>1</v>
      </c>
    </row>
    <row r="243" spans="1:7" x14ac:dyDescent="0.25">
      <c r="A243">
        <v>407</v>
      </c>
      <c r="B243" t="s">
        <v>14</v>
      </c>
      <c r="C243">
        <v>0.35</v>
      </c>
      <c r="D243">
        <v>0</v>
      </c>
      <c r="E243">
        <v>0</v>
      </c>
      <c r="F243">
        <v>0</v>
      </c>
      <c r="G243">
        <v>1</v>
      </c>
    </row>
    <row r="244" spans="1:7" x14ac:dyDescent="0.25">
      <c r="A244">
        <v>40</v>
      </c>
      <c r="B244" t="s">
        <v>14</v>
      </c>
      <c r="C244">
        <v>0.8</v>
      </c>
      <c r="D244">
        <v>0</v>
      </c>
      <c r="E244">
        <v>0</v>
      </c>
      <c r="F244">
        <v>0</v>
      </c>
      <c r="G244">
        <v>1</v>
      </c>
    </row>
    <row r="245" spans="1:7" x14ac:dyDescent="0.25">
      <c r="A245">
        <v>78</v>
      </c>
      <c r="B245" t="s">
        <v>14</v>
      </c>
      <c r="C245">
        <v>1.2</v>
      </c>
      <c r="D245">
        <v>0</v>
      </c>
      <c r="E245">
        <v>0</v>
      </c>
      <c r="F245">
        <v>0</v>
      </c>
      <c r="G245">
        <v>1</v>
      </c>
    </row>
    <row r="246" spans="1:7" x14ac:dyDescent="0.25">
      <c r="A246">
        <v>404</v>
      </c>
      <c r="B246" t="s">
        <v>14</v>
      </c>
      <c r="C246">
        <v>0.35</v>
      </c>
      <c r="D246">
        <v>0</v>
      </c>
      <c r="E246">
        <v>0</v>
      </c>
      <c r="F246">
        <v>0</v>
      </c>
      <c r="G246">
        <v>1</v>
      </c>
    </row>
    <row r="247" spans="1:7" x14ac:dyDescent="0.25">
      <c r="A247">
        <v>196</v>
      </c>
      <c r="B247" t="s">
        <v>14</v>
      </c>
      <c r="C247">
        <v>0.6</v>
      </c>
      <c r="D247">
        <v>0</v>
      </c>
      <c r="E247">
        <v>0</v>
      </c>
      <c r="F247">
        <v>0</v>
      </c>
      <c r="G247">
        <v>1</v>
      </c>
    </row>
    <row r="248" spans="1:7" x14ac:dyDescent="0.25">
      <c r="A248">
        <v>200</v>
      </c>
      <c r="B248" t="s">
        <v>14</v>
      </c>
      <c r="C248">
        <v>0.4</v>
      </c>
      <c r="D248">
        <v>0</v>
      </c>
      <c r="E248">
        <v>0</v>
      </c>
      <c r="F248">
        <v>0</v>
      </c>
      <c r="G248">
        <v>1</v>
      </c>
    </row>
    <row r="249" spans="1:7" x14ac:dyDescent="0.25">
      <c r="A249">
        <v>467</v>
      </c>
      <c r="B249" t="s">
        <v>14</v>
      </c>
      <c r="C249">
        <v>0.35</v>
      </c>
      <c r="D249">
        <v>0</v>
      </c>
      <c r="E249">
        <v>0</v>
      </c>
      <c r="F249">
        <v>0</v>
      </c>
      <c r="G249">
        <v>1</v>
      </c>
    </row>
    <row r="250" spans="1:7" x14ac:dyDescent="0.25">
      <c r="A250">
        <v>211</v>
      </c>
      <c r="B250" t="s">
        <v>14</v>
      </c>
      <c r="C250">
        <v>0.35</v>
      </c>
      <c r="D250">
        <v>0</v>
      </c>
      <c r="E250">
        <v>0</v>
      </c>
      <c r="F250">
        <v>0</v>
      </c>
      <c r="G250">
        <v>1</v>
      </c>
    </row>
    <row r="251" spans="1:7" x14ac:dyDescent="0.25">
      <c r="A251">
        <v>203</v>
      </c>
      <c r="B251" t="s">
        <v>14</v>
      </c>
      <c r="C251">
        <v>0.8</v>
      </c>
      <c r="D251">
        <v>0</v>
      </c>
      <c r="E251">
        <v>0</v>
      </c>
      <c r="F251">
        <v>0</v>
      </c>
      <c r="G251">
        <v>1</v>
      </c>
    </row>
    <row r="252" spans="1:7" x14ac:dyDescent="0.25">
      <c r="A252">
        <v>475</v>
      </c>
      <c r="B252" t="s">
        <v>14</v>
      </c>
      <c r="C252">
        <v>0.35</v>
      </c>
      <c r="D252">
        <v>0</v>
      </c>
      <c r="E252">
        <v>0</v>
      </c>
      <c r="F252">
        <v>0</v>
      </c>
      <c r="G252">
        <v>1</v>
      </c>
    </row>
    <row r="253" spans="1:7" x14ac:dyDescent="0.25">
      <c r="A253">
        <v>231</v>
      </c>
      <c r="B253" t="s">
        <v>14</v>
      </c>
      <c r="C253">
        <v>0.35</v>
      </c>
      <c r="D253">
        <v>0</v>
      </c>
      <c r="E253">
        <v>0</v>
      </c>
      <c r="F253">
        <v>0</v>
      </c>
      <c r="G253">
        <v>1</v>
      </c>
    </row>
    <row r="254" spans="1:7" x14ac:dyDescent="0.25">
      <c r="A254">
        <v>107</v>
      </c>
      <c r="B254" t="s">
        <v>14</v>
      </c>
      <c r="C254">
        <v>0.35</v>
      </c>
      <c r="D254">
        <v>0</v>
      </c>
      <c r="E254">
        <v>0</v>
      </c>
      <c r="F254">
        <v>0</v>
      </c>
      <c r="G254">
        <v>1</v>
      </c>
    </row>
    <row r="255" spans="1:7" x14ac:dyDescent="0.25">
      <c r="A255">
        <v>105</v>
      </c>
      <c r="B255" t="s">
        <v>14</v>
      </c>
      <c r="C255">
        <v>0.35</v>
      </c>
      <c r="D255">
        <v>0</v>
      </c>
      <c r="E255">
        <v>0</v>
      </c>
      <c r="F255">
        <v>0</v>
      </c>
      <c r="G255">
        <v>1</v>
      </c>
    </row>
    <row r="256" spans="1:7" x14ac:dyDescent="0.25">
      <c r="A256">
        <v>108</v>
      </c>
      <c r="B256" t="s">
        <v>14</v>
      </c>
      <c r="C256">
        <v>0.35</v>
      </c>
      <c r="D256">
        <v>0</v>
      </c>
      <c r="E256">
        <v>0</v>
      </c>
      <c r="F256">
        <v>0</v>
      </c>
      <c r="G256">
        <v>1</v>
      </c>
    </row>
    <row r="257" spans="1:7" x14ac:dyDescent="0.25">
      <c r="A257">
        <v>435</v>
      </c>
      <c r="B257" t="s">
        <v>14</v>
      </c>
      <c r="C257">
        <v>0.35</v>
      </c>
      <c r="D257">
        <v>0</v>
      </c>
      <c r="E257">
        <v>0</v>
      </c>
      <c r="F257">
        <v>0</v>
      </c>
      <c r="G257">
        <v>1</v>
      </c>
    </row>
    <row r="258" spans="1:7" x14ac:dyDescent="0.25">
      <c r="A258">
        <v>432</v>
      </c>
      <c r="B258" t="s">
        <v>14</v>
      </c>
      <c r="C258">
        <v>0.35</v>
      </c>
      <c r="D258">
        <v>0</v>
      </c>
      <c r="E258">
        <v>0</v>
      </c>
      <c r="F258">
        <v>0</v>
      </c>
      <c r="G258">
        <v>1</v>
      </c>
    </row>
    <row r="259" spans="1:7" x14ac:dyDescent="0.25">
      <c r="A259">
        <v>116</v>
      </c>
      <c r="B259" t="s">
        <v>14</v>
      </c>
      <c r="C259">
        <v>0.4</v>
      </c>
      <c r="D259">
        <v>0</v>
      </c>
      <c r="E259">
        <v>0</v>
      </c>
      <c r="F259">
        <v>0</v>
      </c>
      <c r="G259">
        <v>1</v>
      </c>
    </row>
    <row r="260" spans="1:7" x14ac:dyDescent="0.25">
      <c r="A260">
        <v>359</v>
      </c>
      <c r="B260" t="s">
        <v>14</v>
      </c>
      <c r="C260">
        <v>0.35</v>
      </c>
      <c r="D260">
        <v>0</v>
      </c>
      <c r="E260">
        <v>0</v>
      </c>
      <c r="F260">
        <v>0</v>
      </c>
      <c r="G260">
        <v>1</v>
      </c>
    </row>
    <row r="261" spans="1:7" x14ac:dyDescent="0.25">
      <c r="A261">
        <v>7</v>
      </c>
      <c r="B261" t="s">
        <v>14</v>
      </c>
      <c r="C261">
        <v>0.4</v>
      </c>
      <c r="D261">
        <v>0</v>
      </c>
      <c r="E261">
        <v>0</v>
      </c>
      <c r="F261">
        <v>0</v>
      </c>
      <c r="G261">
        <v>1</v>
      </c>
    </row>
    <row r="262" spans="1:7" x14ac:dyDescent="0.25">
      <c r="A262">
        <v>15</v>
      </c>
      <c r="B262" t="s">
        <v>14</v>
      </c>
      <c r="C262">
        <v>0.4</v>
      </c>
      <c r="D262">
        <v>0</v>
      </c>
      <c r="E262">
        <v>0</v>
      </c>
      <c r="F262">
        <v>0</v>
      </c>
      <c r="G262">
        <v>1</v>
      </c>
    </row>
    <row r="263" spans="1:7" x14ac:dyDescent="0.25">
      <c r="A263">
        <v>427</v>
      </c>
      <c r="B263" t="s">
        <v>14</v>
      </c>
      <c r="C263">
        <v>0.35</v>
      </c>
      <c r="D263">
        <v>0</v>
      </c>
      <c r="E263">
        <v>0</v>
      </c>
      <c r="F263">
        <v>0</v>
      </c>
      <c r="G263">
        <v>1</v>
      </c>
    </row>
    <row r="264" spans="1:7" x14ac:dyDescent="0.25">
      <c r="A264">
        <v>380</v>
      </c>
      <c r="B264" t="s">
        <v>14</v>
      </c>
      <c r="C264">
        <v>0.35</v>
      </c>
      <c r="D264">
        <v>0</v>
      </c>
      <c r="E264">
        <v>0</v>
      </c>
      <c r="F264">
        <v>0</v>
      </c>
      <c r="G264">
        <v>1</v>
      </c>
    </row>
    <row r="265" spans="1:7" x14ac:dyDescent="0.25">
      <c r="A265">
        <v>358</v>
      </c>
      <c r="B265" t="s">
        <v>14</v>
      </c>
      <c r="C265">
        <v>0.35</v>
      </c>
      <c r="D265">
        <v>0</v>
      </c>
      <c r="E265">
        <v>0</v>
      </c>
      <c r="F265">
        <v>0</v>
      </c>
      <c r="G265">
        <v>1</v>
      </c>
    </row>
    <row r="266" spans="1:7" x14ac:dyDescent="0.25">
      <c r="A266">
        <v>428</v>
      </c>
      <c r="B266" t="s">
        <v>14</v>
      </c>
      <c r="C266">
        <v>0.35</v>
      </c>
      <c r="D266">
        <v>0</v>
      </c>
      <c r="E266">
        <v>0</v>
      </c>
      <c r="F266">
        <v>0</v>
      </c>
      <c r="G266">
        <v>1</v>
      </c>
    </row>
    <row r="267" spans="1:7" x14ac:dyDescent="0.25">
      <c r="A267">
        <v>58</v>
      </c>
      <c r="B267" t="s">
        <v>14</v>
      </c>
      <c r="C267">
        <v>0.35</v>
      </c>
      <c r="D267">
        <v>0</v>
      </c>
      <c r="E267">
        <v>0</v>
      </c>
      <c r="F267">
        <v>0</v>
      </c>
      <c r="G267">
        <v>1</v>
      </c>
    </row>
    <row r="268" spans="1:7" x14ac:dyDescent="0.25">
      <c r="A268">
        <v>434</v>
      </c>
      <c r="B268" t="s">
        <v>14</v>
      </c>
      <c r="C268">
        <v>0.35</v>
      </c>
      <c r="D268">
        <v>0</v>
      </c>
      <c r="E268">
        <v>0</v>
      </c>
      <c r="F268">
        <v>0</v>
      </c>
      <c r="G268">
        <v>1</v>
      </c>
    </row>
    <row r="269" spans="1:7" x14ac:dyDescent="0.25">
      <c r="A269">
        <v>100</v>
      </c>
      <c r="B269" t="s">
        <v>14</v>
      </c>
      <c r="C269">
        <v>0.6</v>
      </c>
      <c r="D269">
        <v>0</v>
      </c>
      <c r="E269">
        <v>0</v>
      </c>
      <c r="F269">
        <v>0</v>
      </c>
      <c r="G269">
        <v>1</v>
      </c>
    </row>
    <row r="270" spans="1:7" x14ac:dyDescent="0.25">
      <c r="A270">
        <v>59</v>
      </c>
      <c r="B270" t="s">
        <v>14</v>
      </c>
      <c r="C270">
        <v>0.4</v>
      </c>
      <c r="D270">
        <v>0</v>
      </c>
      <c r="E270">
        <v>0</v>
      </c>
      <c r="F270">
        <v>0</v>
      </c>
      <c r="G270">
        <v>1</v>
      </c>
    </row>
    <row r="271" spans="1:7" x14ac:dyDescent="0.25">
      <c r="A271">
        <v>242</v>
      </c>
      <c r="B271" t="s">
        <v>14</v>
      </c>
      <c r="C271">
        <v>0.53</v>
      </c>
      <c r="D271">
        <v>0</v>
      </c>
      <c r="E271">
        <v>0</v>
      </c>
      <c r="F271">
        <v>0</v>
      </c>
      <c r="G271">
        <v>1</v>
      </c>
    </row>
    <row r="272" spans="1:7" x14ac:dyDescent="0.25">
      <c r="A272">
        <v>321</v>
      </c>
      <c r="B272" t="s">
        <v>14</v>
      </c>
      <c r="C272">
        <v>0.8</v>
      </c>
      <c r="D272">
        <v>0</v>
      </c>
      <c r="E272">
        <v>0</v>
      </c>
      <c r="F272">
        <v>0</v>
      </c>
      <c r="G272">
        <v>1</v>
      </c>
    </row>
    <row r="273" spans="1:7" x14ac:dyDescent="0.25">
      <c r="A273">
        <v>341</v>
      </c>
      <c r="B273" t="s">
        <v>14</v>
      </c>
      <c r="C273">
        <v>0.53</v>
      </c>
      <c r="D273">
        <v>0</v>
      </c>
      <c r="E273">
        <v>0</v>
      </c>
      <c r="F273">
        <v>0</v>
      </c>
      <c r="G273">
        <v>1</v>
      </c>
    </row>
    <row r="274" spans="1:7" x14ac:dyDescent="0.25">
      <c r="A274">
        <v>316</v>
      </c>
      <c r="B274" t="s">
        <v>14</v>
      </c>
      <c r="C274">
        <v>1.5</v>
      </c>
      <c r="D274">
        <v>0</v>
      </c>
      <c r="E274">
        <v>0</v>
      </c>
      <c r="F274">
        <v>0</v>
      </c>
      <c r="G274">
        <v>1</v>
      </c>
    </row>
    <row r="275" spans="1:7" x14ac:dyDescent="0.25">
      <c r="A275">
        <v>254</v>
      </c>
      <c r="B275" t="s">
        <v>14</v>
      </c>
      <c r="C275">
        <v>0.53</v>
      </c>
      <c r="D275">
        <v>0</v>
      </c>
      <c r="E275">
        <v>0</v>
      </c>
      <c r="F275">
        <v>0</v>
      </c>
      <c r="G275">
        <v>1</v>
      </c>
    </row>
    <row r="276" spans="1:7" x14ac:dyDescent="0.25">
      <c r="A276">
        <v>524</v>
      </c>
      <c r="B276" t="s">
        <v>14</v>
      </c>
      <c r="C276">
        <v>0.35</v>
      </c>
      <c r="D276">
        <v>0</v>
      </c>
      <c r="E276">
        <v>0</v>
      </c>
      <c r="F276">
        <v>0</v>
      </c>
      <c r="G276">
        <v>1</v>
      </c>
    </row>
    <row r="277" spans="1:7" x14ac:dyDescent="0.25">
      <c r="A277">
        <v>405</v>
      </c>
      <c r="B277" t="s">
        <v>14</v>
      </c>
      <c r="C277">
        <v>0.35</v>
      </c>
      <c r="D277">
        <v>0</v>
      </c>
      <c r="E277">
        <v>0</v>
      </c>
      <c r="F277">
        <v>0</v>
      </c>
      <c r="G277">
        <v>1</v>
      </c>
    </row>
    <row r="278" spans="1:7" x14ac:dyDescent="0.25">
      <c r="A278">
        <v>39</v>
      </c>
      <c r="B278" t="s">
        <v>14</v>
      </c>
      <c r="C278">
        <v>0.8</v>
      </c>
      <c r="D278">
        <v>0</v>
      </c>
      <c r="E278">
        <v>0</v>
      </c>
      <c r="F278">
        <v>0</v>
      </c>
      <c r="G278">
        <v>1</v>
      </c>
    </row>
    <row r="279" spans="1:7" x14ac:dyDescent="0.25">
      <c r="A279">
        <v>77</v>
      </c>
      <c r="B279" t="s">
        <v>14</v>
      </c>
      <c r="C279">
        <v>1.2</v>
      </c>
      <c r="D279">
        <v>0</v>
      </c>
      <c r="E279">
        <v>0</v>
      </c>
      <c r="F279">
        <v>0</v>
      </c>
      <c r="G279">
        <v>1</v>
      </c>
    </row>
    <row r="280" spans="1:7" x14ac:dyDescent="0.25">
      <c r="A280">
        <v>402</v>
      </c>
      <c r="B280" t="s">
        <v>14</v>
      </c>
      <c r="C280">
        <v>0.35</v>
      </c>
      <c r="D280">
        <v>0</v>
      </c>
      <c r="E280">
        <v>0</v>
      </c>
      <c r="F280">
        <v>0</v>
      </c>
      <c r="G280">
        <v>1</v>
      </c>
    </row>
    <row r="281" spans="1:7" x14ac:dyDescent="0.25">
      <c r="A281">
        <v>197</v>
      </c>
      <c r="B281" t="s">
        <v>14</v>
      </c>
      <c r="C281">
        <v>0.6</v>
      </c>
      <c r="D281">
        <v>0</v>
      </c>
      <c r="E281">
        <v>0</v>
      </c>
      <c r="F281">
        <v>0</v>
      </c>
      <c r="G281">
        <v>1</v>
      </c>
    </row>
    <row r="282" spans="1:7" x14ac:dyDescent="0.25">
      <c r="A282">
        <v>465</v>
      </c>
      <c r="B282" t="s">
        <v>14</v>
      </c>
      <c r="C282">
        <v>0.35</v>
      </c>
      <c r="D282">
        <v>0</v>
      </c>
      <c r="E282">
        <v>0</v>
      </c>
      <c r="F282">
        <v>0</v>
      </c>
      <c r="G282">
        <v>1</v>
      </c>
    </row>
    <row r="283" spans="1:7" x14ac:dyDescent="0.25">
      <c r="A283">
        <v>468</v>
      </c>
      <c r="B283" t="s">
        <v>14</v>
      </c>
      <c r="C283">
        <v>0.35</v>
      </c>
      <c r="D283">
        <v>0</v>
      </c>
      <c r="E283">
        <v>0</v>
      </c>
      <c r="F283">
        <v>0</v>
      </c>
      <c r="G283">
        <v>1</v>
      </c>
    </row>
    <row r="284" spans="1:7" x14ac:dyDescent="0.25">
      <c r="A284">
        <v>466</v>
      </c>
      <c r="B284" t="s">
        <v>14</v>
      </c>
      <c r="C284">
        <v>0.35</v>
      </c>
      <c r="D284">
        <v>0</v>
      </c>
      <c r="E284">
        <v>0</v>
      </c>
      <c r="F284">
        <v>0</v>
      </c>
      <c r="G284">
        <v>1</v>
      </c>
    </row>
    <row r="285" spans="1:7" x14ac:dyDescent="0.25">
      <c r="A285">
        <v>219</v>
      </c>
      <c r="B285" t="s">
        <v>14</v>
      </c>
      <c r="C285">
        <v>0.8</v>
      </c>
      <c r="D285">
        <v>0</v>
      </c>
      <c r="E285">
        <v>0</v>
      </c>
      <c r="F285">
        <v>0</v>
      </c>
      <c r="G285">
        <v>1</v>
      </c>
    </row>
    <row r="286" spans="1:7" x14ac:dyDescent="0.25">
      <c r="A286">
        <v>218</v>
      </c>
      <c r="B286" t="s">
        <v>14</v>
      </c>
      <c r="C286">
        <v>0.35</v>
      </c>
      <c r="D286">
        <v>0</v>
      </c>
      <c r="E286">
        <v>0</v>
      </c>
      <c r="F286">
        <v>0</v>
      </c>
      <c r="G286">
        <v>1</v>
      </c>
    </row>
    <row r="287" spans="1:7" x14ac:dyDescent="0.25">
      <c r="A287">
        <v>274</v>
      </c>
      <c r="B287" t="s">
        <v>14</v>
      </c>
      <c r="C287">
        <v>0.35</v>
      </c>
      <c r="D287">
        <v>0</v>
      </c>
      <c r="E287">
        <v>0</v>
      </c>
      <c r="F287">
        <v>0</v>
      </c>
      <c r="G287">
        <v>1</v>
      </c>
    </row>
    <row r="288" spans="1:7" x14ac:dyDescent="0.25">
      <c r="A288">
        <v>230</v>
      </c>
      <c r="B288" t="s">
        <v>14</v>
      </c>
      <c r="C288">
        <v>0.35</v>
      </c>
      <c r="D288">
        <v>0</v>
      </c>
      <c r="E288">
        <v>0</v>
      </c>
      <c r="F288">
        <v>0</v>
      </c>
      <c r="G288">
        <v>1</v>
      </c>
    </row>
    <row r="289" spans="1:7" x14ac:dyDescent="0.25">
      <c r="A289">
        <v>430</v>
      </c>
      <c r="B289" t="s">
        <v>14</v>
      </c>
      <c r="C289">
        <v>0.35</v>
      </c>
      <c r="D289">
        <v>0</v>
      </c>
      <c r="E289">
        <v>0</v>
      </c>
      <c r="F289">
        <v>0</v>
      </c>
      <c r="G289">
        <v>1</v>
      </c>
    </row>
    <row r="290" spans="1:7" x14ac:dyDescent="0.25">
      <c r="A290">
        <v>104</v>
      </c>
      <c r="B290" t="s">
        <v>14</v>
      </c>
      <c r="C290">
        <v>0.35</v>
      </c>
      <c r="D290">
        <v>0</v>
      </c>
      <c r="E290">
        <v>0</v>
      </c>
      <c r="F290">
        <v>0</v>
      </c>
      <c r="G290">
        <v>1</v>
      </c>
    </row>
    <row r="291" spans="1:7" x14ac:dyDescent="0.25">
      <c r="A291">
        <v>429</v>
      </c>
      <c r="B291" t="s">
        <v>14</v>
      </c>
      <c r="C291">
        <v>0.35</v>
      </c>
      <c r="D291">
        <v>0</v>
      </c>
      <c r="E291">
        <v>0</v>
      </c>
      <c r="F291">
        <v>0</v>
      </c>
      <c r="G291">
        <v>1</v>
      </c>
    </row>
    <row r="292" spans="1:7" x14ac:dyDescent="0.25">
      <c r="A292">
        <v>352</v>
      </c>
      <c r="B292" t="s">
        <v>14</v>
      </c>
      <c r="C292">
        <v>0.35</v>
      </c>
      <c r="D292">
        <v>0</v>
      </c>
      <c r="E292">
        <v>0</v>
      </c>
      <c r="F292">
        <v>0</v>
      </c>
      <c r="G292">
        <v>1</v>
      </c>
    </row>
    <row r="293" spans="1:7" x14ac:dyDescent="0.25">
      <c r="A293">
        <v>241</v>
      </c>
      <c r="B293" t="s">
        <v>14</v>
      </c>
      <c r="C293">
        <v>0.4</v>
      </c>
      <c r="D293">
        <v>0</v>
      </c>
      <c r="E293">
        <v>0</v>
      </c>
      <c r="F293">
        <v>0</v>
      </c>
      <c r="G293">
        <v>1</v>
      </c>
    </row>
    <row r="294" spans="1:7" x14ac:dyDescent="0.25">
      <c r="A294">
        <v>8</v>
      </c>
      <c r="B294" t="s">
        <v>14</v>
      </c>
      <c r="C294">
        <v>0.4</v>
      </c>
      <c r="D294">
        <v>0</v>
      </c>
      <c r="E294">
        <v>0</v>
      </c>
      <c r="F294">
        <v>0</v>
      </c>
      <c r="G294">
        <v>1</v>
      </c>
    </row>
    <row r="295" spans="1:7" x14ac:dyDescent="0.25">
      <c r="A295">
        <v>357</v>
      </c>
      <c r="B295" t="s">
        <v>14</v>
      </c>
      <c r="C295">
        <v>0.35</v>
      </c>
      <c r="D295">
        <v>0</v>
      </c>
      <c r="E295">
        <v>0</v>
      </c>
      <c r="F295">
        <v>0</v>
      </c>
      <c r="G295">
        <v>1</v>
      </c>
    </row>
    <row r="296" spans="1:7" x14ac:dyDescent="0.25">
      <c r="A296">
        <v>9</v>
      </c>
      <c r="B296" t="s">
        <v>14</v>
      </c>
      <c r="C296">
        <v>0.35</v>
      </c>
      <c r="D296">
        <v>0</v>
      </c>
      <c r="E296">
        <v>0</v>
      </c>
      <c r="F296">
        <v>0</v>
      </c>
      <c r="G296">
        <v>1</v>
      </c>
    </row>
    <row r="297" spans="1:7" x14ac:dyDescent="0.25">
      <c r="A297">
        <v>14</v>
      </c>
      <c r="B297" t="s">
        <v>14</v>
      </c>
      <c r="C297">
        <v>0.35</v>
      </c>
      <c r="D297">
        <v>0</v>
      </c>
      <c r="E297">
        <v>0</v>
      </c>
      <c r="F297">
        <v>0</v>
      </c>
      <c r="G297">
        <v>1</v>
      </c>
    </row>
    <row r="298" spans="1:7" x14ac:dyDescent="0.25">
      <c r="A298">
        <v>382</v>
      </c>
      <c r="B298" t="s">
        <v>14</v>
      </c>
      <c r="C298">
        <v>0.35</v>
      </c>
      <c r="D298">
        <v>0</v>
      </c>
      <c r="E298">
        <v>0</v>
      </c>
      <c r="F298">
        <v>0</v>
      </c>
      <c r="G298">
        <v>1</v>
      </c>
    </row>
    <row r="299" spans="1:7" x14ac:dyDescent="0.25">
      <c r="A299">
        <v>381</v>
      </c>
      <c r="B299" t="s">
        <v>14</v>
      </c>
      <c r="C299">
        <v>0.35</v>
      </c>
      <c r="D299">
        <v>0</v>
      </c>
      <c r="E299">
        <v>0</v>
      </c>
      <c r="F299">
        <v>0</v>
      </c>
      <c r="G299">
        <v>1</v>
      </c>
    </row>
    <row r="300" spans="1:7" x14ac:dyDescent="0.25">
      <c r="A300">
        <v>12</v>
      </c>
      <c r="B300" t="s">
        <v>14</v>
      </c>
      <c r="C300">
        <v>0.4</v>
      </c>
      <c r="D300">
        <v>0</v>
      </c>
      <c r="E300">
        <v>0</v>
      </c>
      <c r="F300">
        <v>0</v>
      </c>
      <c r="G300">
        <v>1</v>
      </c>
    </row>
    <row r="301" spans="1:7" x14ac:dyDescent="0.25">
      <c r="A301">
        <v>433</v>
      </c>
      <c r="B301" t="s">
        <v>14</v>
      </c>
      <c r="C301">
        <v>0.35</v>
      </c>
      <c r="D301">
        <v>0</v>
      </c>
      <c r="E301">
        <v>0</v>
      </c>
      <c r="F301">
        <v>0</v>
      </c>
      <c r="G301">
        <v>1</v>
      </c>
    </row>
    <row r="302" spans="1:7" x14ac:dyDescent="0.25">
      <c r="A302">
        <v>102</v>
      </c>
      <c r="B302" t="s">
        <v>14</v>
      </c>
      <c r="C302">
        <v>0.35</v>
      </c>
      <c r="D302">
        <v>0</v>
      </c>
      <c r="E302">
        <v>0</v>
      </c>
      <c r="F302">
        <v>0</v>
      </c>
      <c r="G302">
        <v>1</v>
      </c>
    </row>
    <row r="303" spans="1:7" x14ac:dyDescent="0.25">
      <c r="A303">
        <v>60</v>
      </c>
      <c r="B303" t="s">
        <v>14</v>
      </c>
      <c r="C303">
        <v>0.53</v>
      </c>
      <c r="D303">
        <v>0</v>
      </c>
      <c r="E303">
        <v>0</v>
      </c>
      <c r="F303">
        <v>0</v>
      </c>
      <c r="G303">
        <v>1</v>
      </c>
    </row>
    <row r="304" spans="1:7" x14ac:dyDescent="0.25">
      <c r="A304">
        <v>525</v>
      </c>
      <c r="B304" t="s">
        <v>14</v>
      </c>
      <c r="C304">
        <v>0.35</v>
      </c>
      <c r="D304">
        <v>0</v>
      </c>
      <c r="E304">
        <v>0</v>
      </c>
      <c r="F304">
        <v>0</v>
      </c>
      <c r="G304">
        <v>1</v>
      </c>
    </row>
    <row r="305" spans="1:7" x14ac:dyDescent="0.25">
      <c r="A305">
        <v>504</v>
      </c>
      <c r="B305" t="s">
        <v>14</v>
      </c>
      <c r="C305">
        <v>0.35</v>
      </c>
      <c r="D305">
        <v>0</v>
      </c>
      <c r="E305">
        <v>0</v>
      </c>
      <c r="F305">
        <v>0</v>
      </c>
      <c r="G305">
        <v>1</v>
      </c>
    </row>
    <row r="306" spans="1:7" x14ac:dyDescent="0.25">
      <c r="A306">
        <v>322</v>
      </c>
      <c r="B306" t="s">
        <v>14</v>
      </c>
      <c r="C306">
        <v>0.8</v>
      </c>
      <c r="D306">
        <v>0</v>
      </c>
      <c r="E306">
        <v>0</v>
      </c>
      <c r="F306">
        <v>0</v>
      </c>
      <c r="G306">
        <v>1</v>
      </c>
    </row>
    <row r="307" spans="1:7" x14ac:dyDescent="0.25">
      <c r="A307">
        <v>340</v>
      </c>
      <c r="B307" t="s">
        <v>14</v>
      </c>
      <c r="C307">
        <v>0.53</v>
      </c>
      <c r="D307">
        <v>0</v>
      </c>
      <c r="E307">
        <v>0</v>
      </c>
      <c r="F307">
        <v>0</v>
      </c>
      <c r="G307">
        <v>1</v>
      </c>
    </row>
    <row r="308" spans="1:7" x14ac:dyDescent="0.25">
      <c r="A308">
        <v>315</v>
      </c>
      <c r="B308" t="s">
        <v>14</v>
      </c>
      <c r="C308">
        <v>1.5</v>
      </c>
      <c r="D308">
        <v>0</v>
      </c>
      <c r="E308">
        <v>0</v>
      </c>
      <c r="F308">
        <v>0</v>
      </c>
      <c r="G308">
        <v>1</v>
      </c>
    </row>
    <row r="309" spans="1:7" x14ac:dyDescent="0.25">
      <c r="A309">
        <v>255</v>
      </c>
      <c r="B309" t="s">
        <v>14</v>
      </c>
      <c r="C309">
        <v>0.53</v>
      </c>
      <c r="D309">
        <v>0</v>
      </c>
      <c r="E309">
        <v>0</v>
      </c>
      <c r="F309">
        <v>0</v>
      </c>
      <c r="G309">
        <v>1</v>
      </c>
    </row>
    <row r="310" spans="1:7" x14ac:dyDescent="0.25">
      <c r="A310">
        <v>403</v>
      </c>
      <c r="B310" t="s">
        <v>14</v>
      </c>
      <c r="C310">
        <v>0.35</v>
      </c>
      <c r="D310">
        <v>0</v>
      </c>
      <c r="E310">
        <v>0</v>
      </c>
      <c r="F310">
        <v>0</v>
      </c>
      <c r="G310">
        <v>1</v>
      </c>
    </row>
    <row r="311" spans="1:7" x14ac:dyDescent="0.25">
      <c r="A311">
        <v>337</v>
      </c>
      <c r="B311" t="s">
        <v>14</v>
      </c>
      <c r="C311">
        <v>0.8</v>
      </c>
      <c r="D311">
        <v>0</v>
      </c>
      <c r="E311">
        <v>0</v>
      </c>
      <c r="F311">
        <v>0</v>
      </c>
      <c r="G311">
        <v>1</v>
      </c>
    </row>
    <row r="312" spans="1:7" x14ac:dyDescent="0.25">
      <c r="A312">
        <v>38</v>
      </c>
      <c r="B312" t="s">
        <v>14</v>
      </c>
      <c r="C312">
        <v>0.53</v>
      </c>
      <c r="D312">
        <v>0</v>
      </c>
      <c r="E312">
        <v>0</v>
      </c>
      <c r="F312">
        <v>0</v>
      </c>
      <c r="G312">
        <v>1</v>
      </c>
    </row>
    <row r="313" spans="1:7" x14ac:dyDescent="0.25">
      <c r="A313">
        <v>76</v>
      </c>
      <c r="B313" t="s">
        <v>14</v>
      </c>
      <c r="C313">
        <v>1.2</v>
      </c>
      <c r="D313">
        <v>0</v>
      </c>
      <c r="E313">
        <v>0</v>
      </c>
      <c r="F313">
        <v>0</v>
      </c>
      <c r="G313">
        <v>1</v>
      </c>
    </row>
    <row r="314" spans="1:7" x14ac:dyDescent="0.25">
      <c r="A314">
        <v>400</v>
      </c>
      <c r="B314" t="s">
        <v>14</v>
      </c>
      <c r="C314">
        <v>0.35</v>
      </c>
      <c r="D314">
        <v>0</v>
      </c>
      <c r="E314">
        <v>0</v>
      </c>
      <c r="F314">
        <v>0</v>
      </c>
      <c r="G314">
        <v>1</v>
      </c>
    </row>
    <row r="315" spans="1:7" x14ac:dyDescent="0.25">
      <c r="A315">
        <v>198</v>
      </c>
      <c r="B315" t="s">
        <v>14</v>
      </c>
      <c r="C315">
        <v>0.53</v>
      </c>
      <c r="D315">
        <v>0</v>
      </c>
      <c r="E315">
        <v>0</v>
      </c>
      <c r="F315">
        <v>0</v>
      </c>
      <c r="G315">
        <v>1</v>
      </c>
    </row>
    <row r="316" spans="1:7" x14ac:dyDescent="0.25">
      <c r="A316">
        <v>476</v>
      </c>
      <c r="B316" t="s">
        <v>14</v>
      </c>
      <c r="C316">
        <v>0.35</v>
      </c>
      <c r="D316">
        <v>0</v>
      </c>
      <c r="E316">
        <v>0</v>
      </c>
      <c r="F316">
        <v>0</v>
      </c>
      <c r="G316">
        <v>1</v>
      </c>
    </row>
    <row r="317" spans="1:7" x14ac:dyDescent="0.25">
      <c r="A317">
        <v>220</v>
      </c>
      <c r="B317" t="s">
        <v>14</v>
      </c>
      <c r="C317">
        <v>0.8</v>
      </c>
      <c r="D317">
        <v>0</v>
      </c>
      <c r="E317">
        <v>0</v>
      </c>
      <c r="F317">
        <v>0</v>
      </c>
      <c r="G317">
        <v>1</v>
      </c>
    </row>
    <row r="318" spans="1:7" x14ac:dyDescent="0.25">
      <c r="A318">
        <v>481</v>
      </c>
      <c r="B318" t="s">
        <v>14</v>
      </c>
      <c r="C318">
        <v>0.35</v>
      </c>
      <c r="D318">
        <v>0</v>
      </c>
      <c r="E318">
        <v>0</v>
      </c>
      <c r="F318">
        <v>0</v>
      </c>
      <c r="G318">
        <v>1</v>
      </c>
    </row>
    <row r="319" spans="1:7" x14ac:dyDescent="0.25">
      <c r="A319">
        <v>385</v>
      </c>
      <c r="B319" t="s">
        <v>14</v>
      </c>
      <c r="C319">
        <v>0.35</v>
      </c>
      <c r="D319">
        <v>0</v>
      </c>
      <c r="E319">
        <v>0</v>
      </c>
      <c r="F319">
        <v>0</v>
      </c>
      <c r="G319">
        <v>1</v>
      </c>
    </row>
    <row r="320" spans="1:7" x14ac:dyDescent="0.25">
      <c r="A320">
        <v>279</v>
      </c>
      <c r="B320" t="s">
        <v>14</v>
      </c>
      <c r="C320">
        <v>0.35</v>
      </c>
      <c r="D320">
        <v>0</v>
      </c>
      <c r="E320">
        <v>0</v>
      </c>
      <c r="F320">
        <v>0</v>
      </c>
      <c r="G320">
        <v>1</v>
      </c>
    </row>
    <row r="321" spans="1:7" x14ac:dyDescent="0.25">
      <c r="A321">
        <v>240</v>
      </c>
      <c r="B321" t="s">
        <v>14</v>
      </c>
      <c r="C321">
        <v>0.4</v>
      </c>
      <c r="D321">
        <v>0</v>
      </c>
      <c r="E321">
        <v>0</v>
      </c>
      <c r="F321">
        <v>0</v>
      </c>
      <c r="G321">
        <v>1</v>
      </c>
    </row>
    <row r="322" spans="1:7" x14ac:dyDescent="0.25">
      <c r="A322">
        <v>353</v>
      </c>
      <c r="B322" t="s">
        <v>14</v>
      </c>
      <c r="C322">
        <v>0.35</v>
      </c>
      <c r="D322">
        <v>0</v>
      </c>
      <c r="E322">
        <v>0</v>
      </c>
      <c r="F322">
        <v>0</v>
      </c>
      <c r="G322">
        <v>1</v>
      </c>
    </row>
    <row r="323" spans="1:7" x14ac:dyDescent="0.25">
      <c r="A323">
        <v>239</v>
      </c>
      <c r="B323" t="s">
        <v>14</v>
      </c>
      <c r="C323">
        <v>0.35</v>
      </c>
      <c r="D323">
        <v>0</v>
      </c>
      <c r="E323">
        <v>0</v>
      </c>
      <c r="F323">
        <v>0</v>
      </c>
      <c r="G323">
        <v>1</v>
      </c>
    </row>
    <row r="324" spans="1:7" x14ac:dyDescent="0.25">
      <c r="A324">
        <v>10</v>
      </c>
      <c r="B324" t="s">
        <v>14</v>
      </c>
      <c r="C324">
        <v>0.35</v>
      </c>
      <c r="D324">
        <v>0</v>
      </c>
      <c r="E324">
        <v>0</v>
      </c>
      <c r="F324">
        <v>0</v>
      </c>
      <c r="G324">
        <v>1</v>
      </c>
    </row>
    <row r="325" spans="1:7" x14ac:dyDescent="0.25">
      <c r="A325">
        <v>355</v>
      </c>
      <c r="B325" t="s">
        <v>14</v>
      </c>
      <c r="C325">
        <v>0.35</v>
      </c>
      <c r="D325">
        <v>0</v>
      </c>
      <c r="E325">
        <v>0</v>
      </c>
      <c r="F325">
        <v>0</v>
      </c>
      <c r="G325">
        <v>1</v>
      </c>
    </row>
    <row r="326" spans="1:7" x14ac:dyDescent="0.25">
      <c r="A326">
        <v>11</v>
      </c>
      <c r="B326" t="s">
        <v>14</v>
      </c>
      <c r="C326">
        <v>0.35</v>
      </c>
      <c r="D326">
        <v>0</v>
      </c>
      <c r="E326">
        <v>0</v>
      </c>
      <c r="F326">
        <v>0</v>
      </c>
      <c r="G326">
        <v>1</v>
      </c>
    </row>
    <row r="327" spans="1:7" x14ac:dyDescent="0.25">
      <c r="A327">
        <v>69</v>
      </c>
      <c r="B327" t="s">
        <v>14</v>
      </c>
      <c r="C327">
        <v>0.53</v>
      </c>
      <c r="D327">
        <v>0</v>
      </c>
      <c r="E327">
        <v>0</v>
      </c>
      <c r="F327">
        <v>0</v>
      </c>
      <c r="G327">
        <v>1</v>
      </c>
    </row>
    <row r="328" spans="1:7" x14ac:dyDescent="0.25">
      <c r="A328">
        <v>61</v>
      </c>
      <c r="B328" t="s">
        <v>14</v>
      </c>
      <c r="C328">
        <v>0.35</v>
      </c>
      <c r="D328">
        <v>0</v>
      </c>
      <c r="E328">
        <v>0</v>
      </c>
      <c r="F328">
        <v>0</v>
      </c>
      <c r="G328">
        <v>1</v>
      </c>
    </row>
    <row r="329" spans="1:7" x14ac:dyDescent="0.25">
      <c r="A329">
        <v>103</v>
      </c>
      <c r="B329" t="s">
        <v>14</v>
      </c>
      <c r="C329">
        <v>0.35</v>
      </c>
      <c r="D329">
        <v>0</v>
      </c>
      <c r="E329">
        <v>0</v>
      </c>
      <c r="F329">
        <v>0</v>
      </c>
      <c r="G329">
        <v>1</v>
      </c>
    </row>
    <row r="330" spans="1:7" x14ac:dyDescent="0.25">
      <c r="A330">
        <v>522</v>
      </c>
      <c r="B330" t="s">
        <v>14</v>
      </c>
      <c r="C330">
        <v>0.35</v>
      </c>
      <c r="D330">
        <v>0</v>
      </c>
      <c r="E330">
        <v>0</v>
      </c>
      <c r="F330">
        <v>0</v>
      </c>
      <c r="G330">
        <v>1</v>
      </c>
    </row>
    <row r="331" spans="1:7" x14ac:dyDescent="0.25">
      <c r="A331">
        <v>323</v>
      </c>
      <c r="B331" t="s">
        <v>14</v>
      </c>
      <c r="C331">
        <v>0.8</v>
      </c>
      <c r="D331">
        <v>0</v>
      </c>
      <c r="E331">
        <v>0</v>
      </c>
      <c r="F331">
        <v>0</v>
      </c>
      <c r="G331">
        <v>1</v>
      </c>
    </row>
    <row r="332" spans="1:7" x14ac:dyDescent="0.25">
      <c r="A332">
        <v>338</v>
      </c>
      <c r="B332" t="s">
        <v>14</v>
      </c>
      <c r="C332">
        <v>0.4</v>
      </c>
      <c r="D332">
        <v>0</v>
      </c>
      <c r="E332">
        <v>0</v>
      </c>
      <c r="F332">
        <v>0</v>
      </c>
      <c r="G332">
        <v>1</v>
      </c>
    </row>
    <row r="333" spans="1:7" x14ac:dyDescent="0.25">
      <c r="A333">
        <v>314</v>
      </c>
      <c r="B333" t="s">
        <v>14</v>
      </c>
      <c r="C333">
        <v>1.5</v>
      </c>
      <c r="D333">
        <v>0</v>
      </c>
      <c r="E333">
        <v>0</v>
      </c>
      <c r="F333">
        <v>0</v>
      </c>
      <c r="G333">
        <v>1</v>
      </c>
    </row>
    <row r="334" spans="1:7" x14ac:dyDescent="0.25">
      <c r="A334">
        <v>256</v>
      </c>
      <c r="B334" t="s">
        <v>14</v>
      </c>
      <c r="C334">
        <v>0.35</v>
      </c>
      <c r="D334">
        <v>0</v>
      </c>
      <c r="E334">
        <v>0</v>
      </c>
      <c r="F334">
        <v>0</v>
      </c>
      <c r="G334">
        <v>1</v>
      </c>
    </row>
    <row r="335" spans="1:7" x14ac:dyDescent="0.25">
      <c r="A335">
        <v>520</v>
      </c>
      <c r="B335" t="s">
        <v>14</v>
      </c>
      <c r="C335">
        <v>0.35</v>
      </c>
      <c r="D335">
        <v>0</v>
      </c>
      <c r="E335">
        <v>0</v>
      </c>
      <c r="F335">
        <v>0</v>
      </c>
      <c r="G335">
        <v>1</v>
      </c>
    </row>
    <row r="336" spans="1:7" x14ac:dyDescent="0.25">
      <c r="A336">
        <v>401</v>
      </c>
      <c r="B336" t="s">
        <v>14</v>
      </c>
      <c r="C336">
        <v>0.35</v>
      </c>
      <c r="D336">
        <v>0</v>
      </c>
      <c r="E336">
        <v>0</v>
      </c>
      <c r="F336">
        <v>0</v>
      </c>
      <c r="G336">
        <v>1</v>
      </c>
    </row>
    <row r="337" spans="1:7" x14ac:dyDescent="0.25">
      <c r="A337">
        <v>37</v>
      </c>
      <c r="B337" t="s">
        <v>14</v>
      </c>
      <c r="C337">
        <v>0.53</v>
      </c>
      <c r="D337">
        <v>0</v>
      </c>
      <c r="E337">
        <v>0</v>
      </c>
      <c r="F337">
        <v>0</v>
      </c>
      <c r="G337">
        <v>1</v>
      </c>
    </row>
    <row r="338" spans="1:7" x14ac:dyDescent="0.25">
      <c r="A338">
        <v>336</v>
      </c>
      <c r="B338" t="s">
        <v>14</v>
      </c>
      <c r="C338">
        <v>0.6</v>
      </c>
      <c r="D338">
        <v>0</v>
      </c>
      <c r="E338">
        <v>0</v>
      </c>
      <c r="F338">
        <v>0</v>
      </c>
      <c r="G338">
        <v>1</v>
      </c>
    </row>
    <row r="339" spans="1:7" x14ac:dyDescent="0.25">
      <c r="A339">
        <v>75</v>
      </c>
      <c r="B339" t="s">
        <v>14</v>
      </c>
      <c r="C339">
        <v>1.2</v>
      </c>
      <c r="D339">
        <v>0</v>
      </c>
      <c r="E339">
        <v>0</v>
      </c>
      <c r="F339">
        <v>0</v>
      </c>
      <c r="G339">
        <v>1</v>
      </c>
    </row>
    <row r="340" spans="1:7" x14ac:dyDescent="0.25">
      <c r="A340">
        <v>398</v>
      </c>
      <c r="B340" t="s">
        <v>14</v>
      </c>
      <c r="C340">
        <v>0.35</v>
      </c>
      <c r="D340">
        <v>0</v>
      </c>
      <c r="E340">
        <v>0</v>
      </c>
      <c r="F340">
        <v>0</v>
      </c>
      <c r="G340">
        <v>1</v>
      </c>
    </row>
    <row r="341" spans="1:7" x14ac:dyDescent="0.25">
      <c r="A341">
        <v>199</v>
      </c>
      <c r="B341" t="s">
        <v>14</v>
      </c>
      <c r="C341">
        <v>0.53</v>
      </c>
      <c r="D341">
        <v>0</v>
      </c>
      <c r="E341">
        <v>0</v>
      </c>
      <c r="F341">
        <v>0</v>
      </c>
      <c r="G341">
        <v>1</v>
      </c>
    </row>
    <row r="342" spans="1:7" x14ac:dyDescent="0.25">
      <c r="A342">
        <v>229</v>
      </c>
      <c r="B342" t="s">
        <v>14</v>
      </c>
      <c r="C342">
        <v>0.53</v>
      </c>
      <c r="D342">
        <v>0</v>
      </c>
      <c r="E342">
        <v>0</v>
      </c>
      <c r="F342">
        <v>0</v>
      </c>
      <c r="G342">
        <v>1</v>
      </c>
    </row>
    <row r="343" spans="1:7" x14ac:dyDescent="0.25">
      <c r="A343">
        <v>221</v>
      </c>
      <c r="B343" t="s">
        <v>14</v>
      </c>
      <c r="C343">
        <v>0.35</v>
      </c>
      <c r="D343">
        <v>0</v>
      </c>
      <c r="E343">
        <v>0</v>
      </c>
      <c r="F343">
        <v>0</v>
      </c>
      <c r="G343">
        <v>1</v>
      </c>
    </row>
    <row r="344" spans="1:7" x14ac:dyDescent="0.25">
      <c r="A344">
        <v>238</v>
      </c>
      <c r="B344" t="s">
        <v>14</v>
      </c>
      <c r="C344">
        <v>0.35</v>
      </c>
      <c r="D344">
        <v>0</v>
      </c>
      <c r="E344">
        <v>0</v>
      </c>
      <c r="F344">
        <v>0</v>
      </c>
      <c r="G344">
        <v>1</v>
      </c>
    </row>
    <row r="345" spans="1:7" x14ac:dyDescent="0.25">
      <c r="A345">
        <v>354</v>
      </c>
      <c r="B345" t="s">
        <v>14</v>
      </c>
      <c r="C345">
        <v>0.35</v>
      </c>
      <c r="D345">
        <v>0</v>
      </c>
      <c r="E345">
        <v>0</v>
      </c>
      <c r="F345">
        <v>0</v>
      </c>
      <c r="G345">
        <v>1</v>
      </c>
    </row>
    <row r="346" spans="1:7" x14ac:dyDescent="0.25">
      <c r="A346">
        <v>388</v>
      </c>
      <c r="B346" t="s">
        <v>14</v>
      </c>
      <c r="C346">
        <v>0.35</v>
      </c>
      <c r="D346">
        <v>0</v>
      </c>
      <c r="E346">
        <v>0</v>
      </c>
      <c r="F346">
        <v>0</v>
      </c>
      <c r="G346">
        <v>1</v>
      </c>
    </row>
    <row r="347" spans="1:7" x14ac:dyDescent="0.25">
      <c r="A347">
        <v>384</v>
      </c>
      <c r="B347" t="s">
        <v>14</v>
      </c>
      <c r="C347">
        <v>0.35</v>
      </c>
      <c r="D347">
        <v>0</v>
      </c>
      <c r="E347">
        <v>0</v>
      </c>
      <c r="F347">
        <v>0</v>
      </c>
      <c r="G347">
        <v>1</v>
      </c>
    </row>
    <row r="348" spans="1:7" x14ac:dyDescent="0.25">
      <c r="A348">
        <v>356</v>
      </c>
      <c r="B348" t="s">
        <v>14</v>
      </c>
      <c r="C348">
        <v>0.35</v>
      </c>
      <c r="D348">
        <v>0</v>
      </c>
      <c r="E348">
        <v>0</v>
      </c>
      <c r="F348">
        <v>0</v>
      </c>
      <c r="G348">
        <v>1</v>
      </c>
    </row>
    <row r="349" spans="1:7" x14ac:dyDescent="0.25">
      <c r="A349">
        <v>237</v>
      </c>
      <c r="B349" t="s">
        <v>14</v>
      </c>
      <c r="C349">
        <v>0.4</v>
      </c>
      <c r="D349">
        <v>0</v>
      </c>
      <c r="E349">
        <v>0</v>
      </c>
      <c r="F349">
        <v>0</v>
      </c>
      <c r="G349">
        <v>1</v>
      </c>
    </row>
    <row r="350" spans="1:7" x14ac:dyDescent="0.25">
      <c r="A350">
        <v>67</v>
      </c>
      <c r="B350" t="s">
        <v>14</v>
      </c>
      <c r="C350">
        <v>0.53</v>
      </c>
      <c r="D350">
        <v>0</v>
      </c>
      <c r="E350">
        <v>0</v>
      </c>
      <c r="F350">
        <v>0</v>
      </c>
      <c r="G350">
        <v>1</v>
      </c>
    </row>
    <row r="351" spans="1:7" x14ac:dyDescent="0.25">
      <c r="A351">
        <v>431</v>
      </c>
      <c r="B351" t="s">
        <v>14</v>
      </c>
      <c r="C351">
        <v>0.35</v>
      </c>
      <c r="D351">
        <v>0</v>
      </c>
      <c r="E351">
        <v>0</v>
      </c>
      <c r="F351">
        <v>0</v>
      </c>
      <c r="G351">
        <v>1</v>
      </c>
    </row>
    <row r="352" spans="1:7" x14ac:dyDescent="0.25">
      <c r="A352">
        <v>63</v>
      </c>
      <c r="B352" t="s">
        <v>14</v>
      </c>
      <c r="C352">
        <v>0.35</v>
      </c>
      <c r="D352">
        <v>0</v>
      </c>
      <c r="E352">
        <v>0</v>
      </c>
      <c r="F352">
        <v>0</v>
      </c>
      <c r="G352">
        <v>1</v>
      </c>
    </row>
    <row r="353" spans="1:7" x14ac:dyDescent="0.25">
      <c r="A353">
        <v>62</v>
      </c>
      <c r="B353" t="s">
        <v>14</v>
      </c>
      <c r="C353">
        <v>0.35</v>
      </c>
      <c r="D353">
        <v>0</v>
      </c>
      <c r="E353">
        <v>0</v>
      </c>
      <c r="F353">
        <v>0</v>
      </c>
      <c r="G353">
        <v>1</v>
      </c>
    </row>
    <row r="354" spans="1:7" x14ac:dyDescent="0.25">
      <c r="A354">
        <v>521</v>
      </c>
      <c r="B354" t="s">
        <v>14</v>
      </c>
      <c r="C354">
        <v>0.35</v>
      </c>
      <c r="D354">
        <v>0</v>
      </c>
      <c r="E354">
        <v>0</v>
      </c>
      <c r="F354">
        <v>0</v>
      </c>
      <c r="G354">
        <v>1</v>
      </c>
    </row>
    <row r="355" spans="1:7" x14ac:dyDescent="0.25">
      <c r="A355">
        <v>503</v>
      </c>
      <c r="B355" t="s">
        <v>14</v>
      </c>
      <c r="C355">
        <v>0.35</v>
      </c>
      <c r="D355">
        <v>0</v>
      </c>
      <c r="E355">
        <v>0</v>
      </c>
      <c r="F355">
        <v>0</v>
      </c>
      <c r="G355">
        <v>1</v>
      </c>
    </row>
    <row r="356" spans="1:7" x14ac:dyDescent="0.25">
      <c r="A356">
        <v>324</v>
      </c>
      <c r="B356" t="s">
        <v>14</v>
      </c>
      <c r="C356">
        <v>0.8</v>
      </c>
      <c r="D356">
        <v>0</v>
      </c>
      <c r="E356">
        <v>0</v>
      </c>
      <c r="F356">
        <v>0</v>
      </c>
      <c r="G356">
        <v>1</v>
      </c>
    </row>
    <row r="357" spans="1:7" x14ac:dyDescent="0.25">
      <c r="A357">
        <v>523</v>
      </c>
      <c r="B357" t="s">
        <v>14</v>
      </c>
      <c r="C357">
        <v>0.35</v>
      </c>
      <c r="D357">
        <v>0</v>
      </c>
      <c r="E357">
        <v>0</v>
      </c>
      <c r="F357">
        <v>0</v>
      </c>
      <c r="G357">
        <v>1</v>
      </c>
    </row>
    <row r="358" spans="1:7" x14ac:dyDescent="0.25">
      <c r="A358">
        <v>506</v>
      </c>
      <c r="B358" t="s">
        <v>14</v>
      </c>
      <c r="C358">
        <v>0.35</v>
      </c>
      <c r="D358">
        <v>0</v>
      </c>
      <c r="E358">
        <v>0</v>
      </c>
      <c r="F358">
        <v>0</v>
      </c>
      <c r="G358">
        <v>1</v>
      </c>
    </row>
    <row r="359" spans="1:7" x14ac:dyDescent="0.25">
      <c r="A359">
        <v>312</v>
      </c>
      <c r="B359" t="s">
        <v>14</v>
      </c>
      <c r="C359">
        <v>1.5</v>
      </c>
      <c r="D359">
        <v>0</v>
      </c>
      <c r="E359">
        <v>0</v>
      </c>
      <c r="F359">
        <v>0</v>
      </c>
      <c r="G359">
        <v>1</v>
      </c>
    </row>
    <row r="360" spans="1:7" x14ac:dyDescent="0.25">
      <c r="A360">
        <v>258</v>
      </c>
      <c r="B360" t="s">
        <v>14</v>
      </c>
      <c r="C360">
        <v>0.53</v>
      </c>
      <c r="D360">
        <v>0</v>
      </c>
      <c r="E360">
        <v>0</v>
      </c>
      <c r="F360">
        <v>0</v>
      </c>
      <c r="G360">
        <v>1</v>
      </c>
    </row>
    <row r="361" spans="1:7" x14ac:dyDescent="0.25">
      <c r="A361">
        <v>518</v>
      </c>
      <c r="B361" t="s">
        <v>14</v>
      </c>
      <c r="C361">
        <v>0.35</v>
      </c>
      <c r="D361">
        <v>0</v>
      </c>
      <c r="E361">
        <v>0</v>
      </c>
      <c r="F361">
        <v>0</v>
      </c>
      <c r="G361">
        <v>1</v>
      </c>
    </row>
    <row r="362" spans="1:7" x14ac:dyDescent="0.25">
      <c r="A362">
        <v>399</v>
      </c>
      <c r="B362" t="s">
        <v>14</v>
      </c>
      <c r="C362">
        <v>0.35</v>
      </c>
      <c r="D362">
        <v>0</v>
      </c>
      <c r="E362">
        <v>0</v>
      </c>
      <c r="F362">
        <v>0</v>
      </c>
      <c r="G362">
        <v>1</v>
      </c>
    </row>
    <row r="363" spans="1:7" x14ac:dyDescent="0.25">
      <c r="A363">
        <v>36</v>
      </c>
      <c r="B363" t="s">
        <v>14</v>
      </c>
      <c r="C363">
        <v>0.53</v>
      </c>
      <c r="D363">
        <v>0</v>
      </c>
      <c r="E363">
        <v>0</v>
      </c>
      <c r="F363">
        <v>0</v>
      </c>
      <c r="G363">
        <v>1</v>
      </c>
    </row>
    <row r="364" spans="1:7" x14ac:dyDescent="0.25">
      <c r="A364">
        <v>335</v>
      </c>
      <c r="B364" t="s">
        <v>14</v>
      </c>
      <c r="C364">
        <v>0.4</v>
      </c>
      <c r="D364">
        <v>0</v>
      </c>
      <c r="E364">
        <v>0</v>
      </c>
      <c r="F364">
        <v>0</v>
      </c>
      <c r="G364">
        <v>1</v>
      </c>
    </row>
    <row r="365" spans="1:7" x14ac:dyDescent="0.25">
      <c r="A365">
        <v>74</v>
      </c>
      <c r="B365" t="s">
        <v>14</v>
      </c>
      <c r="C365">
        <v>1.2</v>
      </c>
      <c r="D365">
        <v>0</v>
      </c>
      <c r="E365">
        <v>0</v>
      </c>
      <c r="F365">
        <v>0</v>
      </c>
      <c r="G365">
        <v>1</v>
      </c>
    </row>
    <row r="366" spans="1:7" x14ac:dyDescent="0.25">
      <c r="A366">
        <v>396</v>
      </c>
      <c r="B366" t="s">
        <v>14</v>
      </c>
      <c r="C366">
        <v>0.35</v>
      </c>
      <c r="D366">
        <v>0</v>
      </c>
      <c r="E366">
        <v>0</v>
      </c>
      <c r="F366">
        <v>0</v>
      </c>
      <c r="G366">
        <v>1</v>
      </c>
    </row>
    <row r="367" spans="1:7" x14ac:dyDescent="0.25">
      <c r="A367">
        <v>222</v>
      </c>
      <c r="B367" t="s">
        <v>14</v>
      </c>
      <c r="C367">
        <v>0.53</v>
      </c>
      <c r="D367">
        <v>0</v>
      </c>
      <c r="E367">
        <v>0</v>
      </c>
      <c r="F367">
        <v>0</v>
      </c>
      <c r="G367">
        <v>1</v>
      </c>
    </row>
    <row r="368" spans="1:7" x14ac:dyDescent="0.25">
      <c r="A368">
        <v>228</v>
      </c>
      <c r="B368" t="s">
        <v>14</v>
      </c>
      <c r="C368">
        <v>0.35</v>
      </c>
      <c r="D368">
        <v>0</v>
      </c>
      <c r="E368">
        <v>0</v>
      </c>
      <c r="F368">
        <v>0</v>
      </c>
      <c r="G368">
        <v>1</v>
      </c>
    </row>
    <row r="369" spans="1:7" x14ac:dyDescent="0.25">
      <c r="A369">
        <v>236</v>
      </c>
      <c r="B369" t="s">
        <v>14</v>
      </c>
      <c r="C369">
        <v>0.53</v>
      </c>
      <c r="D369">
        <v>0</v>
      </c>
      <c r="E369">
        <v>0</v>
      </c>
      <c r="F369">
        <v>0</v>
      </c>
      <c r="G369">
        <v>1</v>
      </c>
    </row>
    <row r="370" spans="1:7" x14ac:dyDescent="0.25">
      <c r="A370">
        <v>66</v>
      </c>
      <c r="B370" t="s">
        <v>14</v>
      </c>
      <c r="C370">
        <v>0.35</v>
      </c>
      <c r="D370">
        <v>0</v>
      </c>
      <c r="E370">
        <v>0</v>
      </c>
      <c r="F370">
        <v>0</v>
      </c>
      <c r="G370">
        <v>1</v>
      </c>
    </row>
    <row r="371" spans="1:7" x14ac:dyDescent="0.25">
      <c r="A371">
        <v>65</v>
      </c>
      <c r="B371" t="s">
        <v>14</v>
      </c>
      <c r="C371">
        <v>0.35</v>
      </c>
      <c r="D371">
        <v>0</v>
      </c>
      <c r="E371">
        <v>0</v>
      </c>
      <c r="F371">
        <v>0</v>
      </c>
      <c r="G371">
        <v>1</v>
      </c>
    </row>
    <row r="372" spans="1:7" x14ac:dyDescent="0.25">
      <c r="A372">
        <v>64</v>
      </c>
      <c r="B372" t="s">
        <v>14</v>
      </c>
      <c r="C372">
        <v>0.35</v>
      </c>
      <c r="D372">
        <v>0</v>
      </c>
      <c r="E372">
        <v>0</v>
      </c>
      <c r="F372">
        <v>0</v>
      </c>
      <c r="G372">
        <v>1</v>
      </c>
    </row>
    <row r="373" spans="1:7" x14ac:dyDescent="0.25">
      <c r="A373">
        <v>517</v>
      </c>
      <c r="B373" t="s">
        <v>14</v>
      </c>
      <c r="C373">
        <v>0.35</v>
      </c>
      <c r="D373">
        <v>0</v>
      </c>
      <c r="E373">
        <v>0</v>
      </c>
      <c r="F373">
        <v>0</v>
      </c>
      <c r="G373">
        <v>1</v>
      </c>
    </row>
    <row r="374" spans="1:7" x14ac:dyDescent="0.25">
      <c r="A374">
        <v>325</v>
      </c>
      <c r="B374" t="s">
        <v>14</v>
      </c>
      <c r="C374">
        <v>0.8</v>
      </c>
      <c r="D374">
        <v>0</v>
      </c>
      <c r="E374">
        <v>0</v>
      </c>
      <c r="F374">
        <v>0</v>
      </c>
      <c r="G374">
        <v>1</v>
      </c>
    </row>
    <row r="375" spans="1:7" x14ac:dyDescent="0.25">
      <c r="A375">
        <v>313</v>
      </c>
      <c r="B375" t="s">
        <v>14</v>
      </c>
      <c r="C375">
        <v>1.5</v>
      </c>
      <c r="D375">
        <v>0</v>
      </c>
      <c r="E375">
        <v>0</v>
      </c>
      <c r="F375">
        <v>0</v>
      </c>
      <c r="G375">
        <v>1</v>
      </c>
    </row>
    <row r="376" spans="1:7" x14ac:dyDescent="0.25">
      <c r="A376">
        <v>259</v>
      </c>
      <c r="B376" t="s">
        <v>14</v>
      </c>
      <c r="C376">
        <v>0.35</v>
      </c>
      <c r="D376">
        <v>0</v>
      </c>
      <c r="E376">
        <v>0</v>
      </c>
      <c r="F376">
        <v>0</v>
      </c>
      <c r="G376">
        <v>1</v>
      </c>
    </row>
    <row r="377" spans="1:7" x14ac:dyDescent="0.25">
      <c r="A377">
        <v>516</v>
      </c>
      <c r="B377" t="s">
        <v>14</v>
      </c>
      <c r="C377">
        <v>0.35</v>
      </c>
      <c r="D377">
        <v>0</v>
      </c>
      <c r="E377">
        <v>0</v>
      </c>
      <c r="F377">
        <v>0</v>
      </c>
      <c r="G377">
        <v>1</v>
      </c>
    </row>
    <row r="378" spans="1:7" x14ac:dyDescent="0.25">
      <c r="A378">
        <v>397</v>
      </c>
      <c r="B378" t="s">
        <v>14</v>
      </c>
      <c r="C378">
        <v>0.35</v>
      </c>
      <c r="D378">
        <v>0</v>
      </c>
      <c r="E378">
        <v>0</v>
      </c>
      <c r="F378">
        <v>0</v>
      </c>
      <c r="G378">
        <v>1</v>
      </c>
    </row>
    <row r="379" spans="1:7" x14ac:dyDescent="0.25">
      <c r="A379">
        <v>34</v>
      </c>
      <c r="B379" t="s">
        <v>14</v>
      </c>
      <c r="C379">
        <v>0.53</v>
      </c>
      <c r="D379">
        <v>0</v>
      </c>
      <c r="E379">
        <v>0</v>
      </c>
      <c r="F379">
        <v>0</v>
      </c>
      <c r="G379">
        <v>1</v>
      </c>
    </row>
    <row r="380" spans="1:7" x14ac:dyDescent="0.25">
      <c r="A380">
        <v>334</v>
      </c>
      <c r="B380" t="s">
        <v>14</v>
      </c>
      <c r="C380">
        <v>0.4</v>
      </c>
      <c r="D380">
        <v>0</v>
      </c>
      <c r="E380">
        <v>0</v>
      </c>
      <c r="F380">
        <v>0</v>
      </c>
      <c r="G380">
        <v>1</v>
      </c>
    </row>
    <row r="381" spans="1:7" x14ac:dyDescent="0.25">
      <c r="A381">
        <v>73</v>
      </c>
      <c r="B381" t="s">
        <v>14</v>
      </c>
      <c r="C381">
        <v>1.2</v>
      </c>
      <c r="D381">
        <v>0</v>
      </c>
      <c r="E381">
        <v>0</v>
      </c>
      <c r="F381">
        <v>0</v>
      </c>
      <c r="G381">
        <v>1</v>
      </c>
    </row>
    <row r="382" spans="1:7" x14ac:dyDescent="0.25">
      <c r="A382">
        <v>394</v>
      </c>
      <c r="B382" t="s">
        <v>14</v>
      </c>
      <c r="C382">
        <v>0.35</v>
      </c>
      <c r="D382">
        <v>0</v>
      </c>
      <c r="E382">
        <v>0</v>
      </c>
      <c r="F382">
        <v>0</v>
      </c>
      <c r="G382">
        <v>1</v>
      </c>
    </row>
    <row r="383" spans="1:7" x14ac:dyDescent="0.25">
      <c r="A383">
        <v>225</v>
      </c>
      <c r="B383" t="s">
        <v>14</v>
      </c>
      <c r="C383">
        <v>0.53</v>
      </c>
      <c r="D383">
        <v>0</v>
      </c>
      <c r="E383">
        <v>0</v>
      </c>
      <c r="F383">
        <v>0</v>
      </c>
      <c r="G383">
        <v>1</v>
      </c>
    </row>
    <row r="384" spans="1:7" x14ac:dyDescent="0.25">
      <c r="A384">
        <v>480</v>
      </c>
      <c r="B384" t="s">
        <v>14</v>
      </c>
      <c r="C384">
        <v>0.35</v>
      </c>
      <c r="D384">
        <v>0</v>
      </c>
      <c r="E384">
        <v>0</v>
      </c>
      <c r="F384">
        <v>0</v>
      </c>
      <c r="G384">
        <v>1</v>
      </c>
    </row>
    <row r="385" spans="1:7" x14ac:dyDescent="0.25">
      <c r="A385">
        <v>389</v>
      </c>
      <c r="B385" t="s">
        <v>14</v>
      </c>
      <c r="C385">
        <v>0.35</v>
      </c>
      <c r="D385">
        <v>0</v>
      </c>
      <c r="E385">
        <v>0</v>
      </c>
      <c r="F385">
        <v>0</v>
      </c>
      <c r="G385">
        <v>1</v>
      </c>
    </row>
    <row r="386" spans="1:7" x14ac:dyDescent="0.25">
      <c r="A386">
        <v>234</v>
      </c>
      <c r="B386" t="s">
        <v>14</v>
      </c>
      <c r="C386">
        <v>0.35</v>
      </c>
      <c r="D386">
        <v>0</v>
      </c>
      <c r="E386">
        <v>0</v>
      </c>
      <c r="F386">
        <v>0</v>
      </c>
      <c r="G386">
        <v>1</v>
      </c>
    </row>
    <row r="387" spans="1:7" x14ac:dyDescent="0.25">
      <c r="A387">
        <v>386</v>
      </c>
      <c r="B387" t="s">
        <v>14</v>
      </c>
      <c r="C387">
        <v>0.35</v>
      </c>
      <c r="D387">
        <v>0</v>
      </c>
      <c r="E387">
        <v>0</v>
      </c>
      <c r="F387">
        <v>0</v>
      </c>
      <c r="G387">
        <v>1</v>
      </c>
    </row>
    <row r="388" spans="1:7" x14ac:dyDescent="0.25">
      <c r="A388">
        <v>1</v>
      </c>
      <c r="B388" t="s">
        <v>14</v>
      </c>
      <c r="C388">
        <v>0.35</v>
      </c>
      <c r="D388">
        <v>0</v>
      </c>
      <c r="E388">
        <v>0</v>
      </c>
      <c r="F388">
        <v>0</v>
      </c>
      <c r="G388">
        <v>1</v>
      </c>
    </row>
    <row r="389" spans="1:7" x14ac:dyDescent="0.25">
      <c r="A389">
        <v>387</v>
      </c>
      <c r="B389" t="s">
        <v>14</v>
      </c>
      <c r="C389">
        <v>0.35</v>
      </c>
      <c r="D389">
        <v>0</v>
      </c>
      <c r="E389">
        <v>0</v>
      </c>
      <c r="F389">
        <v>0</v>
      </c>
      <c r="G389">
        <v>1</v>
      </c>
    </row>
    <row r="390" spans="1:7" x14ac:dyDescent="0.25">
      <c r="A390">
        <v>515</v>
      </c>
      <c r="B390" t="s">
        <v>14</v>
      </c>
      <c r="C390">
        <v>0.35</v>
      </c>
      <c r="D390">
        <v>0</v>
      </c>
      <c r="E390">
        <v>0</v>
      </c>
      <c r="F390">
        <v>0</v>
      </c>
      <c r="G390">
        <v>1</v>
      </c>
    </row>
    <row r="391" spans="1:7" x14ac:dyDescent="0.25">
      <c r="A391">
        <v>502</v>
      </c>
      <c r="B391" t="s">
        <v>14</v>
      </c>
      <c r="C391">
        <v>0.35</v>
      </c>
      <c r="D391">
        <v>0</v>
      </c>
      <c r="E391">
        <v>0</v>
      </c>
      <c r="F391">
        <v>0</v>
      </c>
      <c r="G391">
        <v>1</v>
      </c>
    </row>
    <row r="392" spans="1:7" x14ac:dyDescent="0.25">
      <c r="A392">
        <v>326</v>
      </c>
      <c r="B392" t="s">
        <v>14</v>
      </c>
      <c r="C392">
        <v>0.8</v>
      </c>
      <c r="D392">
        <v>0</v>
      </c>
      <c r="E392">
        <v>0</v>
      </c>
      <c r="F392">
        <v>0</v>
      </c>
      <c r="G392">
        <v>1</v>
      </c>
    </row>
    <row r="393" spans="1:7" x14ac:dyDescent="0.25">
      <c r="A393">
        <v>311</v>
      </c>
      <c r="B393" t="s">
        <v>14</v>
      </c>
      <c r="C393">
        <v>1.5</v>
      </c>
      <c r="D393">
        <v>0</v>
      </c>
      <c r="E393">
        <v>0</v>
      </c>
      <c r="F393">
        <v>0</v>
      </c>
      <c r="G393">
        <v>1</v>
      </c>
    </row>
    <row r="394" spans="1:7" x14ac:dyDescent="0.25">
      <c r="A394">
        <v>260</v>
      </c>
      <c r="B394" t="s">
        <v>14</v>
      </c>
      <c r="C394">
        <v>0.4</v>
      </c>
      <c r="D394">
        <v>0</v>
      </c>
      <c r="E394">
        <v>0</v>
      </c>
      <c r="F394">
        <v>0</v>
      </c>
      <c r="G394">
        <v>1</v>
      </c>
    </row>
    <row r="395" spans="1:7" x14ac:dyDescent="0.25">
      <c r="A395">
        <v>514</v>
      </c>
      <c r="B395" t="s">
        <v>14</v>
      </c>
      <c r="C395">
        <v>0.35</v>
      </c>
      <c r="D395">
        <v>0</v>
      </c>
      <c r="E395">
        <v>0</v>
      </c>
      <c r="F395">
        <v>0</v>
      </c>
      <c r="G395">
        <v>1</v>
      </c>
    </row>
    <row r="396" spans="1:7" x14ac:dyDescent="0.25">
      <c r="A396">
        <v>395</v>
      </c>
      <c r="B396" t="s">
        <v>14</v>
      </c>
      <c r="C396">
        <v>0.35</v>
      </c>
      <c r="D396">
        <v>0</v>
      </c>
      <c r="E396">
        <v>0</v>
      </c>
      <c r="F396">
        <v>0</v>
      </c>
      <c r="G396">
        <v>1</v>
      </c>
    </row>
    <row r="397" spans="1:7" x14ac:dyDescent="0.25">
      <c r="A397">
        <v>33</v>
      </c>
      <c r="B397" t="s">
        <v>14</v>
      </c>
      <c r="C397">
        <v>0.53</v>
      </c>
      <c r="D397">
        <v>0</v>
      </c>
      <c r="E397">
        <v>0</v>
      </c>
      <c r="F397">
        <v>0</v>
      </c>
      <c r="G397">
        <v>1</v>
      </c>
    </row>
    <row r="398" spans="1:7" x14ac:dyDescent="0.25">
      <c r="A398">
        <v>333</v>
      </c>
      <c r="B398" t="s">
        <v>14</v>
      </c>
      <c r="C398">
        <v>0.4</v>
      </c>
      <c r="D398">
        <v>0</v>
      </c>
      <c r="E398">
        <v>0</v>
      </c>
      <c r="F398">
        <v>0</v>
      </c>
      <c r="G398">
        <v>1</v>
      </c>
    </row>
    <row r="399" spans="1:7" x14ac:dyDescent="0.25">
      <c r="A399">
        <v>72</v>
      </c>
      <c r="B399" t="s">
        <v>14</v>
      </c>
      <c r="C399">
        <v>1.2</v>
      </c>
      <c r="D399">
        <v>0</v>
      </c>
      <c r="E399">
        <v>0</v>
      </c>
      <c r="F399">
        <v>0</v>
      </c>
      <c r="G399">
        <v>1</v>
      </c>
    </row>
    <row r="400" spans="1:7" x14ac:dyDescent="0.25">
      <c r="A400">
        <v>478</v>
      </c>
      <c r="B400" t="s">
        <v>14</v>
      </c>
      <c r="C400">
        <v>0.35</v>
      </c>
      <c r="D400">
        <v>0</v>
      </c>
      <c r="E400">
        <v>0</v>
      </c>
      <c r="F400">
        <v>0</v>
      </c>
      <c r="G400">
        <v>1</v>
      </c>
    </row>
    <row r="401" spans="1:7" x14ac:dyDescent="0.25">
      <c r="A401">
        <v>392</v>
      </c>
      <c r="B401" t="s">
        <v>14</v>
      </c>
      <c r="C401">
        <v>0.35</v>
      </c>
      <c r="D401">
        <v>0</v>
      </c>
      <c r="E401">
        <v>0</v>
      </c>
      <c r="F401">
        <v>0</v>
      </c>
      <c r="G401">
        <v>1</v>
      </c>
    </row>
    <row r="402" spans="1:7" x14ac:dyDescent="0.25">
      <c r="A402">
        <v>226</v>
      </c>
      <c r="B402" t="s">
        <v>14</v>
      </c>
      <c r="C402">
        <v>0.53</v>
      </c>
      <c r="D402">
        <v>0</v>
      </c>
      <c r="E402">
        <v>0</v>
      </c>
      <c r="F402">
        <v>0</v>
      </c>
      <c r="G402">
        <v>1</v>
      </c>
    </row>
    <row r="403" spans="1:7" x14ac:dyDescent="0.25">
      <c r="A403">
        <v>513</v>
      </c>
      <c r="B403" t="s">
        <v>14</v>
      </c>
      <c r="C403">
        <v>0.35</v>
      </c>
      <c r="D403">
        <v>0</v>
      </c>
      <c r="E403">
        <v>0</v>
      </c>
      <c r="F403">
        <v>0</v>
      </c>
      <c r="G403">
        <v>1</v>
      </c>
    </row>
    <row r="404" spans="1:7" x14ac:dyDescent="0.25">
      <c r="A404">
        <v>327</v>
      </c>
      <c r="B404" t="s">
        <v>14</v>
      </c>
      <c r="C404">
        <v>0.8</v>
      </c>
      <c r="D404">
        <v>0</v>
      </c>
      <c r="E404">
        <v>0</v>
      </c>
      <c r="F404">
        <v>0</v>
      </c>
      <c r="G404">
        <v>1</v>
      </c>
    </row>
    <row r="405" spans="1:7" x14ac:dyDescent="0.25">
      <c r="A405">
        <v>507</v>
      </c>
      <c r="B405" t="s">
        <v>14</v>
      </c>
      <c r="C405">
        <v>0.35</v>
      </c>
      <c r="D405">
        <v>0</v>
      </c>
      <c r="E405">
        <v>0</v>
      </c>
      <c r="F405">
        <v>0</v>
      </c>
      <c r="G405">
        <v>1</v>
      </c>
    </row>
    <row r="406" spans="1:7" x14ac:dyDescent="0.25">
      <c r="A406">
        <v>310</v>
      </c>
      <c r="B406" t="s">
        <v>14</v>
      </c>
      <c r="C406">
        <v>1.5</v>
      </c>
      <c r="D406">
        <v>0</v>
      </c>
      <c r="E406">
        <v>0</v>
      </c>
      <c r="F406">
        <v>0</v>
      </c>
      <c r="G406">
        <v>1</v>
      </c>
    </row>
    <row r="407" spans="1:7" x14ac:dyDescent="0.25">
      <c r="A407">
        <v>261</v>
      </c>
      <c r="B407" t="s">
        <v>14</v>
      </c>
      <c r="C407">
        <v>0.35</v>
      </c>
      <c r="D407">
        <v>0</v>
      </c>
      <c r="E407">
        <v>0</v>
      </c>
      <c r="F407">
        <v>0</v>
      </c>
      <c r="G407">
        <v>1</v>
      </c>
    </row>
    <row r="408" spans="1:7" x14ac:dyDescent="0.25">
      <c r="A408">
        <v>512</v>
      </c>
      <c r="B408" t="s">
        <v>14</v>
      </c>
      <c r="C408">
        <v>0.35</v>
      </c>
      <c r="D408">
        <v>0</v>
      </c>
      <c r="E408">
        <v>0</v>
      </c>
      <c r="F408">
        <v>0</v>
      </c>
      <c r="G408">
        <v>1</v>
      </c>
    </row>
    <row r="409" spans="1:7" x14ac:dyDescent="0.25">
      <c r="A409">
        <v>393</v>
      </c>
      <c r="B409" t="s">
        <v>14</v>
      </c>
      <c r="C409">
        <v>0.35</v>
      </c>
      <c r="D409">
        <v>0</v>
      </c>
      <c r="E409">
        <v>0</v>
      </c>
      <c r="F409">
        <v>0</v>
      </c>
      <c r="G409">
        <v>1</v>
      </c>
    </row>
    <row r="410" spans="1:7" x14ac:dyDescent="0.25">
      <c r="A410">
        <v>32</v>
      </c>
      <c r="B410" t="s">
        <v>14</v>
      </c>
      <c r="C410">
        <v>0.53</v>
      </c>
      <c r="D410">
        <v>0</v>
      </c>
      <c r="E410">
        <v>0</v>
      </c>
      <c r="F410">
        <v>0</v>
      </c>
      <c r="G410">
        <v>1</v>
      </c>
    </row>
    <row r="411" spans="1:7" x14ac:dyDescent="0.25">
      <c r="A411">
        <v>332</v>
      </c>
      <c r="B411" t="s">
        <v>14</v>
      </c>
      <c r="C411">
        <v>0.35</v>
      </c>
      <c r="D411">
        <v>0</v>
      </c>
      <c r="E411">
        <v>0</v>
      </c>
      <c r="F411">
        <v>0</v>
      </c>
      <c r="G411">
        <v>1</v>
      </c>
    </row>
    <row r="412" spans="1:7" x14ac:dyDescent="0.25">
      <c r="A412">
        <v>71</v>
      </c>
      <c r="B412" t="s">
        <v>14</v>
      </c>
      <c r="C412">
        <v>1.2</v>
      </c>
      <c r="D412">
        <v>0</v>
      </c>
      <c r="E412">
        <v>0</v>
      </c>
      <c r="F412">
        <v>0</v>
      </c>
      <c r="G412">
        <v>1</v>
      </c>
    </row>
    <row r="413" spans="1:7" x14ac:dyDescent="0.25">
      <c r="A413">
        <v>227</v>
      </c>
      <c r="B413" t="s">
        <v>14</v>
      </c>
      <c r="C413">
        <v>0.53</v>
      </c>
      <c r="D413">
        <v>0</v>
      </c>
      <c r="E413">
        <v>0</v>
      </c>
      <c r="F413">
        <v>0</v>
      </c>
      <c r="G413">
        <v>1</v>
      </c>
    </row>
    <row r="414" spans="1:7" x14ac:dyDescent="0.25">
      <c r="A414">
        <v>511</v>
      </c>
      <c r="B414" t="s">
        <v>14</v>
      </c>
      <c r="C414">
        <v>0.35</v>
      </c>
      <c r="D414">
        <v>0</v>
      </c>
      <c r="E414">
        <v>0</v>
      </c>
      <c r="F414">
        <v>0</v>
      </c>
      <c r="G414">
        <v>1</v>
      </c>
    </row>
    <row r="415" spans="1:7" x14ac:dyDescent="0.25">
      <c r="A415">
        <v>501</v>
      </c>
      <c r="B415" t="s">
        <v>14</v>
      </c>
      <c r="C415">
        <v>0.35</v>
      </c>
      <c r="D415">
        <v>0</v>
      </c>
      <c r="E415">
        <v>0</v>
      </c>
      <c r="F415">
        <v>0</v>
      </c>
      <c r="G415">
        <v>1</v>
      </c>
    </row>
    <row r="416" spans="1:7" x14ac:dyDescent="0.25">
      <c r="A416">
        <v>329</v>
      </c>
      <c r="B416" t="s">
        <v>14</v>
      </c>
      <c r="C416">
        <v>0.8</v>
      </c>
      <c r="D416">
        <v>0</v>
      </c>
      <c r="E416">
        <v>0</v>
      </c>
      <c r="F416">
        <v>0</v>
      </c>
      <c r="G416">
        <v>1</v>
      </c>
    </row>
    <row r="417" spans="1:7" x14ac:dyDescent="0.25">
      <c r="A417">
        <v>309</v>
      </c>
      <c r="B417" t="s">
        <v>14</v>
      </c>
      <c r="C417">
        <v>1.2</v>
      </c>
      <c r="D417">
        <v>0</v>
      </c>
      <c r="E417">
        <v>0</v>
      </c>
      <c r="F417">
        <v>0</v>
      </c>
      <c r="G417">
        <v>1</v>
      </c>
    </row>
    <row r="418" spans="1:7" x14ac:dyDescent="0.25">
      <c r="A418">
        <v>262</v>
      </c>
      <c r="B418" t="s">
        <v>14</v>
      </c>
      <c r="C418">
        <v>0.35</v>
      </c>
      <c r="D418">
        <v>0</v>
      </c>
      <c r="E418">
        <v>0</v>
      </c>
      <c r="F418">
        <v>0</v>
      </c>
      <c r="G418">
        <v>1</v>
      </c>
    </row>
    <row r="419" spans="1:7" x14ac:dyDescent="0.25">
      <c r="A419">
        <v>510</v>
      </c>
      <c r="B419" t="s">
        <v>14</v>
      </c>
      <c r="C419">
        <v>0.35</v>
      </c>
      <c r="D419">
        <v>0</v>
      </c>
      <c r="E419">
        <v>0</v>
      </c>
      <c r="F419">
        <v>0</v>
      </c>
      <c r="G419">
        <v>1</v>
      </c>
    </row>
    <row r="420" spans="1:7" x14ac:dyDescent="0.25">
      <c r="A420">
        <v>31</v>
      </c>
      <c r="B420" t="s">
        <v>14</v>
      </c>
      <c r="C420">
        <v>0.53</v>
      </c>
      <c r="D420">
        <v>0</v>
      </c>
      <c r="E420">
        <v>0</v>
      </c>
      <c r="F420">
        <v>0</v>
      </c>
      <c r="G420">
        <v>1</v>
      </c>
    </row>
    <row r="421" spans="1:7" x14ac:dyDescent="0.25">
      <c r="A421">
        <v>331</v>
      </c>
      <c r="B421" t="s">
        <v>14</v>
      </c>
      <c r="C421">
        <v>0.35</v>
      </c>
      <c r="D421">
        <v>0</v>
      </c>
      <c r="E421">
        <v>0</v>
      </c>
      <c r="F421">
        <v>0</v>
      </c>
      <c r="G421">
        <v>1</v>
      </c>
    </row>
    <row r="422" spans="1:7" x14ac:dyDescent="0.25">
      <c r="A422">
        <v>479</v>
      </c>
      <c r="B422" t="s">
        <v>14</v>
      </c>
      <c r="C422">
        <v>0.35</v>
      </c>
      <c r="D422">
        <v>0</v>
      </c>
      <c r="E422">
        <v>0</v>
      </c>
      <c r="F422">
        <v>0</v>
      </c>
      <c r="G422">
        <v>1</v>
      </c>
    </row>
    <row r="423" spans="1:7" x14ac:dyDescent="0.25">
      <c r="A423">
        <v>70</v>
      </c>
      <c r="B423" t="s">
        <v>14</v>
      </c>
      <c r="C423">
        <v>1.2</v>
      </c>
      <c r="D423">
        <v>0</v>
      </c>
      <c r="E423">
        <v>0</v>
      </c>
      <c r="F423">
        <v>0</v>
      </c>
      <c r="G423">
        <v>1</v>
      </c>
    </row>
    <row r="424" spans="1:7" x14ac:dyDescent="0.25">
      <c r="A424">
        <v>390</v>
      </c>
      <c r="B424" t="s">
        <v>14</v>
      </c>
      <c r="C424">
        <v>0.35</v>
      </c>
      <c r="D424">
        <v>0</v>
      </c>
      <c r="E424">
        <v>0</v>
      </c>
      <c r="F424">
        <v>0</v>
      </c>
      <c r="G424">
        <v>1</v>
      </c>
    </row>
    <row r="425" spans="1:7" x14ac:dyDescent="0.25">
      <c r="A425">
        <v>273</v>
      </c>
      <c r="B425" t="s">
        <v>14</v>
      </c>
      <c r="C425">
        <v>0.35</v>
      </c>
      <c r="D425">
        <v>0</v>
      </c>
      <c r="E425">
        <v>0</v>
      </c>
      <c r="F425">
        <v>0</v>
      </c>
      <c r="G425">
        <v>1</v>
      </c>
    </row>
    <row r="426" spans="1:7" x14ac:dyDescent="0.25">
      <c r="A426">
        <v>509</v>
      </c>
      <c r="B426" t="s">
        <v>14</v>
      </c>
      <c r="C426">
        <v>0.35</v>
      </c>
      <c r="D426">
        <v>0</v>
      </c>
      <c r="E426">
        <v>0</v>
      </c>
      <c r="F426">
        <v>0</v>
      </c>
      <c r="G426">
        <v>1</v>
      </c>
    </row>
    <row r="427" spans="1:7" x14ac:dyDescent="0.25">
      <c r="A427">
        <v>500</v>
      </c>
      <c r="B427" t="s">
        <v>14</v>
      </c>
      <c r="C427">
        <v>0.35</v>
      </c>
      <c r="D427">
        <v>0</v>
      </c>
      <c r="E427">
        <v>0</v>
      </c>
      <c r="F427">
        <v>0</v>
      </c>
      <c r="G427">
        <v>1</v>
      </c>
    </row>
    <row r="428" spans="1:7" x14ac:dyDescent="0.25">
      <c r="A428">
        <v>299</v>
      </c>
      <c r="B428" t="s">
        <v>14</v>
      </c>
      <c r="C428">
        <v>0.8</v>
      </c>
      <c r="D428">
        <v>0</v>
      </c>
      <c r="E428">
        <v>0</v>
      </c>
      <c r="F428">
        <v>0</v>
      </c>
      <c r="G428">
        <v>1</v>
      </c>
    </row>
    <row r="429" spans="1:7" x14ac:dyDescent="0.25">
      <c r="A429">
        <v>508</v>
      </c>
      <c r="B429" t="s">
        <v>14</v>
      </c>
      <c r="C429">
        <v>0.35</v>
      </c>
      <c r="D429">
        <v>0</v>
      </c>
      <c r="E429">
        <v>0</v>
      </c>
      <c r="F429">
        <v>0</v>
      </c>
      <c r="G429">
        <v>1</v>
      </c>
    </row>
    <row r="430" spans="1:7" x14ac:dyDescent="0.25">
      <c r="A430">
        <v>308</v>
      </c>
      <c r="B430" t="s">
        <v>14</v>
      </c>
      <c r="C430">
        <v>1.2</v>
      </c>
      <c r="D430">
        <v>0</v>
      </c>
      <c r="E430">
        <v>0</v>
      </c>
      <c r="F430">
        <v>0</v>
      </c>
      <c r="G430">
        <v>1</v>
      </c>
    </row>
    <row r="431" spans="1:7" x14ac:dyDescent="0.25">
      <c r="A431">
        <v>263</v>
      </c>
      <c r="B431" t="s">
        <v>14</v>
      </c>
      <c r="C431">
        <v>0.4</v>
      </c>
      <c r="D431">
        <v>0</v>
      </c>
      <c r="E431">
        <v>0</v>
      </c>
      <c r="F431">
        <v>0</v>
      </c>
      <c r="G431">
        <v>1</v>
      </c>
    </row>
    <row r="432" spans="1:7" x14ac:dyDescent="0.25">
      <c r="A432">
        <v>391</v>
      </c>
      <c r="B432" t="s">
        <v>14</v>
      </c>
      <c r="C432">
        <v>0.35</v>
      </c>
      <c r="D432">
        <v>0</v>
      </c>
      <c r="E432">
        <v>0</v>
      </c>
      <c r="F432">
        <v>0</v>
      </c>
      <c r="G432">
        <v>1</v>
      </c>
    </row>
    <row r="433" spans="1:7" x14ac:dyDescent="0.25">
      <c r="A433">
        <v>30</v>
      </c>
      <c r="B433" t="s">
        <v>14</v>
      </c>
      <c r="C433">
        <v>0.53</v>
      </c>
      <c r="D433">
        <v>0</v>
      </c>
      <c r="E433">
        <v>0</v>
      </c>
      <c r="F433">
        <v>0</v>
      </c>
      <c r="G433">
        <v>1</v>
      </c>
    </row>
    <row r="434" spans="1:7" x14ac:dyDescent="0.25">
      <c r="A434">
        <v>330</v>
      </c>
      <c r="B434" t="s">
        <v>14</v>
      </c>
      <c r="C434">
        <v>0.35</v>
      </c>
      <c r="D434">
        <v>0</v>
      </c>
      <c r="E434">
        <v>0</v>
      </c>
      <c r="F434">
        <v>0</v>
      </c>
      <c r="G434">
        <v>1</v>
      </c>
    </row>
    <row r="435" spans="1:7" x14ac:dyDescent="0.25">
      <c r="A435">
        <v>29</v>
      </c>
      <c r="B435" t="s">
        <v>14</v>
      </c>
      <c r="C435">
        <v>1.2</v>
      </c>
      <c r="D435">
        <v>0</v>
      </c>
      <c r="E435">
        <v>0</v>
      </c>
      <c r="F435">
        <v>0</v>
      </c>
      <c r="G435">
        <v>1</v>
      </c>
    </row>
    <row r="436" spans="1:7" x14ac:dyDescent="0.25">
      <c r="A436">
        <v>495</v>
      </c>
      <c r="B436" t="s">
        <v>14</v>
      </c>
      <c r="C436">
        <v>0.35</v>
      </c>
      <c r="D436">
        <v>0</v>
      </c>
      <c r="E436">
        <v>0</v>
      </c>
      <c r="F436">
        <v>0</v>
      </c>
      <c r="G436">
        <v>1</v>
      </c>
    </row>
    <row r="437" spans="1:7" x14ac:dyDescent="0.25">
      <c r="A437">
        <v>486</v>
      </c>
      <c r="B437" t="s">
        <v>14</v>
      </c>
      <c r="C437">
        <v>0.35</v>
      </c>
      <c r="D437">
        <v>0</v>
      </c>
      <c r="E437">
        <v>0</v>
      </c>
      <c r="F437">
        <v>0</v>
      </c>
      <c r="G437">
        <v>1</v>
      </c>
    </row>
    <row r="438" spans="1:7" x14ac:dyDescent="0.25">
      <c r="A438">
        <v>298</v>
      </c>
      <c r="B438" t="s">
        <v>14</v>
      </c>
      <c r="C438">
        <v>0.4</v>
      </c>
      <c r="D438">
        <v>0</v>
      </c>
      <c r="E438">
        <v>0</v>
      </c>
      <c r="F438">
        <v>0</v>
      </c>
      <c r="G438">
        <v>1</v>
      </c>
    </row>
    <row r="439" spans="1:7" x14ac:dyDescent="0.25">
      <c r="A439">
        <v>307</v>
      </c>
      <c r="B439" t="s">
        <v>14</v>
      </c>
      <c r="C439">
        <v>1.2</v>
      </c>
      <c r="D439">
        <v>0</v>
      </c>
      <c r="E439">
        <v>0</v>
      </c>
      <c r="F439">
        <v>0</v>
      </c>
      <c r="G439">
        <v>1</v>
      </c>
    </row>
    <row r="440" spans="1:7" x14ac:dyDescent="0.25">
      <c r="A440">
        <v>264</v>
      </c>
      <c r="B440" t="s">
        <v>14</v>
      </c>
      <c r="C440">
        <v>0.35</v>
      </c>
      <c r="D440">
        <v>0</v>
      </c>
      <c r="E440">
        <v>0</v>
      </c>
      <c r="F440">
        <v>0</v>
      </c>
      <c r="G440">
        <v>1</v>
      </c>
    </row>
    <row r="441" spans="1:7" x14ac:dyDescent="0.25">
      <c r="A441">
        <v>300</v>
      </c>
      <c r="B441" t="s">
        <v>14</v>
      </c>
      <c r="C441">
        <v>0.53</v>
      </c>
      <c r="D441">
        <v>0</v>
      </c>
      <c r="E441">
        <v>0</v>
      </c>
      <c r="F441">
        <v>0</v>
      </c>
      <c r="G441">
        <v>1</v>
      </c>
    </row>
    <row r="442" spans="1:7" x14ac:dyDescent="0.25">
      <c r="A442">
        <v>496</v>
      </c>
      <c r="B442" t="s">
        <v>14</v>
      </c>
      <c r="C442">
        <v>0.35</v>
      </c>
      <c r="D442">
        <v>0</v>
      </c>
      <c r="E442">
        <v>0</v>
      </c>
      <c r="F442">
        <v>0</v>
      </c>
      <c r="G442">
        <v>1</v>
      </c>
    </row>
    <row r="443" spans="1:7" x14ac:dyDescent="0.25">
      <c r="A443">
        <v>372</v>
      </c>
      <c r="B443" t="s">
        <v>14</v>
      </c>
      <c r="C443">
        <v>0.35</v>
      </c>
      <c r="D443">
        <v>0</v>
      </c>
      <c r="E443">
        <v>0</v>
      </c>
      <c r="F443">
        <v>0</v>
      </c>
      <c r="G443">
        <v>1</v>
      </c>
    </row>
    <row r="444" spans="1:7" x14ac:dyDescent="0.25">
      <c r="A444">
        <v>303</v>
      </c>
      <c r="B444" t="s">
        <v>14</v>
      </c>
      <c r="C444">
        <v>1.2</v>
      </c>
      <c r="D444">
        <v>0</v>
      </c>
      <c r="E444">
        <v>0</v>
      </c>
      <c r="F444">
        <v>0</v>
      </c>
      <c r="G444">
        <v>1</v>
      </c>
    </row>
    <row r="445" spans="1:7" x14ac:dyDescent="0.25">
      <c r="A445">
        <v>497</v>
      </c>
      <c r="B445" t="s">
        <v>14</v>
      </c>
      <c r="C445">
        <v>0.35</v>
      </c>
      <c r="D445">
        <v>0</v>
      </c>
      <c r="E445">
        <v>0</v>
      </c>
      <c r="F445">
        <v>0</v>
      </c>
      <c r="G445">
        <v>1</v>
      </c>
    </row>
    <row r="446" spans="1:7" x14ac:dyDescent="0.25">
      <c r="A446">
        <v>487</v>
      </c>
      <c r="B446" t="s">
        <v>14</v>
      </c>
      <c r="C446">
        <v>0.35</v>
      </c>
      <c r="D446">
        <v>0</v>
      </c>
      <c r="E446">
        <v>0</v>
      </c>
      <c r="F446">
        <v>0</v>
      </c>
      <c r="G446">
        <v>1</v>
      </c>
    </row>
    <row r="447" spans="1:7" x14ac:dyDescent="0.25">
      <c r="A447">
        <v>297</v>
      </c>
      <c r="B447" t="s">
        <v>14</v>
      </c>
      <c r="C447">
        <v>0.4</v>
      </c>
      <c r="D447">
        <v>0</v>
      </c>
      <c r="E447">
        <v>0</v>
      </c>
      <c r="F447">
        <v>0</v>
      </c>
      <c r="G447">
        <v>1</v>
      </c>
    </row>
    <row r="448" spans="1:7" x14ac:dyDescent="0.25">
      <c r="A448">
        <v>282</v>
      </c>
      <c r="B448" t="s">
        <v>14</v>
      </c>
      <c r="C448">
        <v>1.2</v>
      </c>
      <c r="D448">
        <v>0</v>
      </c>
      <c r="E448">
        <v>0</v>
      </c>
      <c r="F448">
        <v>0</v>
      </c>
      <c r="G448">
        <v>1</v>
      </c>
    </row>
    <row r="449" spans="1:7" x14ac:dyDescent="0.25">
      <c r="A449">
        <v>265</v>
      </c>
      <c r="B449" t="s">
        <v>14</v>
      </c>
      <c r="C449">
        <v>0.53</v>
      </c>
      <c r="D449">
        <v>0</v>
      </c>
      <c r="E449">
        <v>0</v>
      </c>
      <c r="F449">
        <v>0</v>
      </c>
      <c r="G449">
        <v>1</v>
      </c>
    </row>
    <row r="450" spans="1:7" x14ac:dyDescent="0.25">
      <c r="A450">
        <v>301</v>
      </c>
      <c r="B450" t="s">
        <v>14</v>
      </c>
      <c r="C450">
        <v>0.35</v>
      </c>
      <c r="D450">
        <v>0</v>
      </c>
      <c r="E450">
        <v>0</v>
      </c>
      <c r="F450">
        <v>0</v>
      </c>
      <c r="G450">
        <v>1</v>
      </c>
    </row>
    <row r="451" spans="1:7" x14ac:dyDescent="0.25">
      <c r="A451">
        <v>302</v>
      </c>
      <c r="B451" t="s">
        <v>14</v>
      </c>
      <c r="C451">
        <v>0.4</v>
      </c>
      <c r="D451">
        <v>0</v>
      </c>
      <c r="E451">
        <v>0</v>
      </c>
      <c r="F451">
        <v>0</v>
      </c>
      <c r="G451">
        <v>1</v>
      </c>
    </row>
    <row r="452" spans="1:7" x14ac:dyDescent="0.25">
      <c r="A452">
        <v>304</v>
      </c>
      <c r="B452" t="s">
        <v>14</v>
      </c>
      <c r="C452">
        <v>1.2</v>
      </c>
      <c r="D452">
        <v>0</v>
      </c>
      <c r="E452">
        <v>0</v>
      </c>
      <c r="F452">
        <v>0</v>
      </c>
      <c r="G452">
        <v>1</v>
      </c>
    </row>
    <row r="453" spans="1:7" x14ac:dyDescent="0.25">
      <c r="A453">
        <v>272</v>
      </c>
      <c r="B453" t="s">
        <v>14</v>
      </c>
      <c r="C453">
        <v>0.35</v>
      </c>
      <c r="D453">
        <v>0</v>
      </c>
      <c r="E453">
        <v>0</v>
      </c>
      <c r="F453">
        <v>0</v>
      </c>
      <c r="G453">
        <v>1</v>
      </c>
    </row>
    <row r="454" spans="1:7" x14ac:dyDescent="0.25">
      <c r="A454">
        <v>498</v>
      </c>
      <c r="B454" t="s">
        <v>14</v>
      </c>
      <c r="C454">
        <v>0.35</v>
      </c>
      <c r="D454">
        <v>0</v>
      </c>
      <c r="E454">
        <v>0</v>
      </c>
      <c r="F454">
        <v>0</v>
      </c>
      <c r="G454">
        <v>1</v>
      </c>
    </row>
    <row r="455" spans="1:7" x14ac:dyDescent="0.25">
      <c r="A455">
        <v>488</v>
      </c>
      <c r="B455" t="s">
        <v>14</v>
      </c>
      <c r="C455">
        <v>0.35</v>
      </c>
      <c r="D455">
        <v>0</v>
      </c>
      <c r="E455">
        <v>0</v>
      </c>
      <c r="F455">
        <v>0</v>
      </c>
      <c r="G455">
        <v>1</v>
      </c>
    </row>
    <row r="456" spans="1:7" x14ac:dyDescent="0.25">
      <c r="A456">
        <v>283</v>
      </c>
      <c r="B456" t="s">
        <v>14</v>
      </c>
      <c r="C456">
        <v>1</v>
      </c>
      <c r="D456">
        <v>0</v>
      </c>
      <c r="E456">
        <v>0</v>
      </c>
      <c r="F456">
        <v>0</v>
      </c>
      <c r="G456">
        <v>1</v>
      </c>
    </row>
    <row r="457" spans="1:7" x14ac:dyDescent="0.25">
      <c r="A457">
        <v>281</v>
      </c>
      <c r="B457" t="s">
        <v>14</v>
      </c>
      <c r="C457">
        <v>0.6</v>
      </c>
      <c r="D457">
        <v>0</v>
      </c>
      <c r="E457">
        <v>0</v>
      </c>
      <c r="F457">
        <v>0</v>
      </c>
      <c r="G457">
        <v>1</v>
      </c>
    </row>
    <row r="458" spans="1:7" x14ac:dyDescent="0.25">
      <c r="A458">
        <v>499</v>
      </c>
      <c r="B458" t="s">
        <v>14</v>
      </c>
      <c r="C458">
        <v>0.35</v>
      </c>
      <c r="D458">
        <v>0</v>
      </c>
      <c r="E458">
        <v>0</v>
      </c>
      <c r="F458">
        <v>0</v>
      </c>
      <c r="G458">
        <v>1</v>
      </c>
    </row>
    <row r="459" spans="1:7" x14ac:dyDescent="0.25">
      <c r="A459">
        <v>296</v>
      </c>
      <c r="B459" t="s">
        <v>14</v>
      </c>
      <c r="C459">
        <v>0.4</v>
      </c>
      <c r="D459">
        <v>0</v>
      </c>
      <c r="E459">
        <v>0</v>
      </c>
      <c r="F459">
        <v>0</v>
      </c>
      <c r="G459">
        <v>1</v>
      </c>
    </row>
    <row r="460" spans="1:7" x14ac:dyDescent="0.25">
      <c r="A460">
        <v>305</v>
      </c>
      <c r="B460" t="s">
        <v>14</v>
      </c>
      <c r="C460">
        <v>1.2</v>
      </c>
      <c r="D460">
        <v>0</v>
      </c>
      <c r="E460">
        <v>0</v>
      </c>
      <c r="F460">
        <v>0</v>
      </c>
      <c r="G460">
        <v>1</v>
      </c>
    </row>
    <row r="461" spans="1:7" x14ac:dyDescent="0.25">
      <c r="A461">
        <v>113</v>
      </c>
      <c r="B461" t="s">
        <v>14</v>
      </c>
      <c r="C461">
        <v>0.6</v>
      </c>
      <c r="D461">
        <v>0</v>
      </c>
      <c r="E461">
        <v>0</v>
      </c>
      <c r="F461">
        <v>0</v>
      </c>
      <c r="G461">
        <v>1</v>
      </c>
    </row>
    <row r="462" spans="1:7" x14ac:dyDescent="0.25">
      <c r="A462">
        <v>285</v>
      </c>
      <c r="B462" t="s">
        <v>14</v>
      </c>
      <c r="C462">
        <v>1</v>
      </c>
      <c r="D462">
        <v>0</v>
      </c>
      <c r="E462">
        <v>0</v>
      </c>
      <c r="F462">
        <v>0</v>
      </c>
      <c r="G462">
        <v>1</v>
      </c>
    </row>
    <row r="463" spans="1:7" x14ac:dyDescent="0.25">
      <c r="A463">
        <v>293</v>
      </c>
      <c r="B463" t="s">
        <v>14</v>
      </c>
      <c r="C463">
        <v>1</v>
      </c>
      <c r="D463">
        <v>0</v>
      </c>
      <c r="E463">
        <v>0</v>
      </c>
      <c r="F463">
        <v>0</v>
      </c>
      <c r="G463">
        <v>1</v>
      </c>
    </row>
    <row r="464" spans="1:7" x14ac:dyDescent="0.25">
      <c r="A464">
        <v>294</v>
      </c>
      <c r="B464" t="s">
        <v>14</v>
      </c>
      <c r="C464">
        <v>0.35</v>
      </c>
      <c r="D464">
        <v>0</v>
      </c>
      <c r="E464">
        <v>0</v>
      </c>
      <c r="F464">
        <v>0</v>
      </c>
      <c r="G464">
        <v>1</v>
      </c>
    </row>
    <row r="465" spans="1:7" x14ac:dyDescent="0.25">
      <c r="A465">
        <v>494</v>
      </c>
      <c r="B465" t="s">
        <v>14</v>
      </c>
      <c r="C465">
        <v>0.35</v>
      </c>
      <c r="D465">
        <v>0</v>
      </c>
      <c r="E465">
        <v>0</v>
      </c>
      <c r="F465">
        <v>0</v>
      </c>
      <c r="G465">
        <v>1</v>
      </c>
    </row>
    <row r="466" spans="1:7" x14ac:dyDescent="0.25">
      <c r="A466">
        <v>489</v>
      </c>
      <c r="B466" t="s">
        <v>14</v>
      </c>
      <c r="C466">
        <v>0.35</v>
      </c>
      <c r="D466">
        <v>0</v>
      </c>
      <c r="E466">
        <v>0</v>
      </c>
      <c r="F466">
        <v>0</v>
      </c>
      <c r="G466">
        <v>1</v>
      </c>
    </row>
    <row r="467" spans="1:7" x14ac:dyDescent="0.25">
      <c r="A467">
        <v>101</v>
      </c>
      <c r="B467" t="s">
        <v>14</v>
      </c>
      <c r="C467">
        <v>0.53</v>
      </c>
      <c r="D467">
        <v>0</v>
      </c>
      <c r="E467">
        <v>0</v>
      </c>
      <c r="F467">
        <v>0</v>
      </c>
      <c r="G467">
        <v>1</v>
      </c>
    </row>
    <row r="468" spans="1:7" x14ac:dyDescent="0.25">
      <c r="A468">
        <v>286</v>
      </c>
      <c r="B468" t="s">
        <v>14</v>
      </c>
      <c r="C468">
        <v>0.8</v>
      </c>
      <c r="D468">
        <v>0</v>
      </c>
      <c r="E468">
        <v>0</v>
      </c>
      <c r="F468">
        <v>0</v>
      </c>
      <c r="G468">
        <v>1</v>
      </c>
    </row>
    <row r="469" spans="1:7" x14ac:dyDescent="0.25">
      <c r="A469">
        <v>280</v>
      </c>
      <c r="B469" t="s">
        <v>14</v>
      </c>
      <c r="C469">
        <v>0.35</v>
      </c>
      <c r="D469">
        <v>0</v>
      </c>
      <c r="E469">
        <v>0</v>
      </c>
      <c r="F469">
        <v>0</v>
      </c>
      <c r="G469">
        <v>1</v>
      </c>
    </row>
    <row r="470" spans="1:7" x14ac:dyDescent="0.25">
      <c r="A470">
        <v>493</v>
      </c>
      <c r="B470" t="s">
        <v>14</v>
      </c>
      <c r="C470">
        <v>0.35</v>
      </c>
      <c r="D470">
        <v>0</v>
      </c>
      <c r="E470">
        <v>0</v>
      </c>
      <c r="F470">
        <v>0</v>
      </c>
      <c r="G470">
        <v>1</v>
      </c>
    </row>
    <row r="471" spans="1:7" x14ac:dyDescent="0.25">
      <c r="A471">
        <v>287</v>
      </c>
      <c r="B471" t="s">
        <v>14</v>
      </c>
      <c r="C471">
        <v>0.35</v>
      </c>
      <c r="D471">
        <v>0</v>
      </c>
      <c r="E471">
        <v>0</v>
      </c>
      <c r="F471">
        <v>0</v>
      </c>
      <c r="G471">
        <v>1</v>
      </c>
    </row>
    <row r="472" spans="1:7" x14ac:dyDescent="0.25">
      <c r="A472">
        <v>288</v>
      </c>
      <c r="B472" t="s">
        <v>14</v>
      </c>
      <c r="C472">
        <v>0.4</v>
      </c>
      <c r="D472">
        <v>0</v>
      </c>
      <c r="E472">
        <v>0</v>
      </c>
      <c r="F472">
        <v>0</v>
      </c>
      <c r="G472">
        <v>1</v>
      </c>
    </row>
    <row r="473" spans="1:7" x14ac:dyDescent="0.25">
      <c r="A473">
        <v>292</v>
      </c>
      <c r="B473" t="s">
        <v>14</v>
      </c>
      <c r="C473">
        <v>1</v>
      </c>
      <c r="D473">
        <v>0</v>
      </c>
      <c r="E473">
        <v>0</v>
      </c>
      <c r="F473">
        <v>0</v>
      </c>
      <c r="G473">
        <v>1</v>
      </c>
    </row>
    <row r="474" spans="1:7" x14ac:dyDescent="0.25">
      <c r="A474">
        <v>90</v>
      </c>
      <c r="B474" t="s">
        <v>14</v>
      </c>
      <c r="C474">
        <v>0.53</v>
      </c>
      <c r="D474">
        <v>0</v>
      </c>
      <c r="E474">
        <v>0</v>
      </c>
      <c r="F474">
        <v>0</v>
      </c>
      <c r="G474">
        <v>1</v>
      </c>
    </row>
    <row r="475" spans="1:7" x14ac:dyDescent="0.25">
      <c r="A475">
        <v>485</v>
      </c>
      <c r="B475" t="s">
        <v>14</v>
      </c>
      <c r="C475">
        <v>0.35</v>
      </c>
      <c r="D475">
        <v>0</v>
      </c>
      <c r="E475">
        <v>0</v>
      </c>
      <c r="F475">
        <v>0</v>
      </c>
      <c r="G475">
        <v>1</v>
      </c>
    </row>
    <row r="476" spans="1:7" x14ac:dyDescent="0.25">
      <c r="A476">
        <v>484</v>
      </c>
      <c r="B476" t="s">
        <v>14</v>
      </c>
      <c r="C476">
        <v>0.35</v>
      </c>
      <c r="D476">
        <v>0</v>
      </c>
      <c r="E476">
        <v>0</v>
      </c>
      <c r="F476">
        <v>0</v>
      </c>
      <c r="G476">
        <v>1</v>
      </c>
    </row>
    <row r="477" spans="1:7" x14ac:dyDescent="0.25">
      <c r="A477">
        <v>124</v>
      </c>
      <c r="B477" t="s">
        <v>14</v>
      </c>
      <c r="C477">
        <v>0.35</v>
      </c>
      <c r="D477">
        <v>0</v>
      </c>
      <c r="E477">
        <v>0</v>
      </c>
      <c r="F477">
        <v>0</v>
      </c>
      <c r="G477">
        <v>1</v>
      </c>
    </row>
    <row r="478" spans="1:7" x14ac:dyDescent="0.25">
      <c r="A478">
        <v>490</v>
      </c>
      <c r="B478" t="s">
        <v>14</v>
      </c>
      <c r="C478">
        <v>0.35</v>
      </c>
      <c r="D478">
        <v>0</v>
      </c>
      <c r="E478">
        <v>0</v>
      </c>
      <c r="F478">
        <v>0</v>
      </c>
      <c r="G478">
        <v>1</v>
      </c>
    </row>
    <row r="479" spans="1:7" x14ac:dyDescent="0.25">
      <c r="A479">
        <v>278</v>
      </c>
      <c r="B479" t="s">
        <v>14</v>
      </c>
      <c r="C479">
        <v>0.8</v>
      </c>
      <c r="D479">
        <v>0</v>
      </c>
      <c r="E479">
        <v>0</v>
      </c>
      <c r="F479">
        <v>0</v>
      </c>
      <c r="G479">
        <v>1</v>
      </c>
    </row>
    <row r="480" spans="1:7" x14ac:dyDescent="0.25">
      <c r="A480">
        <v>491</v>
      </c>
      <c r="B480" t="s">
        <v>14</v>
      </c>
      <c r="C480">
        <v>0.35</v>
      </c>
      <c r="D480">
        <v>0</v>
      </c>
      <c r="E480">
        <v>0</v>
      </c>
      <c r="F480">
        <v>0</v>
      </c>
      <c r="G480">
        <v>1</v>
      </c>
    </row>
    <row r="481" spans="1:7" x14ac:dyDescent="0.25">
      <c r="A481">
        <v>290</v>
      </c>
      <c r="B481" t="s">
        <v>14</v>
      </c>
      <c r="C481">
        <v>1</v>
      </c>
      <c r="D481">
        <v>0</v>
      </c>
      <c r="E481">
        <v>0</v>
      </c>
      <c r="F481">
        <v>0</v>
      </c>
      <c r="G481">
        <v>1</v>
      </c>
    </row>
    <row r="482" spans="1:7" x14ac:dyDescent="0.25">
      <c r="A482">
        <v>271</v>
      </c>
      <c r="B482" t="s">
        <v>14</v>
      </c>
      <c r="C482">
        <v>0.35</v>
      </c>
      <c r="D482">
        <v>0</v>
      </c>
      <c r="E482">
        <v>0</v>
      </c>
      <c r="F482">
        <v>0</v>
      </c>
      <c r="G482">
        <v>1</v>
      </c>
    </row>
    <row r="483" spans="1:7" x14ac:dyDescent="0.25">
      <c r="A483">
        <v>289</v>
      </c>
      <c r="B483" t="s">
        <v>14</v>
      </c>
      <c r="C483">
        <v>0.53</v>
      </c>
      <c r="D483">
        <v>0</v>
      </c>
      <c r="E483">
        <v>0</v>
      </c>
      <c r="F483">
        <v>0</v>
      </c>
      <c r="G483">
        <v>1</v>
      </c>
    </row>
    <row r="484" spans="1:7" x14ac:dyDescent="0.25">
      <c r="A484">
        <v>492</v>
      </c>
      <c r="B484" t="s">
        <v>14</v>
      </c>
      <c r="C484">
        <v>0.35</v>
      </c>
      <c r="D484">
        <v>0</v>
      </c>
      <c r="E484">
        <v>0</v>
      </c>
      <c r="F484">
        <v>0</v>
      </c>
      <c r="G484">
        <v>1</v>
      </c>
    </row>
    <row r="485" spans="1:7" x14ac:dyDescent="0.25">
      <c r="A485">
        <v>440</v>
      </c>
      <c r="B485" t="s">
        <v>14</v>
      </c>
      <c r="C485">
        <v>0.35</v>
      </c>
      <c r="D485">
        <v>0</v>
      </c>
      <c r="E485">
        <v>0</v>
      </c>
      <c r="F485">
        <v>0</v>
      </c>
      <c r="G485">
        <v>1</v>
      </c>
    </row>
    <row r="486" spans="1:7" x14ac:dyDescent="0.25">
      <c r="A486">
        <v>79</v>
      </c>
      <c r="B486" t="s">
        <v>14</v>
      </c>
      <c r="C486">
        <v>0.53</v>
      </c>
      <c r="D486">
        <v>0</v>
      </c>
      <c r="E486">
        <v>0</v>
      </c>
      <c r="F486">
        <v>0</v>
      </c>
      <c r="G486">
        <v>1</v>
      </c>
    </row>
    <row r="487" spans="1:7" x14ac:dyDescent="0.25">
      <c r="A487">
        <v>268</v>
      </c>
      <c r="B487" t="s">
        <v>14</v>
      </c>
      <c r="C487">
        <v>0.8</v>
      </c>
      <c r="D487">
        <v>0</v>
      </c>
      <c r="E487">
        <v>0</v>
      </c>
      <c r="F487">
        <v>0</v>
      </c>
      <c r="G487">
        <v>1</v>
      </c>
    </row>
    <row r="488" spans="1:7" x14ac:dyDescent="0.25">
      <c r="A488">
        <v>135</v>
      </c>
      <c r="B488" t="s">
        <v>14</v>
      </c>
      <c r="C488">
        <v>0.35</v>
      </c>
      <c r="D488">
        <v>0</v>
      </c>
      <c r="E488">
        <v>0</v>
      </c>
      <c r="F488">
        <v>0</v>
      </c>
      <c r="G488">
        <v>1</v>
      </c>
    </row>
    <row r="489" spans="1:7" x14ac:dyDescent="0.25">
      <c r="A489">
        <v>224</v>
      </c>
      <c r="B489" t="s">
        <v>14</v>
      </c>
      <c r="C489">
        <v>0.53</v>
      </c>
      <c r="D489">
        <v>0</v>
      </c>
      <c r="E489">
        <v>0</v>
      </c>
      <c r="F489">
        <v>0</v>
      </c>
      <c r="G489">
        <v>1</v>
      </c>
    </row>
    <row r="490" spans="1:7" x14ac:dyDescent="0.25">
      <c r="A490">
        <v>317</v>
      </c>
      <c r="B490" t="s">
        <v>14</v>
      </c>
      <c r="C490">
        <v>0.8</v>
      </c>
      <c r="D490">
        <v>0</v>
      </c>
      <c r="E490">
        <v>0</v>
      </c>
      <c r="F490">
        <v>0</v>
      </c>
      <c r="G490">
        <v>1</v>
      </c>
    </row>
    <row r="491" spans="1:7" x14ac:dyDescent="0.25">
      <c r="A491">
        <v>291</v>
      </c>
      <c r="B491" t="s">
        <v>14</v>
      </c>
      <c r="C491">
        <v>0.8</v>
      </c>
      <c r="D491">
        <v>0</v>
      </c>
      <c r="E491">
        <v>0</v>
      </c>
      <c r="F491">
        <v>0</v>
      </c>
      <c r="G491">
        <v>1</v>
      </c>
    </row>
    <row r="492" spans="1:7" x14ac:dyDescent="0.25">
      <c r="A492">
        <v>68</v>
      </c>
      <c r="B492" t="s">
        <v>14</v>
      </c>
      <c r="C492">
        <v>0.53</v>
      </c>
      <c r="D492">
        <v>0</v>
      </c>
      <c r="E492">
        <v>0</v>
      </c>
      <c r="F492">
        <v>0</v>
      </c>
      <c r="G492">
        <v>1</v>
      </c>
    </row>
    <row r="493" spans="1:7" x14ac:dyDescent="0.25">
      <c r="A493">
        <v>410</v>
      </c>
      <c r="B493" t="s">
        <v>14</v>
      </c>
      <c r="C493">
        <v>0.35</v>
      </c>
      <c r="D493">
        <v>0</v>
      </c>
      <c r="E493">
        <v>0</v>
      </c>
      <c r="F493">
        <v>0</v>
      </c>
      <c r="G493">
        <v>1</v>
      </c>
    </row>
    <row r="494" spans="1:7" x14ac:dyDescent="0.25">
      <c r="A494">
        <v>257</v>
      </c>
      <c r="B494" t="s">
        <v>14</v>
      </c>
      <c r="C494">
        <v>0.53</v>
      </c>
      <c r="D494">
        <v>0</v>
      </c>
      <c r="E494">
        <v>0</v>
      </c>
      <c r="F494">
        <v>0</v>
      </c>
      <c r="G494">
        <v>1</v>
      </c>
    </row>
    <row r="495" spans="1:7" x14ac:dyDescent="0.25">
      <c r="A495">
        <v>146</v>
      </c>
      <c r="B495" t="s">
        <v>14</v>
      </c>
      <c r="C495">
        <v>0.35</v>
      </c>
      <c r="D495">
        <v>0</v>
      </c>
      <c r="E495">
        <v>0</v>
      </c>
      <c r="F495">
        <v>0</v>
      </c>
      <c r="G495">
        <v>1</v>
      </c>
    </row>
    <row r="496" spans="1:7" x14ac:dyDescent="0.25">
      <c r="A496">
        <v>482</v>
      </c>
      <c r="B496" t="s">
        <v>14</v>
      </c>
      <c r="C496">
        <v>0.35</v>
      </c>
      <c r="D496">
        <v>0</v>
      </c>
      <c r="E496">
        <v>0</v>
      </c>
      <c r="F496">
        <v>0</v>
      </c>
      <c r="G496">
        <v>1</v>
      </c>
    </row>
    <row r="497" spans="1:7" x14ac:dyDescent="0.25">
      <c r="A497">
        <v>212</v>
      </c>
      <c r="B497" t="s">
        <v>14</v>
      </c>
      <c r="C497">
        <v>0.35</v>
      </c>
      <c r="D497">
        <v>0</v>
      </c>
      <c r="E497">
        <v>0</v>
      </c>
      <c r="F497">
        <v>0</v>
      </c>
      <c r="G497">
        <v>1</v>
      </c>
    </row>
    <row r="498" spans="1:7" x14ac:dyDescent="0.25">
      <c r="A498">
        <v>190</v>
      </c>
      <c r="B498" t="s">
        <v>14</v>
      </c>
      <c r="C498">
        <v>0.53</v>
      </c>
      <c r="D498">
        <v>0</v>
      </c>
      <c r="E498">
        <v>0</v>
      </c>
      <c r="F498">
        <v>0</v>
      </c>
      <c r="G498">
        <v>1</v>
      </c>
    </row>
    <row r="499" spans="1:7" x14ac:dyDescent="0.25">
      <c r="A499">
        <v>328</v>
      </c>
      <c r="B499" t="s">
        <v>14</v>
      </c>
      <c r="C499">
        <v>0.8</v>
      </c>
      <c r="D499">
        <v>0</v>
      </c>
      <c r="E499">
        <v>0</v>
      </c>
      <c r="F499">
        <v>0</v>
      </c>
      <c r="G499">
        <v>1</v>
      </c>
    </row>
    <row r="500" spans="1:7" x14ac:dyDescent="0.25">
      <c r="A500">
        <v>519</v>
      </c>
      <c r="B500" t="s">
        <v>14</v>
      </c>
      <c r="C500">
        <v>0.35</v>
      </c>
      <c r="D500">
        <v>0</v>
      </c>
      <c r="E500">
        <v>0</v>
      </c>
      <c r="F500">
        <v>0</v>
      </c>
      <c r="G500">
        <v>1</v>
      </c>
    </row>
    <row r="501" spans="1:7" x14ac:dyDescent="0.25">
      <c r="A501">
        <v>477</v>
      </c>
      <c r="B501" t="s">
        <v>14</v>
      </c>
      <c r="C501">
        <v>0.35</v>
      </c>
      <c r="D501">
        <v>0</v>
      </c>
      <c r="E501">
        <v>0</v>
      </c>
      <c r="F501">
        <v>0</v>
      </c>
      <c r="G501">
        <v>1</v>
      </c>
    </row>
    <row r="502" spans="1:7" x14ac:dyDescent="0.25">
      <c r="A502">
        <v>306</v>
      </c>
      <c r="B502" t="s">
        <v>14</v>
      </c>
      <c r="C502">
        <v>0.8</v>
      </c>
      <c r="D502">
        <v>0</v>
      </c>
      <c r="E502">
        <v>0</v>
      </c>
      <c r="F502">
        <v>0</v>
      </c>
      <c r="G502">
        <v>1</v>
      </c>
    </row>
    <row r="503" spans="1:7" x14ac:dyDescent="0.25">
      <c r="A503">
        <v>447</v>
      </c>
      <c r="B503" t="s">
        <v>14</v>
      </c>
      <c r="C503">
        <v>0.35</v>
      </c>
      <c r="D503">
        <v>0</v>
      </c>
      <c r="E503">
        <v>0</v>
      </c>
      <c r="F503">
        <v>0</v>
      </c>
      <c r="G503">
        <v>1</v>
      </c>
    </row>
    <row r="504" spans="1:7" x14ac:dyDescent="0.25">
      <c r="A504">
        <v>57</v>
      </c>
      <c r="B504" t="s">
        <v>14</v>
      </c>
      <c r="C504">
        <v>0.53</v>
      </c>
      <c r="D504">
        <v>0</v>
      </c>
      <c r="E504">
        <v>0</v>
      </c>
      <c r="F504">
        <v>0</v>
      </c>
      <c r="G504">
        <v>1</v>
      </c>
    </row>
    <row r="505" spans="1:7" x14ac:dyDescent="0.25">
      <c r="A505">
        <v>246</v>
      </c>
      <c r="B505" t="s">
        <v>14</v>
      </c>
      <c r="C505">
        <v>0.53</v>
      </c>
      <c r="D505">
        <v>0</v>
      </c>
      <c r="E505">
        <v>0</v>
      </c>
      <c r="F505">
        <v>0</v>
      </c>
      <c r="G505">
        <v>1</v>
      </c>
    </row>
    <row r="506" spans="1:7" x14ac:dyDescent="0.25">
      <c r="A506">
        <v>157</v>
      </c>
      <c r="B506" t="s">
        <v>14</v>
      </c>
      <c r="C506">
        <v>0.35</v>
      </c>
      <c r="D506">
        <v>0</v>
      </c>
      <c r="E506">
        <v>0</v>
      </c>
      <c r="F506">
        <v>0</v>
      </c>
      <c r="G506">
        <v>1</v>
      </c>
    </row>
    <row r="507" spans="1:7" x14ac:dyDescent="0.25">
      <c r="A507">
        <v>24</v>
      </c>
      <c r="B507" t="s">
        <v>14</v>
      </c>
      <c r="C507">
        <v>0.35</v>
      </c>
      <c r="D507">
        <v>0</v>
      </c>
      <c r="E507">
        <v>0</v>
      </c>
      <c r="F507">
        <v>0</v>
      </c>
      <c r="G507">
        <v>1</v>
      </c>
    </row>
    <row r="508" spans="1:7" x14ac:dyDescent="0.25">
      <c r="A508">
        <v>201</v>
      </c>
      <c r="B508" t="s">
        <v>14</v>
      </c>
      <c r="C508">
        <v>0.35</v>
      </c>
      <c r="D508">
        <v>0</v>
      </c>
      <c r="E508">
        <v>0</v>
      </c>
      <c r="F508">
        <v>0</v>
      </c>
      <c r="G508">
        <v>1</v>
      </c>
    </row>
    <row r="509" spans="1:7" x14ac:dyDescent="0.25">
      <c r="A509">
        <v>339</v>
      </c>
      <c r="B509" t="s">
        <v>14</v>
      </c>
      <c r="C509">
        <v>0.8</v>
      </c>
      <c r="D509">
        <v>0</v>
      </c>
      <c r="E509">
        <v>0</v>
      </c>
      <c r="F509">
        <v>0</v>
      </c>
      <c r="G509">
        <v>1</v>
      </c>
    </row>
    <row r="510" spans="1:7" x14ac:dyDescent="0.25">
      <c r="A510">
        <v>295</v>
      </c>
      <c r="B510" t="s">
        <v>14</v>
      </c>
      <c r="C510">
        <v>0.6</v>
      </c>
      <c r="D510">
        <v>0</v>
      </c>
      <c r="E510">
        <v>0</v>
      </c>
      <c r="F510">
        <v>0</v>
      </c>
      <c r="G510">
        <v>1</v>
      </c>
    </row>
    <row r="511" spans="1:7" x14ac:dyDescent="0.25">
      <c r="A511">
        <v>2</v>
      </c>
      <c r="B511" t="s">
        <v>14</v>
      </c>
      <c r="C511">
        <v>0.35</v>
      </c>
      <c r="D511">
        <v>0</v>
      </c>
      <c r="E511">
        <v>0</v>
      </c>
      <c r="F511">
        <v>0</v>
      </c>
      <c r="G511">
        <v>1</v>
      </c>
    </row>
    <row r="512" spans="1:7" x14ac:dyDescent="0.25">
      <c r="A512">
        <v>46</v>
      </c>
      <c r="B512" t="s">
        <v>14</v>
      </c>
      <c r="C512">
        <v>0.4</v>
      </c>
      <c r="D512">
        <v>0</v>
      </c>
      <c r="E512">
        <v>0</v>
      </c>
      <c r="F512">
        <v>0</v>
      </c>
      <c r="G512">
        <v>1</v>
      </c>
    </row>
    <row r="513" spans="1:7" x14ac:dyDescent="0.25">
      <c r="A513">
        <v>383</v>
      </c>
      <c r="B513" t="s">
        <v>14</v>
      </c>
      <c r="C513">
        <v>0.35</v>
      </c>
      <c r="D513">
        <v>0</v>
      </c>
      <c r="E513">
        <v>0</v>
      </c>
      <c r="F513">
        <v>0</v>
      </c>
      <c r="G513">
        <v>1</v>
      </c>
    </row>
    <row r="514" spans="1:7" x14ac:dyDescent="0.25">
      <c r="A514">
        <v>235</v>
      </c>
      <c r="B514" t="s">
        <v>14</v>
      </c>
      <c r="C514">
        <v>0.4</v>
      </c>
      <c r="D514">
        <v>0</v>
      </c>
      <c r="E514">
        <v>0</v>
      </c>
      <c r="F514">
        <v>0</v>
      </c>
      <c r="G514">
        <v>1</v>
      </c>
    </row>
    <row r="515" spans="1:7" x14ac:dyDescent="0.25">
      <c r="A515">
        <v>168</v>
      </c>
      <c r="B515" t="s">
        <v>14</v>
      </c>
      <c r="C515">
        <v>0.35</v>
      </c>
      <c r="D515">
        <v>0</v>
      </c>
      <c r="E515">
        <v>0</v>
      </c>
      <c r="F515">
        <v>0</v>
      </c>
      <c r="G515">
        <v>1</v>
      </c>
    </row>
    <row r="516" spans="1:7" x14ac:dyDescent="0.25">
      <c r="A516">
        <v>13</v>
      </c>
      <c r="B516" t="s">
        <v>14</v>
      </c>
      <c r="C516">
        <v>0.35</v>
      </c>
      <c r="D516">
        <v>0</v>
      </c>
      <c r="E516">
        <v>0</v>
      </c>
      <c r="F516">
        <v>0</v>
      </c>
      <c r="G516">
        <v>1</v>
      </c>
    </row>
    <row r="517" spans="1:7" x14ac:dyDescent="0.25">
      <c r="A517">
        <v>112</v>
      </c>
      <c r="B517" t="s">
        <v>14</v>
      </c>
      <c r="C517">
        <v>0.53</v>
      </c>
      <c r="D517">
        <v>0</v>
      </c>
      <c r="E517">
        <v>0</v>
      </c>
      <c r="F517">
        <v>0</v>
      </c>
      <c r="G517">
        <v>1</v>
      </c>
    </row>
    <row r="518" spans="1:7" x14ac:dyDescent="0.25">
      <c r="A518">
        <v>266</v>
      </c>
      <c r="B518" t="s">
        <v>14</v>
      </c>
      <c r="C518">
        <v>0.35</v>
      </c>
      <c r="D518">
        <v>0</v>
      </c>
      <c r="E518">
        <v>0</v>
      </c>
      <c r="F518">
        <v>0</v>
      </c>
      <c r="G518">
        <v>1</v>
      </c>
    </row>
    <row r="519" spans="1:7" x14ac:dyDescent="0.25">
      <c r="A519">
        <v>284</v>
      </c>
      <c r="B519" t="s">
        <v>14</v>
      </c>
      <c r="C519">
        <v>0.6</v>
      </c>
      <c r="D519">
        <v>0</v>
      </c>
      <c r="E519">
        <v>0</v>
      </c>
      <c r="F519">
        <v>0</v>
      </c>
      <c r="G519">
        <v>1</v>
      </c>
    </row>
    <row r="520" spans="1:7" x14ac:dyDescent="0.25">
      <c r="A520">
        <v>454</v>
      </c>
      <c r="B520" t="s">
        <v>14</v>
      </c>
      <c r="C520">
        <v>0.35</v>
      </c>
      <c r="D520">
        <v>0</v>
      </c>
      <c r="E520">
        <v>0</v>
      </c>
      <c r="F520">
        <v>0</v>
      </c>
      <c r="G520">
        <v>1</v>
      </c>
    </row>
    <row r="521" spans="1:7" x14ac:dyDescent="0.25">
      <c r="A521">
        <v>35</v>
      </c>
      <c r="B521" t="s">
        <v>14</v>
      </c>
      <c r="C521">
        <v>0.4</v>
      </c>
      <c r="D521">
        <v>0</v>
      </c>
      <c r="E521">
        <v>0</v>
      </c>
      <c r="F521">
        <v>0</v>
      </c>
      <c r="G521">
        <v>1</v>
      </c>
    </row>
    <row r="522" spans="1:7" x14ac:dyDescent="0.25">
      <c r="A522">
        <v>179</v>
      </c>
      <c r="B522" t="s">
        <v>14</v>
      </c>
      <c r="C522">
        <v>0.4</v>
      </c>
      <c r="D522">
        <v>0</v>
      </c>
      <c r="E522">
        <v>0</v>
      </c>
      <c r="F522">
        <v>0</v>
      </c>
      <c r="G522">
        <v>1</v>
      </c>
    </row>
    <row r="523" spans="1:7" x14ac:dyDescent="0.25">
      <c r="A523">
        <v>367</v>
      </c>
      <c r="B523" t="s">
        <v>14</v>
      </c>
      <c r="C523">
        <v>0.35</v>
      </c>
      <c r="D523">
        <v>0</v>
      </c>
      <c r="E523">
        <v>0</v>
      </c>
      <c r="F523">
        <v>0</v>
      </c>
      <c r="G523">
        <v>1</v>
      </c>
    </row>
    <row r="524" spans="1:7" x14ac:dyDescent="0.25">
      <c r="A524">
        <v>350</v>
      </c>
      <c r="B524" t="s">
        <v>14</v>
      </c>
      <c r="C524">
        <v>0.35</v>
      </c>
      <c r="D524">
        <v>0</v>
      </c>
      <c r="E524">
        <v>0</v>
      </c>
      <c r="F524">
        <v>0</v>
      </c>
      <c r="G524">
        <v>1</v>
      </c>
    </row>
    <row r="525" spans="1:7" x14ac:dyDescent="0.25">
      <c r="A525">
        <v>483</v>
      </c>
      <c r="B525" t="s">
        <v>14</v>
      </c>
      <c r="C525">
        <v>0.35</v>
      </c>
      <c r="D525">
        <v>0</v>
      </c>
      <c r="E525">
        <v>0</v>
      </c>
      <c r="F525">
        <v>0</v>
      </c>
      <c r="G525">
        <v>1</v>
      </c>
    </row>
    <row r="526" spans="1:7" x14ac:dyDescent="0.25">
      <c r="A526">
        <v>233</v>
      </c>
      <c r="B526" t="s">
        <v>14</v>
      </c>
      <c r="C526">
        <v>0.4</v>
      </c>
      <c r="D526">
        <v>0</v>
      </c>
      <c r="E526">
        <v>0</v>
      </c>
      <c r="F526">
        <v>0</v>
      </c>
      <c r="G526">
        <v>1</v>
      </c>
    </row>
    <row r="527" spans="1:7" x14ac:dyDescent="0.25">
      <c r="A527">
        <v>232</v>
      </c>
      <c r="B527" t="s">
        <v>14</v>
      </c>
      <c r="C527">
        <v>0.53</v>
      </c>
      <c r="D527">
        <v>0</v>
      </c>
      <c r="E527">
        <v>0</v>
      </c>
      <c r="F527">
        <v>0</v>
      </c>
      <c r="G527">
        <v>1</v>
      </c>
    </row>
    <row r="528" spans="1:7" x14ac:dyDescent="0.25">
      <c r="A528">
        <v>267</v>
      </c>
      <c r="B528" t="s">
        <v>14</v>
      </c>
      <c r="C528">
        <v>0.35</v>
      </c>
      <c r="D528">
        <v>0</v>
      </c>
      <c r="E528">
        <v>0</v>
      </c>
      <c r="F528">
        <v>0</v>
      </c>
      <c r="G528">
        <v>1</v>
      </c>
    </row>
    <row r="529" spans="1:7" x14ac:dyDescent="0.25">
      <c r="A529">
        <v>223</v>
      </c>
      <c r="B529" t="s">
        <v>14</v>
      </c>
      <c r="C529">
        <v>0.35</v>
      </c>
      <c r="D529">
        <v>0</v>
      </c>
      <c r="E529">
        <v>0</v>
      </c>
      <c r="F529">
        <v>0</v>
      </c>
      <c r="G529">
        <v>1</v>
      </c>
    </row>
    <row r="530" spans="1:7" x14ac:dyDescent="0.25">
      <c r="A530">
        <v>369</v>
      </c>
      <c r="B530" t="s">
        <v>14</v>
      </c>
      <c r="C530">
        <v>0.35</v>
      </c>
      <c r="D530">
        <v>0</v>
      </c>
      <c r="E530">
        <v>0</v>
      </c>
      <c r="F530">
        <v>0</v>
      </c>
      <c r="G530">
        <v>1</v>
      </c>
    </row>
    <row r="531" spans="1:7" x14ac:dyDescent="0.25">
      <c r="A531">
        <v>373</v>
      </c>
      <c r="B531" t="s">
        <v>14</v>
      </c>
      <c r="C531">
        <v>0.35</v>
      </c>
      <c r="D531">
        <v>0</v>
      </c>
      <c r="E531">
        <v>0</v>
      </c>
      <c r="F531">
        <v>0</v>
      </c>
      <c r="G531">
        <v>1</v>
      </c>
    </row>
    <row r="532" spans="1:7" x14ac:dyDescent="0.25">
      <c r="A532">
        <v>270</v>
      </c>
      <c r="B532" t="s">
        <v>14</v>
      </c>
      <c r="C532">
        <v>0.35</v>
      </c>
      <c r="D532">
        <v>0</v>
      </c>
      <c r="E532">
        <v>0</v>
      </c>
      <c r="F532">
        <v>0</v>
      </c>
      <c r="G532">
        <v>1</v>
      </c>
    </row>
    <row r="533" spans="1:7" x14ac:dyDescent="0.25">
      <c r="A533">
        <v>269</v>
      </c>
      <c r="B533" t="s">
        <v>14</v>
      </c>
      <c r="C533">
        <v>0.35</v>
      </c>
      <c r="D533">
        <v>0</v>
      </c>
      <c r="E533">
        <v>0</v>
      </c>
      <c r="F533">
        <v>0</v>
      </c>
      <c r="G53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C3468-B4C6-4560-9BD4-430ABA753F18}">
  <dimension ref="A1:K532"/>
  <sheetViews>
    <sheetView workbookViewId="0">
      <selection activeCell="H17" sqref="H17"/>
    </sheetView>
  </sheetViews>
  <sheetFormatPr defaultRowHeight="15" x14ac:dyDescent="0.25"/>
  <cols>
    <col min="2" max="2" width="10.7109375" customWidth="1"/>
    <col min="3" max="3" width="11" customWidth="1"/>
    <col min="4" max="4" width="8.7109375" style="1"/>
    <col min="10" max="10" width="11" customWidth="1"/>
  </cols>
  <sheetData>
    <row r="1" spans="1:11" x14ac:dyDescent="0.25">
      <c r="A1" t="s">
        <v>205</v>
      </c>
      <c r="E1" s="2" t="s">
        <v>209</v>
      </c>
      <c r="F1" s="2">
        <f>MAX(C3:C532)</f>
        <v>2</v>
      </c>
      <c r="G1" s="3" t="s">
        <v>210</v>
      </c>
      <c r="H1" s="3">
        <f>MIN(C3:C532)</f>
        <v>0.35</v>
      </c>
      <c r="K1">
        <v>2</v>
      </c>
    </row>
    <row r="2" spans="1:11" x14ac:dyDescent="0.25">
      <c r="A2" t="s">
        <v>2</v>
      </c>
      <c r="B2" t="s">
        <v>207</v>
      </c>
      <c r="C2" t="s">
        <v>208</v>
      </c>
      <c r="D2" s="1" t="s">
        <v>206</v>
      </c>
      <c r="F2" t="s">
        <v>211</v>
      </c>
      <c r="J2" t="s">
        <v>208</v>
      </c>
      <c r="K2">
        <v>1.5</v>
      </c>
    </row>
    <row r="3" spans="1:11" x14ac:dyDescent="0.25">
      <c r="A3">
        <v>158</v>
      </c>
      <c r="B3">
        <v>250</v>
      </c>
      <c r="C3">
        <v>2</v>
      </c>
      <c r="D3" s="1">
        <f>3.1415926*$B3*(($C3/2)^2)</f>
        <v>785.39814999999999</v>
      </c>
      <c r="F3">
        <f>$C3/$F$1</f>
        <v>1</v>
      </c>
      <c r="J3">
        <v>2</v>
      </c>
      <c r="K3">
        <v>1.2</v>
      </c>
    </row>
    <row r="4" spans="1:11" x14ac:dyDescent="0.25">
      <c r="A4">
        <v>163</v>
      </c>
      <c r="B4">
        <v>85</v>
      </c>
      <c r="C4">
        <v>0.8</v>
      </c>
      <c r="D4" s="1">
        <f>3.1415926*$B4*(($C4/2)^2)</f>
        <v>42.725659360000009</v>
      </c>
      <c r="F4">
        <f t="shared" ref="F4:F67" si="0">$C4/$F$1</f>
        <v>0.4</v>
      </c>
      <c r="J4">
        <v>0.8</v>
      </c>
      <c r="K4">
        <v>1</v>
      </c>
    </row>
    <row r="5" spans="1:11" x14ac:dyDescent="0.25">
      <c r="A5">
        <v>156</v>
      </c>
      <c r="B5">
        <v>220</v>
      </c>
      <c r="C5">
        <v>1.5</v>
      </c>
      <c r="D5" s="1">
        <f t="shared" ref="D5:D67" si="1">3.1415926*$B5*(($C5/2)^2)</f>
        <v>388.77208425000003</v>
      </c>
      <c r="F5">
        <f t="shared" si="0"/>
        <v>0.75</v>
      </c>
      <c r="J5">
        <v>1.5</v>
      </c>
      <c r="K5">
        <v>0.8</v>
      </c>
    </row>
    <row r="6" spans="1:11" x14ac:dyDescent="0.25">
      <c r="A6">
        <v>153</v>
      </c>
      <c r="B6">
        <v>85</v>
      </c>
      <c r="C6">
        <v>2</v>
      </c>
      <c r="D6" s="1">
        <f t="shared" si="1"/>
        <v>267.035371</v>
      </c>
      <c r="F6">
        <f t="shared" si="0"/>
        <v>1</v>
      </c>
      <c r="J6">
        <v>0.4</v>
      </c>
      <c r="K6">
        <v>0.6</v>
      </c>
    </row>
    <row r="7" spans="1:11" x14ac:dyDescent="0.25">
      <c r="A7">
        <v>152</v>
      </c>
      <c r="B7">
        <v>200</v>
      </c>
      <c r="C7">
        <v>0.4</v>
      </c>
      <c r="D7" s="1">
        <f t="shared" si="1"/>
        <v>25.132740800000008</v>
      </c>
      <c r="F7">
        <f t="shared" si="0"/>
        <v>0.2</v>
      </c>
      <c r="J7">
        <v>0.53</v>
      </c>
      <c r="K7">
        <v>0.53</v>
      </c>
    </row>
    <row r="8" spans="1:11" x14ac:dyDescent="0.25">
      <c r="A8">
        <v>149</v>
      </c>
      <c r="B8">
        <v>85</v>
      </c>
      <c r="C8">
        <v>2</v>
      </c>
      <c r="D8" s="1">
        <f t="shared" si="1"/>
        <v>267.035371</v>
      </c>
      <c r="F8">
        <f t="shared" si="0"/>
        <v>1</v>
      </c>
      <c r="J8">
        <v>0.35</v>
      </c>
      <c r="K8">
        <v>0.4</v>
      </c>
    </row>
    <row r="9" spans="1:11" x14ac:dyDescent="0.25">
      <c r="A9">
        <v>161</v>
      </c>
      <c r="B9">
        <v>80</v>
      </c>
      <c r="C9">
        <v>0.53</v>
      </c>
      <c r="D9" s="1">
        <f t="shared" si="1"/>
        <v>17.649467226800002</v>
      </c>
      <c r="F9">
        <f t="shared" si="0"/>
        <v>0.26500000000000001</v>
      </c>
      <c r="J9">
        <v>0.6</v>
      </c>
      <c r="K9">
        <v>0.35</v>
      </c>
    </row>
    <row r="10" spans="1:11" x14ac:dyDescent="0.25">
      <c r="A10">
        <v>155</v>
      </c>
      <c r="B10">
        <v>210</v>
      </c>
      <c r="C10">
        <v>1.5</v>
      </c>
      <c r="D10" s="1">
        <f t="shared" si="1"/>
        <v>371.10062587500005</v>
      </c>
      <c r="F10">
        <f t="shared" si="0"/>
        <v>0.75</v>
      </c>
      <c r="J10">
        <v>1.2</v>
      </c>
    </row>
    <row r="11" spans="1:11" x14ac:dyDescent="0.25">
      <c r="A11">
        <v>169</v>
      </c>
      <c r="B11">
        <v>85</v>
      </c>
      <c r="C11">
        <v>0.8</v>
      </c>
      <c r="D11" s="1">
        <f t="shared" si="1"/>
        <v>42.725659360000009</v>
      </c>
      <c r="F11">
        <f t="shared" si="0"/>
        <v>0.4</v>
      </c>
      <c r="J11">
        <v>1</v>
      </c>
    </row>
    <row r="12" spans="1:11" x14ac:dyDescent="0.25">
      <c r="A12">
        <v>162</v>
      </c>
      <c r="B12">
        <v>170</v>
      </c>
      <c r="C12">
        <v>0.35</v>
      </c>
      <c r="D12" s="1">
        <f t="shared" si="1"/>
        <v>16.355916473749996</v>
      </c>
      <c r="F12">
        <f t="shared" si="0"/>
        <v>0.17499999999999999</v>
      </c>
    </row>
    <row r="13" spans="1:11" x14ac:dyDescent="0.25">
      <c r="A13">
        <v>148</v>
      </c>
      <c r="B13">
        <v>190</v>
      </c>
      <c r="C13">
        <v>0.4</v>
      </c>
      <c r="D13" s="1">
        <f t="shared" si="1"/>
        <v>23.876103760000007</v>
      </c>
      <c r="F13">
        <f t="shared" si="0"/>
        <v>0.2</v>
      </c>
    </row>
    <row r="14" spans="1:11" x14ac:dyDescent="0.25">
      <c r="A14">
        <v>144</v>
      </c>
      <c r="B14">
        <v>85</v>
      </c>
      <c r="C14">
        <v>2</v>
      </c>
      <c r="D14" s="1">
        <f t="shared" si="1"/>
        <v>267.035371</v>
      </c>
      <c r="F14">
        <f t="shared" si="0"/>
        <v>1</v>
      </c>
    </row>
    <row r="15" spans="1:11" x14ac:dyDescent="0.25">
      <c r="A15">
        <v>151</v>
      </c>
      <c r="B15">
        <v>200</v>
      </c>
      <c r="C15">
        <v>0.4</v>
      </c>
      <c r="D15" s="1">
        <f t="shared" si="1"/>
        <v>25.132740800000008</v>
      </c>
      <c r="F15">
        <f t="shared" si="0"/>
        <v>0.2</v>
      </c>
    </row>
    <row r="16" spans="1:11" x14ac:dyDescent="0.25">
      <c r="A16">
        <v>154</v>
      </c>
      <c r="B16">
        <v>220</v>
      </c>
      <c r="C16">
        <v>1.5</v>
      </c>
      <c r="D16" s="1">
        <f t="shared" si="1"/>
        <v>388.77208425000003</v>
      </c>
      <c r="F16">
        <f t="shared" si="0"/>
        <v>0.75</v>
      </c>
    </row>
    <row r="17" spans="1:6" x14ac:dyDescent="0.25">
      <c r="A17">
        <v>160</v>
      </c>
      <c r="B17">
        <v>215</v>
      </c>
      <c r="C17">
        <v>0.4</v>
      </c>
      <c r="D17" s="1">
        <f t="shared" si="1"/>
        <v>27.017696360000006</v>
      </c>
      <c r="F17">
        <f t="shared" si="0"/>
        <v>0.2</v>
      </c>
    </row>
    <row r="18" spans="1:6" x14ac:dyDescent="0.25">
      <c r="A18">
        <v>450</v>
      </c>
      <c r="B18">
        <v>70</v>
      </c>
      <c r="C18">
        <v>0.35</v>
      </c>
      <c r="D18" s="1">
        <f t="shared" si="1"/>
        <v>6.734789136249999</v>
      </c>
      <c r="F18">
        <f t="shared" si="0"/>
        <v>0.17499999999999999</v>
      </c>
    </row>
    <row r="19" spans="1:6" x14ac:dyDescent="0.25">
      <c r="A19">
        <v>177</v>
      </c>
      <c r="B19">
        <v>160</v>
      </c>
      <c r="C19">
        <v>1.5</v>
      </c>
      <c r="D19" s="1">
        <f t="shared" si="1"/>
        <v>282.743334</v>
      </c>
      <c r="F19">
        <f t="shared" si="0"/>
        <v>0.75</v>
      </c>
    </row>
    <row r="20" spans="1:6" x14ac:dyDescent="0.25">
      <c r="A20">
        <v>167</v>
      </c>
      <c r="B20">
        <v>155</v>
      </c>
      <c r="C20">
        <v>1.2</v>
      </c>
      <c r="D20" s="1">
        <f t="shared" si="1"/>
        <v>175.30086708000002</v>
      </c>
      <c r="F20">
        <f t="shared" si="0"/>
        <v>0.6</v>
      </c>
    </row>
    <row r="21" spans="1:6" x14ac:dyDescent="0.25">
      <c r="A21">
        <v>143</v>
      </c>
      <c r="B21">
        <v>185</v>
      </c>
      <c r="C21">
        <v>0.35</v>
      </c>
      <c r="D21" s="1">
        <f t="shared" si="1"/>
        <v>17.799085574374995</v>
      </c>
      <c r="F21">
        <f t="shared" si="0"/>
        <v>0.17499999999999999</v>
      </c>
    </row>
    <row r="22" spans="1:6" x14ac:dyDescent="0.25">
      <c r="A22">
        <v>137</v>
      </c>
      <c r="B22">
        <v>85</v>
      </c>
      <c r="C22">
        <v>2</v>
      </c>
      <c r="D22" s="1">
        <f t="shared" si="1"/>
        <v>267.035371</v>
      </c>
      <c r="F22">
        <f t="shared" si="0"/>
        <v>1</v>
      </c>
    </row>
    <row r="23" spans="1:6" x14ac:dyDescent="0.25">
      <c r="A23">
        <v>147</v>
      </c>
      <c r="B23">
        <v>190</v>
      </c>
      <c r="C23">
        <v>0.4</v>
      </c>
      <c r="D23" s="1">
        <f t="shared" si="1"/>
        <v>23.876103760000007</v>
      </c>
      <c r="F23">
        <f t="shared" si="0"/>
        <v>0.2</v>
      </c>
    </row>
    <row r="24" spans="1:6" x14ac:dyDescent="0.25">
      <c r="A24">
        <v>150</v>
      </c>
      <c r="B24">
        <v>200</v>
      </c>
      <c r="C24">
        <v>0.35</v>
      </c>
      <c r="D24" s="1">
        <f t="shared" si="1"/>
        <v>19.242254674999998</v>
      </c>
      <c r="F24">
        <f t="shared" si="0"/>
        <v>0.17499999999999999</v>
      </c>
    </row>
    <row r="25" spans="1:6" x14ac:dyDescent="0.25">
      <c r="A25">
        <v>448</v>
      </c>
      <c r="B25">
        <v>80</v>
      </c>
      <c r="C25">
        <v>0.35</v>
      </c>
      <c r="D25" s="1">
        <f t="shared" si="1"/>
        <v>7.6969018699999987</v>
      </c>
      <c r="F25">
        <f t="shared" si="0"/>
        <v>0.17499999999999999</v>
      </c>
    </row>
    <row r="26" spans="1:6" x14ac:dyDescent="0.25">
      <c r="A26">
        <v>159</v>
      </c>
      <c r="B26">
        <v>80</v>
      </c>
      <c r="C26">
        <v>0.6</v>
      </c>
      <c r="D26" s="1">
        <f t="shared" si="1"/>
        <v>22.619466719999998</v>
      </c>
      <c r="F26">
        <f t="shared" si="0"/>
        <v>0.3</v>
      </c>
    </row>
    <row r="27" spans="1:6" x14ac:dyDescent="0.25">
      <c r="A27">
        <v>87</v>
      </c>
      <c r="B27">
        <v>220</v>
      </c>
      <c r="C27">
        <v>1.5</v>
      </c>
      <c r="D27" s="1">
        <f t="shared" si="1"/>
        <v>388.77208425000003</v>
      </c>
      <c r="F27">
        <f t="shared" si="0"/>
        <v>0.75</v>
      </c>
    </row>
    <row r="28" spans="1:6" x14ac:dyDescent="0.25">
      <c r="A28">
        <v>449</v>
      </c>
      <c r="B28">
        <v>215</v>
      </c>
      <c r="C28">
        <v>0.35</v>
      </c>
      <c r="D28" s="1">
        <f t="shared" si="1"/>
        <v>20.685423775624997</v>
      </c>
      <c r="F28">
        <f t="shared" si="0"/>
        <v>0.17499999999999999</v>
      </c>
    </row>
    <row r="29" spans="1:6" x14ac:dyDescent="0.25">
      <c r="A29">
        <v>451</v>
      </c>
      <c r="B29">
        <v>90</v>
      </c>
      <c r="C29">
        <v>0.35</v>
      </c>
      <c r="D29" s="1">
        <f t="shared" si="1"/>
        <v>8.6590146037499984</v>
      </c>
      <c r="F29">
        <f t="shared" si="0"/>
        <v>0.17499999999999999</v>
      </c>
    </row>
    <row r="30" spans="1:6" x14ac:dyDescent="0.25">
      <c r="A30">
        <v>166</v>
      </c>
      <c r="B30">
        <v>215</v>
      </c>
      <c r="C30">
        <v>0.53</v>
      </c>
      <c r="D30" s="1">
        <f t="shared" si="1"/>
        <v>47.432943172025006</v>
      </c>
      <c r="F30">
        <f t="shared" si="0"/>
        <v>0.26500000000000001</v>
      </c>
    </row>
    <row r="31" spans="1:6" x14ac:dyDescent="0.25">
      <c r="A31">
        <v>183</v>
      </c>
      <c r="B31">
        <v>80</v>
      </c>
      <c r="C31">
        <v>0.8</v>
      </c>
      <c r="D31" s="1">
        <f t="shared" si="1"/>
        <v>40.212385280000007</v>
      </c>
      <c r="F31">
        <f t="shared" si="0"/>
        <v>0.4</v>
      </c>
    </row>
    <row r="32" spans="1:6" x14ac:dyDescent="0.25">
      <c r="A32">
        <v>176</v>
      </c>
      <c r="B32">
        <v>200</v>
      </c>
      <c r="C32">
        <v>0.35</v>
      </c>
      <c r="D32" s="1">
        <f t="shared" si="1"/>
        <v>19.242254674999998</v>
      </c>
      <c r="F32">
        <f t="shared" si="0"/>
        <v>0.17499999999999999</v>
      </c>
    </row>
    <row r="33" spans="1:6" x14ac:dyDescent="0.25">
      <c r="A33">
        <v>138</v>
      </c>
      <c r="B33">
        <v>170</v>
      </c>
      <c r="C33">
        <v>0.6</v>
      </c>
      <c r="D33" s="1">
        <f t="shared" si="1"/>
        <v>48.066366779999996</v>
      </c>
      <c r="F33">
        <f t="shared" si="0"/>
        <v>0.3</v>
      </c>
    </row>
    <row r="34" spans="1:6" x14ac:dyDescent="0.25">
      <c r="A34">
        <v>136</v>
      </c>
      <c r="B34">
        <v>85</v>
      </c>
      <c r="C34">
        <v>1.5</v>
      </c>
      <c r="D34" s="1">
        <f t="shared" si="1"/>
        <v>150.2073961875</v>
      </c>
      <c r="F34">
        <f t="shared" si="0"/>
        <v>0.75</v>
      </c>
    </row>
    <row r="35" spans="1:6" x14ac:dyDescent="0.25">
      <c r="A35">
        <v>142</v>
      </c>
      <c r="B35">
        <v>185</v>
      </c>
      <c r="C35">
        <v>0.35</v>
      </c>
      <c r="D35" s="1">
        <f t="shared" si="1"/>
        <v>17.799085574374995</v>
      </c>
      <c r="F35">
        <f t="shared" si="0"/>
        <v>0.17499999999999999</v>
      </c>
    </row>
    <row r="36" spans="1:6" x14ac:dyDescent="0.25">
      <c r="A36">
        <v>145</v>
      </c>
      <c r="B36">
        <v>190</v>
      </c>
      <c r="C36">
        <v>0.4</v>
      </c>
      <c r="D36" s="1">
        <f t="shared" si="1"/>
        <v>23.876103760000007</v>
      </c>
      <c r="F36">
        <f t="shared" si="0"/>
        <v>0.2</v>
      </c>
    </row>
    <row r="37" spans="1:6" x14ac:dyDescent="0.25">
      <c r="A37">
        <v>446</v>
      </c>
      <c r="B37">
        <v>80</v>
      </c>
      <c r="C37">
        <v>0.8</v>
      </c>
      <c r="D37" s="1">
        <f t="shared" si="1"/>
        <v>40.212385280000007</v>
      </c>
      <c r="F37">
        <f t="shared" si="0"/>
        <v>0.4</v>
      </c>
    </row>
    <row r="38" spans="1:6" x14ac:dyDescent="0.25">
      <c r="A38">
        <v>88</v>
      </c>
      <c r="B38">
        <v>220</v>
      </c>
      <c r="C38">
        <v>1</v>
      </c>
      <c r="D38" s="1">
        <f t="shared" si="1"/>
        <v>172.78759300000002</v>
      </c>
      <c r="F38">
        <f t="shared" si="0"/>
        <v>0.5</v>
      </c>
    </row>
    <row r="39" spans="1:6" x14ac:dyDescent="0.25">
      <c r="A39">
        <v>86</v>
      </c>
      <c r="B39">
        <v>80</v>
      </c>
      <c r="C39">
        <v>1.2</v>
      </c>
      <c r="D39" s="1">
        <f t="shared" si="1"/>
        <v>90.477866879999993</v>
      </c>
      <c r="F39">
        <f t="shared" si="0"/>
        <v>0.6</v>
      </c>
    </row>
    <row r="40" spans="1:6" x14ac:dyDescent="0.25">
      <c r="A40">
        <v>48</v>
      </c>
      <c r="B40">
        <v>225</v>
      </c>
      <c r="C40">
        <v>1.5</v>
      </c>
      <c r="D40" s="1">
        <f t="shared" si="1"/>
        <v>397.6078134375</v>
      </c>
      <c r="F40">
        <f t="shared" si="0"/>
        <v>0.75</v>
      </c>
    </row>
    <row r="41" spans="1:6" x14ac:dyDescent="0.25">
      <c r="A41">
        <v>419</v>
      </c>
      <c r="B41">
        <v>220</v>
      </c>
      <c r="C41">
        <v>0.35</v>
      </c>
      <c r="D41" s="1">
        <f t="shared" si="1"/>
        <v>21.166480142499999</v>
      </c>
      <c r="F41">
        <f t="shared" si="0"/>
        <v>0.17499999999999999</v>
      </c>
    </row>
    <row r="42" spans="1:6" x14ac:dyDescent="0.25">
      <c r="A42">
        <v>164</v>
      </c>
      <c r="B42">
        <v>80</v>
      </c>
      <c r="C42">
        <v>0.6</v>
      </c>
      <c r="D42" s="1">
        <f t="shared" si="1"/>
        <v>22.619466719999998</v>
      </c>
      <c r="F42">
        <f t="shared" si="0"/>
        <v>0.3</v>
      </c>
    </row>
    <row r="43" spans="1:6" x14ac:dyDescent="0.25">
      <c r="A43">
        <v>172</v>
      </c>
      <c r="B43">
        <v>80</v>
      </c>
      <c r="C43">
        <v>0.6</v>
      </c>
      <c r="D43" s="1">
        <f t="shared" si="1"/>
        <v>22.619466719999998</v>
      </c>
      <c r="F43">
        <f t="shared" si="0"/>
        <v>0.3</v>
      </c>
    </row>
    <row r="44" spans="1:6" x14ac:dyDescent="0.25">
      <c r="A44">
        <v>165</v>
      </c>
      <c r="B44">
        <v>165</v>
      </c>
      <c r="C44">
        <v>0.35</v>
      </c>
      <c r="D44" s="1">
        <f t="shared" si="1"/>
        <v>15.874860106874999</v>
      </c>
      <c r="F44">
        <f t="shared" si="0"/>
        <v>0.17499999999999999</v>
      </c>
    </row>
    <row r="45" spans="1:6" x14ac:dyDescent="0.25">
      <c r="A45">
        <v>456</v>
      </c>
      <c r="B45">
        <v>200</v>
      </c>
      <c r="C45">
        <v>0.35</v>
      </c>
      <c r="D45" s="1">
        <f t="shared" si="1"/>
        <v>19.242254674999998</v>
      </c>
      <c r="F45">
        <f t="shared" si="0"/>
        <v>0.17499999999999999</v>
      </c>
    </row>
    <row r="46" spans="1:6" x14ac:dyDescent="0.25">
      <c r="A46">
        <v>188</v>
      </c>
      <c r="B46">
        <v>80</v>
      </c>
      <c r="C46">
        <v>0.8</v>
      </c>
      <c r="D46" s="1">
        <f t="shared" si="1"/>
        <v>40.212385280000007</v>
      </c>
      <c r="F46">
        <f t="shared" si="0"/>
        <v>0.4</v>
      </c>
    </row>
    <row r="47" spans="1:6" x14ac:dyDescent="0.25">
      <c r="A47">
        <v>182</v>
      </c>
      <c r="B47">
        <v>200</v>
      </c>
      <c r="C47">
        <v>0.35</v>
      </c>
      <c r="D47" s="1">
        <f t="shared" si="1"/>
        <v>19.242254674999998</v>
      </c>
      <c r="F47">
        <f t="shared" si="0"/>
        <v>0.17499999999999999</v>
      </c>
    </row>
    <row r="48" spans="1:6" x14ac:dyDescent="0.25">
      <c r="A48">
        <v>276</v>
      </c>
      <c r="B48">
        <v>250</v>
      </c>
      <c r="C48">
        <v>0.35</v>
      </c>
      <c r="D48" s="1">
        <f t="shared" si="1"/>
        <v>24.052818343749998</v>
      </c>
      <c r="F48">
        <f t="shared" si="0"/>
        <v>0.17499999999999999</v>
      </c>
    </row>
    <row r="49" spans="1:6" x14ac:dyDescent="0.25">
      <c r="A49">
        <v>134</v>
      </c>
      <c r="B49">
        <v>155</v>
      </c>
      <c r="C49">
        <v>1.5</v>
      </c>
      <c r="D49" s="1">
        <f t="shared" si="1"/>
        <v>273.90760481250004</v>
      </c>
      <c r="F49">
        <f t="shared" si="0"/>
        <v>0.75</v>
      </c>
    </row>
    <row r="50" spans="1:6" x14ac:dyDescent="0.25">
      <c r="A50">
        <v>128</v>
      </c>
      <c r="B50">
        <v>110</v>
      </c>
      <c r="C50">
        <v>0.6</v>
      </c>
      <c r="D50" s="1">
        <f t="shared" si="1"/>
        <v>31.101766740000002</v>
      </c>
      <c r="F50">
        <f t="shared" si="0"/>
        <v>0.3</v>
      </c>
    </row>
    <row r="51" spans="1:6" x14ac:dyDescent="0.25">
      <c r="A51">
        <v>139</v>
      </c>
      <c r="B51">
        <v>170</v>
      </c>
      <c r="C51">
        <v>0.6</v>
      </c>
      <c r="D51" s="1">
        <f t="shared" si="1"/>
        <v>48.066366779999996</v>
      </c>
      <c r="F51">
        <f t="shared" si="0"/>
        <v>0.3</v>
      </c>
    </row>
    <row r="52" spans="1:6" x14ac:dyDescent="0.25">
      <c r="A52">
        <v>141</v>
      </c>
      <c r="B52">
        <v>185</v>
      </c>
      <c r="C52">
        <v>0.35</v>
      </c>
      <c r="D52" s="1">
        <f t="shared" si="1"/>
        <v>17.799085574374995</v>
      </c>
      <c r="F52">
        <f t="shared" si="0"/>
        <v>0.17499999999999999</v>
      </c>
    </row>
    <row r="53" spans="1:6" x14ac:dyDescent="0.25">
      <c r="A53">
        <v>445</v>
      </c>
      <c r="B53">
        <v>80</v>
      </c>
      <c r="C53">
        <v>0.35</v>
      </c>
      <c r="D53" s="1">
        <f t="shared" si="1"/>
        <v>7.6969018699999987</v>
      </c>
      <c r="F53">
        <f t="shared" si="0"/>
        <v>0.17499999999999999</v>
      </c>
    </row>
    <row r="54" spans="1:6" x14ac:dyDescent="0.25">
      <c r="A54">
        <v>89</v>
      </c>
      <c r="B54">
        <v>220</v>
      </c>
      <c r="C54">
        <v>0.4</v>
      </c>
      <c r="D54" s="1">
        <f t="shared" si="1"/>
        <v>27.646014880000006</v>
      </c>
      <c r="F54">
        <f t="shared" si="0"/>
        <v>0.2</v>
      </c>
    </row>
    <row r="55" spans="1:6" x14ac:dyDescent="0.25">
      <c r="A55">
        <v>420</v>
      </c>
      <c r="B55">
        <v>80</v>
      </c>
      <c r="C55">
        <v>0.35</v>
      </c>
      <c r="D55" s="1">
        <f t="shared" si="1"/>
        <v>7.6969018699999987</v>
      </c>
      <c r="F55">
        <f t="shared" si="0"/>
        <v>0.17499999999999999</v>
      </c>
    </row>
    <row r="56" spans="1:6" x14ac:dyDescent="0.25">
      <c r="A56">
        <v>49</v>
      </c>
      <c r="B56">
        <v>225</v>
      </c>
      <c r="C56">
        <v>0.35</v>
      </c>
      <c r="D56" s="1">
        <f t="shared" si="1"/>
        <v>21.647536509374998</v>
      </c>
      <c r="F56">
        <f t="shared" si="0"/>
        <v>0.17499999999999999</v>
      </c>
    </row>
    <row r="57" spans="1:6" x14ac:dyDescent="0.25">
      <c r="A57">
        <v>374</v>
      </c>
      <c r="B57">
        <v>80</v>
      </c>
      <c r="C57">
        <v>0.35</v>
      </c>
      <c r="D57" s="1">
        <f t="shared" si="1"/>
        <v>7.6969018699999987</v>
      </c>
      <c r="F57">
        <f t="shared" si="0"/>
        <v>0.17499999999999999</v>
      </c>
    </row>
    <row r="58" spans="1:6" x14ac:dyDescent="0.25">
      <c r="A58">
        <v>47</v>
      </c>
      <c r="B58">
        <v>80</v>
      </c>
      <c r="C58">
        <v>1.5</v>
      </c>
      <c r="D58" s="1">
        <f t="shared" si="1"/>
        <v>141.371667</v>
      </c>
      <c r="F58">
        <f t="shared" si="0"/>
        <v>0.75</v>
      </c>
    </row>
    <row r="59" spans="1:6" x14ac:dyDescent="0.25">
      <c r="A59">
        <v>23</v>
      </c>
      <c r="B59">
        <v>250</v>
      </c>
      <c r="C59">
        <v>0.8</v>
      </c>
      <c r="D59" s="1">
        <f t="shared" si="1"/>
        <v>125.66370400000002</v>
      </c>
      <c r="F59">
        <f t="shared" si="0"/>
        <v>0.4</v>
      </c>
    </row>
    <row r="60" spans="1:6" x14ac:dyDescent="0.25">
      <c r="A60">
        <v>85</v>
      </c>
      <c r="B60">
        <v>80</v>
      </c>
      <c r="C60">
        <v>1.2</v>
      </c>
      <c r="D60" s="1">
        <f t="shared" si="1"/>
        <v>90.477866879999993</v>
      </c>
      <c r="F60">
        <f t="shared" si="0"/>
        <v>0.6</v>
      </c>
    </row>
    <row r="61" spans="1:6" x14ac:dyDescent="0.25">
      <c r="A61">
        <v>417</v>
      </c>
      <c r="B61">
        <v>220</v>
      </c>
      <c r="C61">
        <v>0.35</v>
      </c>
      <c r="D61" s="1">
        <f t="shared" si="1"/>
        <v>21.166480142499999</v>
      </c>
      <c r="F61">
        <f t="shared" si="0"/>
        <v>0.17499999999999999</v>
      </c>
    </row>
    <row r="62" spans="1:6" x14ac:dyDescent="0.25">
      <c r="A62">
        <v>170</v>
      </c>
      <c r="B62">
        <v>80</v>
      </c>
      <c r="C62">
        <v>0.6</v>
      </c>
      <c r="D62" s="1">
        <f t="shared" si="1"/>
        <v>22.619466719999998</v>
      </c>
      <c r="F62">
        <f t="shared" si="0"/>
        <v>0.3</v>
      </c>
    </row>
    <row r="63" spans="1:6" x14ac:dyDescent="0.25">
      <c r="A63">
        <v>452</v>
      </c>
      <c r="B63">
        <v>165</v>
      </c>
      <c r="C63">
        <v>0.35</v>
      </c>
      <c r="D63" s="1">
        <f t="shared" si="1"/>
        <v>15.874860106874999</v>
      </c>
      <c r="F63">
        <f t="shared" si="0"/>
        <v>0.17499999999999999</v>
      </c>
    </row>
    <row r="64" spans="1:6" x14ac:dyDescent="0.25">
      <c r="A64">
        <v>175</v>
      </c>
      <c r="B64">
        <v>80</v>
      </c>
      <c r="C64">
        <v>0.53</v>
      </c>
      <c r="D64" s="1">
        <f t="shared" si="1"/>
        <v>17.649467226800002</v>
      </c>
      <c r="F64">
        <f t="shared" si="0"/>
        <v>0.26500000000000001</v>
      </c>
    </row>
    <row r="65" spans="1:6" x14ac:dyDescent="0.25">
      <c r="A65">
        <v>171</v>
      </c>
      <c r="B65">
        <v>165</v>
      </c>
      <c r="C65">
        <v>1.5</v>
      </c>
      <c r="D65" s="1">
        <f t="shared" si="1"/>
        <v>291.57906318750003</v>
      </c>
      <c r="F65">
        <f t="shared" si="0"/>
        <v>0.75</v>
      </c>
    </row>
    <row r="66" spans="1:6" x14ac:dyDescent="0.25">
      <c r="A66">
        <v>195</v>
      </c>
      <c r="B66">
        <v>165</v>
      </c>
      <c r="C66">
        <v>0.4</v>
      </c>
      <c r="D66" s="1">
        <f t="shared" si="1"/>
        <v>20.734511160000007</v>
      </c>
      <c r="F66">
        <f t="shared" si="0"/>
        <v>0.2</v>
      </c>
    </row>
    <row r="67" spans="1:6" x14ac:dyDescent="0.25">
      <c r="A67">
        <v>187</v>
      </c>
      <c r="B67">
        <v>200</v>
      </c>
      <c r="C67">
        <v>0.8</v>
      </c>
      <c r="D67" s="1">
        <f t="shared" si="1"/>
        <v>100.53096320000003</v>
      </c>
      <c r="F67">
        <f t="shared" si="0"/>
        <v>0.4</v>
      </c>
    </row>
    <row r="68" spans="1:6" x14ac:dyDescent="0.25">
      <c r="A68">
        <v>129</v>
      </c>
      <c r="B68">
        <v>160</v>
      </c>
      <c r="C68">
        <v>0.35</v>
      </c>
      <c r="D68" s="1">
        <f t="shared" ref="D68:D131" si="2">3.1415926*$B68*(($C68/2)^2)</f>
        <v>15.393803739999997</v>
      </c>
      <c r="F68">
        <f t="shared" ref="F68:F131" si="3">$C68/$F$1</f>
        <v>0.17499999999999999</v>
      </c>
    </row>
    <row r="69" spans="1:6" x14ac:dyDescent="0.25">
      <c r="A69">
        <v>127</v>
      </c>
      <c r="B69">
        <v>160</v>
      </c>
      <c r="C69">
        <v>0.6</v>
      </c>
      <c r="D69" s="1">
        <f t="shared" si="2"/>
        <v>45.238933439999997</v>
      </c>
      <c r="F69">
        <f t="shared" si="3"/>
        <v>0.3</v>
      </c>
    </row>
    <row r="70" spans="1:6" x14ac:dyDescent="0.25">
      <c r="A70">
        <v>133</v>
      </c>
      <c r="B70">
        <v>155</v>
      </c>
      <c r="C70">
        <v>1.5</v>
      </c>
      <c r="D70" s="1">
        <f t="shared" si="2"/>
        <v>273.90760481250004</v>
      </c>
      <c r="F70">
        <f t="shared" si="3"/>
        <v>0.75</v>
      </c>
    </row>
    <row r="71" spans="1:6" x14ac:dyDescent="0.25">
      <c r="A71">
        <v>140</v>
      </c>
      <c r="B71">
        <v>160</v>
      </c>
      <c r="C71">
        <v>0.6</v>
      </c>
      <c r="D71" s="1">
        <f t="shared" si="2"/>
        <v>45.238933439999997</v>
      </c>
      <c r="F71">
        <f t="shared" si="3"/>
        <v>0.3</v>
      </c>
    </row>
    <row r="72" spans="1:6" x14ac:dyDescent="0.25">
      <c r="A72">
        <v>444</v>
      </c>
      <c r="B72">
        <v>80</v>
      </c>
      <c r="C72">
        <v>0.35</v>
      </c>
      <c r="D72" s="1">
        <f t="shared" si="2"/>
        <v>7.6969018699999987</v>
      </c>
      <c r="F72">
        <f t="shared" si="3"/>
        <v>0.17499999999999999</v>
      </c>
    </row>
    <row r="73" spans="1:6" x14ac:dyDescent="0.25">
      <c r="A73">
        <v>91</v>
      </c>
      <c r="B73">
        <v>220</v>
      </c>
      <c r="C73">
        <v>0.35</v>
      </c>
      <c r="D73" s="1">
        <f t="shared" si="2"/>
        <v>21.166480142499999</v>
      </c>
      <c r="F73">
        <f t="shared" si="3"/>
        <v>0.17499999999999999</v>
      </c>
    </row>
    <row r="74" spans="1:6" x14ac:dyDescent="0.25">
      <c r="A74">
        <v>421</v>
      </c>
      <c r="B74">
        <v>80</v>
      </c>
      <c r="C74">
        <v>0.35</v>
      </c>
      <c r="D74" s="1">
        <f t="shared" si="2"/>
        <v>7.6969018699999987</v>
      </c>
      <c r="F74">
        <f t="shared" si="3"/>
        <v>0.17499999999999999</v>
      </c>
    </row>
    <row r="75" spans="1:6" x14ac:dyDescent="0.25">
      <c r="A75">
        <v>50</v>
      </c>
      <c r="B75">
        <v>225</v>
      </c>
      <c r="C75">
        <v>0.4</v>
      </c>
      <c r="D75" s="1">
        <f t="shared" si="2"/>
        <v>28.274333400000007</v>
      </c>
      <c r="F75">
        <f t="shared" si="3"/>
        <v>0.2</v>
      </c>
    </row>
    <row r="76" spans="1:6" x14ac:dyDescent="0.25">
      <c r="A76">
        <v>375</v>
      </c>
      <c r="B76">
        <v>80</v>
      </c>
      <c r="C76">
        <v>0.35</v>
      </c>
      <c r="D76" s="1">
        <f t="shared" si="2"/>
        <v>7.6969018699999987</v>
      </c>
      <c r="F76">
        <f t="shared" si="3"/>
        <v>0.17499999999999999</v>
      </c>
    </row>
    <row r="77" spans="1:6" x14ac:dyDescent="0.25">
      <c r="A77">
        <v>22</v>
      </c>
      <c r="B77">
        <v>250</v>
      </c>
      <c r="C77">
        <v>0.35</v>
      </c>
      <c r="D77" s="1">
        <f t="shared" si="2"/>
        <v>24.052818343749998</v>
      </c>
      <c r="F77">
        <f t="shared" si="3"/>
        <v>0.17499999999999999</v>
      </c>
    </row>
    <row r="78" spans="1:6" x14ac:dyDescent="0.25">
      <c r="A78">
        <v>365</v>
      </c>
      <c r="B78">
        <v>40</v>
      </c>
      <c r="C78">
        <v>0.35</v>
      </c>
      <c r="D78" s="1">
        <f t="shared" si="2"/>
        <v>3.8484509349999994</v>
      </c>
      <c r="F78">
        <f t="shared" si="3"/>
        <v>0.17499999999999999</v>
      </c>
    </row>
    <row r="79" spans="1:6" x14ac:dyDescent="0.25">
      <c r="A79">
        <v>348</v>
      </c>
      <c r="B79">
        <v>215</v>
      </c>
      <c r="C79">
        <v>0.8</v>
      </c>
      <c r="D79" s="1">
        <f t="shared" si="2"/>
        <v>108.07078544000002</v>
      </c>
      <c r="F79">
        <f t="shared" si="3"/>
        <v>0.4</v>
      </c>
    </row>
    <row r="80" spans="1:6" x14ac:dyDescent="0.25">
      <c r="A80">
        <v>418</v>
      </c>
      <c r="B80">
        <v>225</v>
      </c>
      <c r="C80">
        <v>0.35</v>
      </c>
      <c r="D80" s="1">
        <f t="shared" si="2"/>
        <v>21.647536509374998</v>
      </c>
      <c r="F80">
        <f t="shared" si="3"/>
        <v>0.17499999999999999</v>
      </c>
    </row>
    <row r="81" spans="1:6" x14ac:dyDescent="0.25">
      <c r="A81">
        <v>45</v>
      </c>
      <c r="B81">
        <v>80</v>
      </c>
      <c r="C81">
        <v>0.8</v>
      </c>
      <c r="D81" s="1">
        <f t="shared" si="2"/>
        <v>40.212385280000007</v>
      </c>
      <c r="F81">
        <f t="shared" si="3"/>
        <v>0.4</v>
      </c>
    </row>
    <row r="82" spans="1:6" x14ac:dyDescent="0.25">
      <c r="A82">
        <v>25</v>
      </c>
      <c r="B82">
        <v>240</v>
      </c>
      <c r="C82">
        <v>1.5</v>
      </c>
      <c r="D82" s="1">
        <f t="shared" si="2"/>
        <v>424.11500100000001</v>
      </c>
      <c r="F82">
        <f t="shared" si="3"/>
        <v>0.75</v>
      </c>
    </row>
    <row r="83" spans="1:6" x14ac:dyDescent="0.25">
      <c r="A83">
        <v>84</v>
      </c>
      <c r="B83">
        <v>80</v>
      </c>
      <c r="C83">
        <v>1.2</v>
      </c>
      <c r="D83" s="1">
        <f t="shared" si="2"/>
        <v>90.477866879999993</v>
      </c>
      <c r="F83">
        <f t="shared" si="3"/>
        <v>0.6</v>
      </c>
    </row>
    <row r="84" spans="1:6" x14ac:dyDescent="0.25">
      <c r="A84">
        <v>415</v>
      </c>
      <c r="B84">
        <v>220</v>
      </c>
      <c r="C84">
        <v>0.35</v>
      </c>
      <c r="D84" s="1">
        <f t="shared" si="2"/>
        <v>21.166480142499999</v>
      </c>
      <c r="F84">
        <f t="shared" si="3"/>
        <v>0.17499999999999999</v>
      </c>
    </row>
    <row r="85" spans="1:6" x14ac:dyDescent="0.25">
      <c r="A85">
        <v>173</v>
      </c>
      <c r="B85">
        <v>80</v>
      </c>
      <c r="C85">
        <v>0.6</v>
      </c>
      <c r="D85" s="1">
        <f t="shared" si="2"/>
        <v>22.619466719999998</v>
      </c>
      <c r="F85">
        <f t="shared" si="3"/>
        <v>0.3</v>
      </c>
    </row>
    <row r="86" spans="1:6" x14ac:dyDescent="0.25">
      <c r="A86">
        <v>453</v>
      </c>
      <c r="B86">
        <v>165</v>
      </c>
      <c r="C86">
        <v>0.35</v>
      </c>
      <c r="D86" s="1">
        <f t="shared" si="2"/>
        <v>15.874860106874999</v>
      </c>
      <c r="F86">
        <f t="shared" si="3"/>
        <v>0.17499999999999999</v>
      </c>
    </row>
    <row r="87" spans="1:6" x14ac:dyDescent="0.25">
      <c r="A87">
        <v>181</v>
      </c>
      <c r="B87">
        <v>80</v>
      </c>
      <c r="C87">
        <v>0.35</v>
      </c>
      <c r="D87" s="1">
        <f t="shared" si="2"/>
        <v>7.6969018699999987</v>
      </c>
      <c r="F87">
        <f t="shared" si="3"/>
        <v>0.17499999999999999</v>
      </c>
    </row>
    <row r="88" spans="1:6" x14ac:dyDescent="0.25">
      <c r="A88">
        <v>174</v>
      </c>
      <c r="B88">
        <v>165</v>
      </c>
      <c r="C88">
        <v>0.35</v>
      </c>
      <c r="D88" s="1">
        <f t="shared" si="2"/>
        <v>15.874860106874999</v>
      </c>
      <c r="F88">
        <f t="shared" si="3"/>
        <v>0.17499999999999999</v>
      </c>
    </row>
    <row r="89" spans="1:6" x14ac:dyDescent="0.25">
      <c r="A89">
        <v>460</v>
      </c>
      <c r="B89">
        <v>200</v>
      </c>
      <c r="C89">
        <v>0.35</v>
      </c>
      <c r="D89" s="1">
        <f t="shared" si="2"/>
        <v>19.242254674999998</v>
      </c>
      <c r="F89">
        <f t="shared" si="3"/>
        <v>0.17499999999999999</v>
      </c>
    </row>
    <row r="90" spans="1:6" x14ac:dyDescent="0.25">
      <c r="A90">
        <v>194</v>
      </c>
      <c r="B90">
        <v>160</v>
      </c>
      <c r="C90">
        <v>0.8</v>
      </c>
      <c r="D90" s="1">
        <f t="shared" si="2"/>
        <v>80.424770560000013</v>
      </c>
      <c r="F90">
        <f t="shared" si="3"/>
        <v>0.4</v>
      </c>
    </row>
    <row r="91" spans="1:6" x14ac:dyDescent="0.25">
      <c r="A91">
        <v>464</v>
      </c>
      <c r="B91">
        <v>200</v>
      </c>
      <c r="C91">
        <v>0.35</v>
      </c>
      <c r="D91" s="1">
        <f t="shared" si="2"/>
        <v>19.242254674999998</v>
      </c>
      <c r="F91">
        <f t="shared" si="3"/>
        <v>0.17499999999999999</v>
      </c>
    </row>
    <row r="92" spans="1:6" x14ac:dyDescent="0.25">
      <c r="A92">
        <v>216</v>
      </c>
      <c r="B92">
        <v>115</v>
      </c>
      <c r="C92">
        <v>0.4</v>
      </c>
      <c r="D92" s="1">
        <f t="shared" si="2"/>
        <v>14.451325960000002</v>
      </c>
      <c r="F92">
        <f t="shared" si="3"/>
        <v>0.2</v>
      </c>
    </row>
    <row r="93" spans="1:6" x14ac:dyDescent="0.25">
      <c r="A93">
        <v>126</v>
      </c>
      <c r="B93">
        <v>130</v>
      </c>
      <c r="C93">
        <v>0.35</v>
      </c>
      <c r="D93" s="1">
        <f t="shared" si="2"/>
        <v>12.507465538749999</v>
      </c>
      <c r="F93">
        <f t="shared" si="3"/>
        <v>0.17499999999999999</v>
      </c>
    </row>
    <row r="94" spans="1:6" x14ac:dyDescent="0.25">
      <c r="A94">
        <v>120</v>
      </c>
      <c r="B94">
        <v>85</v>
      </c>
      <c r="C94">
        <v>0.4</v>
      </c>
      <c r="D94" s="1">
        <f t="shared" si="2"/>
        <v>10.681414840000002</v>
      </c>
      <c r="F94">
        <f t="shared" si="3"/>
        <v>0.2</v>
      </c>
    </row>
    <row r="95" spans="1:6" x14ac:dyDescent="0.25">
      <c r="A95">
        <v>439</v>
      </c>
      <c r="B95">
        <v>160</v>
      </c>
      <c r="C95">
        <v>0.35</v>
      </c>
      <c r="D95" s="1">
        <f t="shared" si="2"/>
        <v>15.393803739999997</v>
      </c>
      <c r="F95">
        <f t="shared" si="3"/>
        <v>0.17499999999999999</v>
      </c>
    </row>
    <row r="96" spans="1:6" x14ac:dyDescent="0.25">
      <c r="A96">
        <v>131</v>
      </c>
      <c r="B96">
        <v>230</v>
      </c>
      <c r="C96">
        <v>0.35</v>
      </c>
      <c r="D96" s="1">
        <f t="shared" si="2"/>
        <v>22.128592876249996</v>
      </c>
      <c r="F96">
        <f t="shared" si="3"/>
        <v>0.17499999999999999</v>
      </c>
    </row>
    <row r="97" spans="1:6" x14ac:dyDescent="0.25">
      <c r="A97">
        <v>132</v>
      </c>
      <c r="B97">
        <v>155</v>
      </c>
      <c r="C97">
        <v>1.2</v>
      </c>
      <c r="D97" s="1">
        <f t="shared" si="2"/>
        <v>175.30086708000002</v>
      </c>
      <c r="F97">
        <f t="shared" si="3"/>
        <v>0.6</v>
      </c>
    </row>
    <row r="98" spans="1:6" x14ac:dyDescent="0.25">
      <c r="A98">
        <v>443</v>
      </c>
      <c r="B98">
        <v>80</v>
      </c>
      <c r="C98">
        <v>0.35</v>
      </c>
      <c r="D98" s="1">
        <f t="shared" si="2"/>
        <v>7.6969018699999987</v>
      </c>
      <c r="F98">
        <f t="shared" si="3"/>
        <v>0.17499999999999999</v>
      </c>
    </row>
    <row r="99" spans="1:6" x14ac:dyDescent="0.25">
      <c r="A99">
        <v>92</v>
      </c>
      <c r="B99">
        <v>220</v>
      </c>
      <c r="C99">
        <v>0.53</v>
      </c>
      <c r="D99" s="1">
        <f t="shared" si="2"/>
        <v>48.536034873700011</v>
      </c>
      <c r="F99">
        <f t="shared" si="3"/>
        <v>0.26500000000000001</v>
      </c>
    </row>
    <row r="100" spans="1:6" x14ac:dyDescent="0.25">
      <c r="A100">
        <v>422</v>
      </c>
      <c r="B100">
        <v>80</v>
      </c>
      <c r="C100">
        <v>0.35</v>
      </c>
      <c r="D100" s="1">
        <f t="shared" si="2"/>
        <v>7.6969018699999987</v>
      </c>
      <c r="F100">
        <f t="shared" si="3"/>
        <v>0.17499999999999999</v>
      </c>
    </row>
    <row r="101" spans="1:6" x14ac:dyDescent="0.25">
      <c r="A101">
        <v>51</v>
      </c>
      <c r="B101">
        <v>225</v>
      </c>
      <c r="C101">
        <v>0.35</v>
      </c>
      <c r="D101" s="1">
        <f t="shared" si="2"/>
        <v>21.647536509374998</v>
      </c>
      <c r="F101">
        <f t="shared" si="3"/>
        <v>0.17499999999999999</v>
      </c>
    </row>
    <row r="102" spans="1:6" x14ac:dyDescent="0.25">
      <c r="A102">
        <v>376</v>
      </c>
      <c r="B102">
        <v>80</v>
      </c>
      <c r="C102">
        <v>0.35</v>
      </c>
      <c r="D102" s="1">
        <f t="shared" si="2"/>
        <v>7.6969018699999987</v>
      </c>
      <c r="F102">
        <f t="shared" si="3"/>
        <v>0.17499999999999999</v>
      </c>
    </row>
    <row r="103" spans="1:6" x14ac:dyDescent="0.25">
      <c r="A103">
        <v>21</v>
      </c>
      <c r="B103">
        <v>250</v>
      </c>
      <c r="C103">
        <v>0.4</v>
      </c>
      <c r="D103" s="1">
        <f t="shared" si="2"/>
        <v>31.415926000000006</v>
      </c>
      <c r="F103">
        <f t="shared" si="3"/>
        <v>0.2</v>
      </c>
    </row>
    <row r="104" spans="1:6" x14ac:dyDescent="0.25">
      <c r="A104">
        <v>364</v>
      </c>
      <c r="B104">
        <v>80</v>
      </c>
      <c r="C104">
        <v>0.35</v>
      </c>
      <c r="D104" s="1">
        <f t="shared" si="2"/>
        <v>7.6969018699999987</v>
      </c>
      <c r="F104">
        <f t="shared" si="3"/>
        <v>0.17499999999999999</v>
      </c>
    </row>
    <row r="105" spans="1:6" x14ac:dyDescent="0.25">
      <c r="A105">
        <v>347</v>
      </c>
      <c r="B105">
        <v>75</v>
      </c>
      <c r="C105">
        <v>0.4</v>
      </c>
      <c r="D105" s="1">
        <f t="shared" si="2"/>
        <v>9.4247778000000029</v>
      </c>
      <c r="F105">
        <f t="shared" si="3"/>
        <v>0.2</v>
      </c>
    </row>
    <row r="106" spans="1:6" x14ac:dyDescent="0.25">
      <c r="A106">
        <v>248</v>
      </c>
      <c r="B106">
        <v>120</v>
      </c>
      <c r="C106">
        <v>0.53</v>
      </c>
      <c r="D106" s="1">
        <f t="shared" si="2"/>
        <v>26.474200840200002</v>
      </c>
      <c r="F106">
        <f t="shared" si="3"/>
        <v>0.26500000000000001</v>
      </c>
    </row>
    <row r="107" spans="1:6" x14ac:dyDescent="0.25">
      <c r="A107">
        <v>349</v>
      </c>
      <c r="B107">
        <v>75</v>
      </c>
      <c r="C107">
        <v>0.6</v>
      </c>
      <c r="D107" s="1">
        <f t="shared" si="2"/>
        <v>21.205750049999999</v>
      </c>
      <c r="F107">
        <f t="shared" si="3"/>
        <v>0.3</v>
      </c>
    </row>
    <row r="108" spans="1:6" x14ac:dyDescent="0.25">
      <c r="A108">
        <v>366</v>
      </c>
      <c r="B108">
        <v>80</v>
      </c>
      <c r="C108">
        <v>0.35</v>
      </c>
      <c r="D108" s="1">
        <f t="shared" si="2"/>
        <v>7.6969018699999987</v>
      </c>
      <c r="F108">
        <f t="shared" si="3"/>
        <v>0.17499999999999999</v>
      </c>
    </row>
    <row r="109" spans="1:6" x14ac:dyDescent="0.25">
      <c r="A109">
        <v>26</v>
      </c>
      <c r="B109">
        <v>40</v>
      </c>
      <c r="C109">
        <v>1.5</v>
      </c>
      <c r="D109" s="1">
        <f t="shared" si="2"/>
        <v>70.685833500000001</v>
      </c>
      <c r="F109">
        <f t="shared" si="3"/>
        <v>0.75</v>
      </c>
    </row>
    <row r="110" spans="1:6" x14ac:dyDescent="0.25">
      <c r="A110">
        <v>416</v>
      </c>
      <c r="B110">
        <v>225</v>
      </c>
      <c r="C110">
        <v>0.35</v>
      </c>
      <c r="D110" s="1">
        <f t="shared" si="2"/>
        <v>21.647536509374998</v>
      </c>
      <c r="F110">
        <f t="shared" si="3"/>
        <v>0.17499999999999999</v>
      </c>
    </row>
    <row r="111" spans="1:6" x14ac:dyDescent="0.25">
      <c r="A111">
        <v>368</v>
      </c>
      <c r="B111">
        <v>240</v>
      </c>
      <c r="C111">
        <v>0.35</v>
      </c>
      <c r="D111" s="1">
        <f t="shared" si="2"/>
        <v>23.090705609999997</v>
      </c>
      <c r="F111">
        <f t="shared" si="3"/>
        <v>0.17499999999999999</v>
      </c>
    </row>
    <row r="112" spans="1:6" x14ac:dyDescent="0.25">
      <c r="A112">
        <v>44</v>
      </c>
      <c r="B112">
        <v>80</v>
      </c>
      <c r="C112">
        <v>0.8</v>
      </c>
      <c r="D112" s="1">
        <f t="shared" si="2"/>
        <v>40.212385280000007</v>
      </c>
      <c r="F112">
        <f t="shared" si="3"/>
        <v>0.4</v>
      </c>
    </row>
    <row r="113" spans="1:6" x14ac:dyDescent="0.25">
      <c r="A113">
        <v>83</v>
      </c>
      <c r="B113">
        <v>80</v>
      </c>
      <c r="C113">
        <v>1.2</v>
      </c>
      <c r="D113" s="1">
        <f t="shared" si="2"/>
        <v>90.477866879999993</v>
      </c>
      <c r="F113">
        <f t="shared" si="3"/>
        <v>0.6</v>
      </c>
    </row>
    <row r="114" spans="1:6" x14ac:dyDescent="0.25">
      <c r="A114">
        <v>413</v>
      </c>
      <c r="B114">
        <v>220</v>
      </c>
      <c r="C114">
        <v>0.35</v>
      </c>
      <c r="D114" s="1">
        <f t="shared" si="2"/>
        <v>21.166480142499999</v>
      </c>
      <c r="F114">
        <f t="shared" si="3"/>
        <v>0.17499999999999999</v>
      </c>
    </row>
    <row r="115" spans="1:6" x14ac:dyDescent="0.25">
      <c r="A115">
        <v>178</v>
      </c>
      <c r="B115">
        <v>80</v>
      </c>
      <c r="C115">
        <v>0.6</v>
      </c>
      <c r="D115" s="1">
        <f t="shared" si="2"/>
        <v>22.619466719999998</v>
      </c>
      <c r="F115">
        <f t="shared" si="3"/>
        <v>0.3</v>
      </c>
    </row>
    <row r="116" spans="1:6" x14ac:dyDescent="0.25">
      <c r="A116">
        <v>455</v>
      </c>
      <c r="B116">
        <v>165</v>
      </c>
      <c r="C116">
        <v>1.5</v>
      </c>
      <c r="D116" s="1">
        <f t="shared" si="2"/>
        <v>291.57906318750003</v>
      </c>
      <c r="F116">
        <f t="shared" si="3"/>
        <v>0.75</v>
      </c>
    </row>
    <row r="117" spans="1:6" x14ac:dyDescent="0.25">
      <c r="A117">
        <v>458</v>
      </c>
      <c r="B117">
        <v>200</v>
      </c>
      <c r="C117">
        <v>0.35</v>
      </c>
      <c r="D117" s="1">
        <f t="shared" si="2"/>
        <v>19.242254674999998</v>
      </c>
      <c r="F117">
        <f t="shared" si="3"/>
        <v>0.17499999999999999</v>
      </c>
    </row>
    <row r="118" spans="1:6" x14ac:dyDescent="0.25">
      <c r="A118">
        <v>186</v>
      </c>
      <c r="B118">
        <v>80</v>
      </c>
      <c r="C118">
        <v>0.53</v>
      </c>
      <c r="D118" s="1">
        <f t="shared" si="2"/>
        <v>17.649467226800002</v>
      </c>
      <c r="F118">
        <f t="shared" si="3"/>
        <v>0.26500000000000001</v>
      </c>
    </row>
    <row r="119" spans="1:6" x14ac:dyDescent="0.25">
      <c r="A119">
        <v>180</v>
      </c>
      <c r="B119">
        <v>165</v>
      </c>
      <c r="C119">
        <v>0.4</v>
      </c>
      <c r="D119" s="1">
        <f t="shared" si="2"/>
        <v>20.734511160000007</v>
      </c>
      <c r="F119">
        <f t="shared" si="3"/>
        <v>0.2</v>
      </c>
    </row>
    <row r="120" spans="1:6" x14ac:dyDescent="0.25">
      <c r="A120">
        <v>207</v>
      </c>
      <c r="B120">
        <v>110</v>
      </c>
      <c r="C120">
        <v>0.6</v>
      </c>
      <c r="D120" s="1">
        <f t="shared" si="2"/>
        <v>31.101766740000002</v>
      </c>
      <c r="F120">
        <f t="shared" si="3"/>
        <v>0.3</v>
      </c>
    </row>
    <row r="121" spans="1:6" x14ac:dyDescent="0.25">
      <c r="A121">
        <v>193</v>
      </c>
      <c r="B121">
        <v>200</v>
      </c>
      <c r="C121">
        <v>0.35</v>
      </c>
      <c r="D121" s="1">
        <f t="shared" si="2"/>
        <v>19.242254674999998</v>
      </c>
      <c r="F121">
        <f t="shared" si="3"/>
        <v>0.17499999999999999</v>
      </c>
    </row>
    <row r="122" spans="1:6" x14ac:dyDescent="0.25">
      <c r="A122">
        <v>471</v>
      </c>
      <c r="B122">
        <v>236</v>
      </c>
      <c r="C122">
        <v>0.35</v>
      </c>
      <c r="D122" s="1">
        <f t="shared" si="2"/>
        <v>22.705860516499996</v>
      </c>
      <c r="F122">
        <f t="shared" si="3"/>
        <v>0.17499999999999999</v>
      </c>
    </row>
    <row r="123" spans="1:6" x14ac:dyDescent="0.25">
      <c r="A123">
        <v>275</v>
      </c>
      <c r="B123">
        <v>300</v>
      </c>
      <c r="C123">
        <v>0.35</v>
      </c>
      <c r="D123" s="1">
        <f t="shared" si="2"/>
        <v>28.863382012499997</v>
      </c>
      <c r="F123">
        <f t="shared" si="3"/>
        <v>0.17499999999999999</v>
      </c>
    </row>
    <row r="124" spans="1:6" x14ac:dyDescent="0.25">
      <c r="A124">
        <v>215</v>
      </c>
      <c r="B124">
        <v>50</v>
      </c>
      <c r="C124">
        <v>0.4</v>
      </c>
      <c r="D124" s="1">
        <f t="shared" si="2"/>
        <v>6.2831852000000019</v>
      </c>
      <c r="F124">
        <f t="shared" si="3"/>
        <v>0.2</v>
      </c>
    </row>
    <row r="125" spans="1:6" x14ac:dyDescent="0.25">
      <c r="A125">
        <v>121</v>
      </c>
      <c r="B125">
        <v>175</v>
      </c>
      <c r="C125">
        <v>1.5</v>
      </c>
      <c r="D125" s="1">
        <f t="shared" si="2"/>
        <v>309.25052156250001</v>
      </c>
      <c r="F125">
        <f t="shared" si="3"/>
        <v>0.75</v>
      </c>
    </row>
    <row r="126" spans="1:6" x14ac:dyDescent="0.25">
      <c r="A126">
        <v>119</v>
      </c>
      <c r="B126">
        <v>115</v>
      </c>
      <c r="C126">
        <v>2</v>
      </c>
      <c r="D126" s="1">
        <f t="shared" si="2"/>
        <v>361.28314899999998</v>
      </c>
      <c r="F126">
        <f t="shared" si="3"/>
        <v>1</v>
      </c>
    </row>
    <row r="127" spans="1:6" x14ac:dyDescent="0.25">
      <c r="A127">
        <v>125</v>
      </c>
      <c r="B127">
        <v>225</v>
      </c>
      <c r="C127">
        <v>0.35</v>
      </c>
      <c r="D127" s="1">
        <f t="shared" si="2"/>
        <v>21.647536509374998</v>
      </c>
      <c r="F127">
        <f t="shared" si="3"/>
        <v>0.17499999999999999</v>
      </c>
    </row>
    <row r="128" spans="1:6" x14ac:dyDescent="0.25">
      <c r="A128">
        <v>442</v>
      </c>
      <c r="B128">
        <v>80</v>
      </c>
      <c r="C128">
        <v>0.35</v>
      </c>
      <c r="D128" s="1">
        <f t="shared" si="2"/>
        <v>7.6969018699999987</v>
      </c>
      <c r="F128">
        <f t="shared" si="3"/>
        <v>0.17499999999999999</v>
      </c>
    </row>
    <row r="129" spans="1:6" x14ac:dyDescent="0.25">
      <c r="A129">
        <v>130</v>
      </c>
      <c r="B129">
        <v>170</v>
      </c>
      <c r="C129">
        <v>1</v>
      </c>
      <c r="D129" s="1">
        <f t="shared" si="2"/>
        <v>133.5176855</v>
      </c>
      <c r="F129">
        <f t="shared" si="3"/>
        <v>0.5</v>
      </c>
    </row>
    <row r="130" spans="1:6" x14ac:dyDescent="0.25">
      <c r="A130">
        <v>93</v>
      </c>
      <c r="B130">
        <v>200</v>
      </c>
      <c r="C130">
        <v>0.4</v>
      </c>
      <c r="D130" s="1">
        <f t="shared" si="2"/>
        <v>25.132740800000008</v>
      </c>
      <c r="F130">
        <f t="shared" si="3"/>
        <v>0.2</v>
      </c>
    </row>
    <row r="131" spans="1:6" x14ac:dyDescent="0.25">
      <c r="A131">
        <v>423</v>
      </c>
      <c r="B131">
        <v>80</v>
      </c>
      <c r="C131">
        <v>0.35</v>
      </c>
      <c r="D131" s="1">
        <f t="shared" si="2"/>
        <v>7.6969018699999987</v>
      </c>
      <c r="F131">
        <f t="shared" si="3"/>
        <v>0.17499999999999999</v>
      </c>
    </row>
    <row r="132" spans="1:6" x14ac:dyDescent="0.25">
      <c r="A132">
        <v>52</v>
      </c>
      <c r="B132">
        <v>225</v>
      </c>
      <c r="C132">
        <v>0.53</v>
      </c>
      <c r="D132" s="1">
        <f t="shared" ref="D132:D195" si="4">3.1415926*$B132*(($C132/2)^2)</f>
        <v>49.639126575375009</v>
      </c>
      <c r="F132">
        <f t="shared" ref="F132:F195" si="5">$C132/$F$1</f>
        <v>0.26500000000000001</v>
      </c>
    </row>
    <row r="133" spans="1:6" x14ac:dyDescent="0.25">
      <c r="A133">
        <v>377</v>
      </c>
      <c r="B133">
        <v>80</v>
      </c>
      <c r="C133">
        <v>0.35</v>
      </c>
      <c r="D133" s="1">
        <f t="shared" si="4"/>
        <v>7.6969018699999987</v>
      </c>
      <c r="F133">
        <f t="shared" si="5"/>
        <v>0.17499999999999999</v>
      </c>
    </row>
    <row r="134" spans="1:6" x14ac:dyDescent="0.25">
      <c r="A134">
        <v>363</v>
      </c>
      <c r="B134">
        <v>250</v>
      </c>
      <c r="C134">
        <v>0.35</v>
      </c>
      <c r="D134" s="1">
        <f t="shared" si="4"/>
        <v>24.052818343749998</v>
      </c>
      <c r="F134">
        <f t="shared" si="5"/>
        <v>0.17499999999999999</v>
      </c>
    </row>
    <row r="135" spans="1:6" x14ac:dyDescent="0.25">
      <c r="A135">
        <v>20</v>
      </c>
      <c r="B135">
        <v>40</v>
      </c>
      <c r="C135">
        <v>0.35</v>
      </c>
      <c r="D135" s="1">
        <f t="shared" si="4"/>
        <v>3.8484509349999994</v>
      </c>
      <c r="F135">
        <f t="shared" si="5"/>
        <v>0.17499999999999999</v>
      </c>
    </row>
    <row r="136" spans="1:6" x14ac:dyDescent="0.25">
      <c r="A136">
        <v>3</v>
      </c>
      <c r="B136">
        <v>195</v>
      </c>
      <c r="C136">
        <v>0.4</v>
      </c>
      <c r="D136" s="1">
        <f t="shared" si="4"/>
        <v>24.504422280000004</v>
      </c>
      <c r="F136">
        <f t="shared" si="5"/>
        <v>0.2</v>
      </c>
    </row>
    <row r="137" spans="1:6" x14ac:dyDescent="0.25">
      <c r="A137">
        <v>247</v>
      </c>
      <c r="B137">
        <v>120</v>
      </c>
      <c r="C137">
        <v>0.35</v>
      </c>
      <c r="D137" s="1">
        <f t="shared" si="4"/>
        <v>11.545352804999998</v>
      </c>
      <c r="F137">
        <f t="shared" si="5"/>
        <v>0.17499999999999999</v>
      </c>
    </row>
    <row r="138" spans="1:6" x14ac:dyDescent="0.25">
      <c r="A138">
        <v>529</v>
      </c>
      <c r="B138">
        <v>75</v>
      </c>
      <c r="C138">
        <v>0.35</v>
      </c>
      <c r="D138" s="1">
        <f t="shared" si="4"/>
        <v>7.2158455031249993</v>
      </c>
      <c r="F138">
        <f t="shared" si="5"/>
        <v>0.17499999999999999</v>
      </c>
    </row>
    <row r="139" spans="1:6" x14ac:dyDescent="0.25">
      <c r="A139">
        <v>249</v>
      </c>
      <c r="B139">
        <v>120</v>
      </c>
      <c r="C139">
        <v>0.4</v>
      </c>
      <c r="D139" s="1">
        <f t="shared" si="4"/>
        <v>15.079644480000002</v>
      </c>
      <c r="F139">
        <f t="shared" si="5"/>
        <v>0.2</v>
      </c>
    </row>
    <row r="140" spans="1:6" x14ac:dyDescent="0.25">
      <c r="A140">
        <v>346</v>
      </c>
      <c r="B140">
        <v>230</v>
      </c>
      <c r="C140">
        <v>0.8</v>
      </c>
      <c r="D140" s="1">
        <f t="shared" si="4"/>
        <v>115.61060768000002</v>
      </c>
      <c r="F140">
        <f t="shared" si="5"/>
        <v>0.4</v>
      </c>
    </row>
    <row r="141" spans="1:6" x14ac:dyDescent="0.25">
      <c r="A141">
        <v>27</v>
      </c>
      <c r="B141">
        <v>80</v>
      </c>
      <c r="C141">
        <v>1.5</v>
      </c>
      <c r="D141" s="1">
        <f t="shared" si="4"/>
        <v>141.371667</v>
      </c>
      <c r="F141">
        <f t="shared" si="5"/>
        <v>0.75</v>
      </c>
    </row>
    <row r="142" spans="1:6" x14ac:dyDescent="0.25">
      <c r="A142">
        <v>414</v>
      </c>
      <c r="B142">
        <v>225</v>
      </c>
      <c r="C142">
        <v>0.35</v>
      </c>
      <c r="D142" s="1">
        <f t="shared" si="4"/>
        <v>21.647536509374998</v>
      </c>
      <c r="F142">
        <f t="shared" si="5"/>
        <v>0.17499999999999999</v>
      </c>
    </row>
    <row r="143" spans="1:6" x14ac:dyDescent="0.25">
      <c r="A143">
        <v>370</v>
      </c>
      <c r="B143">
        <v>240</v>
      </c>
      <c r="C143">
        <v>0.35</v>
      </c>
      <c r="D143" s="1">
        <f t="shared" si="4"/>
        <v>23.090705609999997</v>
      </c>
      <c r="F143">
        <f t="shared" si="5"/>
        <v>0.17499999999999999</v>
      </c>
    </row>
    <row r="144" spans="1:6" x14ac:dyDescent="0.25">
      <c r="A144">
        <v>43</v>
      </c>
      <c r="B144">
        <v>80</v>
      </c>
      <c r="C144">
        <v>0.8</v>
      </c>
      <c r="D144" s="1">
        <f t="shared" si="4"/>
        <v>40.212385280000007</v>
      </c>
      <c r="F144">
        <f t="shared" si="5"/>
        <v>0.4</v>
      </c>
    </row>
    <row r="145" spans="1:6" x14ac:dyDescent="0.25">
      <c r="A145">
        <v>82</v>
      </c>
      <c r="B145">
        <v>80</v>
      </c>
      <c r="C145">
        <v>1.2</v>
      </c>
      <c r="D145" s="1">
        <f t="shared" si="4"/>
        <v>90.477866879999993</v>
      </c>
      <c r="F145">
        <f t="shared" si="5"/>
        <v>0.6</v>
      </c>
    </row>
    <row r="146" spans="1:6" x14ac:dyDescent="0.25">
      <c r="A146">
        <v>411</v>
      </c>
      <c r="B146">
        <v>220</v>
      </c>
      <c r="C146">
        <v>0.35</v>
      </c>
      <c r="D146" s="1">
        <f t="shared" si="4"/>
        <v>21.166480142499999</v>
      </c>
      <c r="F146">
        <f t="shared" si="5"/>
        <v>0.17499999999999999</v>
      </c>
    </row>
    <row r="147" spans="1:6" x14ac:dyDescent="0.25">
      <c r="A147">
        <v>184</v>
      </c>
      <c r="B147">
        <v>80</v>
      </c>
      <c r="C147">
        <v>0.6</v>
      </c>
      <c r="D147" s="1">
        <f t="shared" si="4"/>
        <v>22.619466719999998</v>
      </c>
      <c r="F147">
        <f t="shared" si="5"/>
        <v>0.3</v>
      </c>
    </row>
    <row r="148" spans="1:6" x14ac:dyDescent="0.25">
      <c r="A148">
        <v>457</v>
      </c>
      <c r="B148">
        <v>165</v>
      </c>
      <c r="C148">
        <v>0.35</v>
      </c>
      <c r="D148" s="1">
        <f t="shared" si="4"/>
        <v>15.874860106874999</v>
      </c>
      <c r="F148">
        <f t="shared" si="5"/>
        <v>0.17499999999999999</v>
      </c>
    </row>
    <row r="149" spans="1:6" x14ac:dyDescent="0.25">
      <c r="A149">
        <v>185</v>
      </c>
      <c r="B149">
        <v>200</v>
      </c>
      <c r="C149">
        <v>2</v>
      </c>
      <c r="D149" s="1">
        <f t="shared" si="4"/>
        <v>628.31852000000003</v>
      </c>
      <c r="F149">
        <f t="shared" si="5"/>
        <v>1</v>
      </c>
    </row>
    <row r="150" spans="1:6" x14ac:dyDescent="0.25">
      <c r="A150">
        <v>462</v>
      </c>
      <c r="B150">
        <v>200</v>
      </c>
      <c r="C150">
        <v>0.35</v>
      </c>
      <c r="D150" s="1">
        <f t="shared" si="4"/>
        <v>19.242254674999998</v>
      </c>
      <c r="F150">
        <f t="shared" si="5"/>
        <v>0.17499999999999999</v>
      </c>
    </row>
    <row r="151" spans="1:6" x14ac:dyDescent="0.25">
      <c r="A151">
        <v>206</v>
      </c>
      <c r="B151">
        <v>180</v>
      </c>
      <c r="C151">
        <v>0.35</v>
      </c>
      <c r="D151" s="1">
        <f t="shared" si="4"/>
        <v>17.318029207499997</v>
      </c>
      <c r="F151">
        <f t="shared" si="5"/>
        <v>0.17499999999999999</v>
      </c>
    </row>
    <row r="152" spans="1:6" x14ac:dyDescent="0.25">
      <c r="A152">
        <v>208</v>
      </c>
      <c r="B152">
        <v>50</v>
      </c>
      <c r="C152">
        <v>0.8</v>
      </c>
      <c r="D152" s="1">
        <f t="shared" si="4"/>
        <v>25.132740800000008</v>
      </c>
      <c r="F152">
        <f t="shared" si="5"/>
        <v>0.4</v>
      </c>
    </row>
    <row r="153" spans="1:6" x14ac:dyDescent="0.25">
      <c r="A153">
        <v>472</v>
      </c>
      <c r="B153">
        <v>250</v>
      </c>
      <c r="C153">
        <v>0.35</v>
      </c>
      <c r="D153" s="1">
        <f t="shared" si="4"/>
        <v>24.052818343749998</v>
      </c>
      <c r="F153">
        <f t="shared" si="5"/>
        <v>0.17499999999999999</v>
      </c>
    </row>
    <row r="154" spans="1:6" x14ac:dyDescent="0.25">
      <c r="A154">
        <v>214</v>
      </c>
      <c r="B154">
        <v>60</v>
      </c>
      <c r="C154">
        <v>0.35</v>
      </c>
      <c r="D154" s="1">
        <f t="shared" si="4"/>
        <v>5.7726764024999992</v>
      </c>
      <c r="F154">
        <f t="shared" si="5"/>
        <v>0.17499999999999999</v>
      </c>
    </row>
    <row r="155" spans="1:6" x14ac:dyDescent="0.25">
      <c r="A155">
        <v>277</v>
      </c>
      <c r="B155">
        <v>150</v>
      </c>
      <c r="C155">
        <v>0.35</v>
      </c>
      <c r="D155" s="1">
        <f t="shared" si="4"/>
        <v>14.431691006249999</v>
      </c>
      <c r="F155">
        <f t="shared" si="5"/>
        <v>0.17499999999999999</v>
      </c>
    </row>
    <row r="156" spans="1:6" x14ac:dyDescent="0.25">
      <c r="A156">
        <v>118</v>
      </c>
      <c r="B156">
        <v>150</v>
      </c>
      <c r="C156">
        <v>0.35</v>
      </c>
      <c r="D156" s="1">
        <f t="shared" si="4"/>
        <v>14.431691006249999</v>
      </c>
      <c r="F156">
        <f t="shared" si="5"/>
        <v>0.17499999999999999</v>
      </c>
    </row>
    <row r="157" spans="1:6" x14ac:dyDescent="0.25">
      <c r="A157">
        <v>111</v>
      </c>
      <c r="B157">
        <v>100</v>
      </c>
      <c r="C157">
        <v>0.4</v>
      </c>
      <c r="D157" s="1">
        <f t="shared" si="4"/>
        <v>12.566370400000004</v>
      </c>
      <c r="F157">
        <f t="shared" si="5"/>
        <v>0.2</v>
      </c>
    </row>
    <row r="158" spans="1:6" x14ac:dyDescent="0.25">
      <c r="A158">
        <v>122</v>
      </c>
      <c r="B158">
        <v>175</v>
      </c>
      <c r="C158">
        <v>0.35</v>
      </c>
      <c r="D158" s="1">
        <f t="shared" si="4"/>
        <v>16.836972840624998</v>
      </c>
      <c r="F158">
        <f t="shared" si="5"/>
        <v>0.17499999999999999</v>
      </c>
    </row>
    <row r="159" spans="1:6" x14ac:dyDescent="0.25">
      <c r="A159">
        <v>441</v>
      </c>
      <c r="B159">
        <v>160</v>
      </c>
      <c r="C159">
        <v>1.2</v>
      </c>
      <c r="D159" s="1">
        <f t="shared" si="4"/>
        <v>180.95573375999999</v>
      </c>
      <c r="F159">
        <f t="shared" si="5"/>
        <v>0.6</v>
      </c>
    </row>
    <row r="160" spans="1:6" x14ac:dyDescent="0.25">
      <c r="A160">
        <v>437</v>
      </c>
      <c r="B160">
        <v>80</v>
      </c>
      <c r="C160">
        <v>1.2</v>
      </c>
      <c r="D160" s="1">
        <f t="shared" si="4"/>
        <v>90.477866879999993</v>
      </c>
      <c r="F160">
        <f t="shared" si="5"/>
        <v>0.6</v>
      </c>
    </row>
    <row r="161" spans="1:6" x14ac:dyDescent="0.25">
      <c r="A161">
        <v>424</v>
      </c>
      <c r="B161">
        <v>80</v>
      </c>
      <c r="C161">
        <v>0.35</v>
      </c>
      <c r="D161" s="1">
        <f t="shared" si="4"/>
        <v>7.6969018699999987</v>
      </c>
      <c r="F161">
        <f t="shared" si="5"/>
        <v>0.17499999999999999</v>
      </c>
    </row>
    <row r="162" spans="1:6" x14ac:dyDescent="0.25">
      <c r="A162">
        <v>94</v>
      </c>
      <c r="B162">
        <v>80</v>
      </c>
      <c r="C162">
        <v>0.35</v>
      </c>
      <c r="D162" s="1">
        <f t="shared" si="4"/>
        <v>7.6969018699999987</v>
      </c>
      <c r="F162">
        <f t="shared" si="5"/>
        <v>0.17499999999999999</v>
      </c>
    </row>
    <row r="163" spans="1:6" x14ac:dyDescent="0.25">
      <c r="A163">
        <v>53</v>
      </c>
      <c r="B163">
        <v>225</v>
      </c>
      <c r="C163">
        <v>0.4</v>
      </c>
      <c r="D163" s="1">
        <f t="shared" si="4"/>
        <v>28.274333400000007</v>
      </c>
      <c r="F163">
        <f t="shared" si="5"/>
        <v>0.2</v>
      </c>
    </row>
    <row r="164" spans="1:6" x14ac:dyDescent="0.25">
      <c r="A164">
        <v>123</v>
      </c>
      <c r="B164">
        <v>80</v>
      </c>
      <c r="C164">
        <v>0.35</v>
      </c>
      <c r="D164" s="1">
        <f t="shared" si="4"/>
        <v>7.6969018699999987</v>
      </c>
      <c r="F164">
        <f t="shared" si="5"/>
        <v>0.17499999999999999</v>
      </c>
    </row>
    <row r="165" spans="1:6" x14ac:dyDescent="0.25">
      <c r="A165">
        <v>95</v>
      </c>
      <c r="B165">
        <v>140</v>
      </c>
      <c r="C165">
        <v>0.53</v>
      </c>
      <c r="D165" s="1">
        <f t="shared" si="4"/>
        <v>30.886567646900005</v>
      </c>
      <c r="F165">
        <f t="shared" si="5"/>
        <v>0.26500000000000001</v>
      </c>
    </row>
    <row r="166" spans="1:6" x14ac:dyDescent="0.25">
      <c r="A166">
        <v>378</v>
      </c>
      <c r="B166">
        <v>80</v>
      </c>
      <c r="C166">
        <v>0.35</v>
      </c>
      <c r="D166" s="1">
        <f t="shared" si="4"/>
        <v>7.6969018699999987</v>
      </c>
      <c r="F166">
        <f t="shared" si="5"/>
        <v>0.17499999999999999</v>
      </c>
    </row>
    <row r="167" spans="1:6" x14ac:dyDescent="0.25">
      <c r="A167">
        <v>19</v>
      </c>
      <c r="B167">
        <v>260</v>
      </c>
      <c r="C167">
        <v>0.53</v>
      </c>
      <c r="D167" s="1">
        <f t="shared" si="4"/>
        <v>57.36076848710001</v>
      </c>
      <c r="F167">
        <f t="shared" si="5"/>
        <v>0.26500000000000001</v>
      </c>
    </row>
    <row r="168" spans="1:6" x14ac:dyDescent="0.25">
      <c r="A168">
        <v>530</v>
      </c>
      <c r="B168">
        <v>75</v>
      </c>
      <c r="C168">
        <v>0.35</v>
      </c>
      <c r="D168" s="1">
        <f t="shared" si="4"/>
        <v>7.2158455031249993</v>
      </c>
      <c r="F168">
        <f t="shared" si="5"/>
        <v>0.17499999999999999</v>
      </c>
    </row>
    <row r="169" spans="1:6" x14ac:dyDescent="0.25">
      <c r="A169">
        <v>245</v>
      </c>
      <c r="B169">
        <v>120</v>
      </c>
      <c r="C169">
        <v>0.35</v>
      </c>
      <c r="D169" s="1">
        <f t="shared" si="4"/>
        <v>11.545352804999998</v>
      </c>
      <c r="F169">
        <f t="shared" si="5"/>
        <v>0.17499999999999999</v>
      </c>
    </row>
    <row r="170" spans="1:6" x14ac:dyDescent="0.25">
      <c r="A170">
        <v>4</v>
      </c>
      <c r="B170">
        <v>75</v>
      </c>
      <c r="C170">
        <v>0.35</v>
      </c>
      <c r="D170" s="1">
        <f t="shared" si="4"/>
        <v>7.2158455031249993</v>
      </c>
      <c r="F170">
        <f t="shared" si="5"/>
        <v>0.17499999999999999</v>
      </c>
    </row>
    <row r="171" spans="1:6" x14ac:dyDescent="0.25">
      <c r="A171">
        <v>362</v>
      </c>
      <c r="B171">
        <v>80</v>
      </c>
      <c r="C171">
        <v>0.35</v>
      </c>
      <c r="D171" s="1">
        <f t="shared" si="4"/>
        <v>7.6969018699999987</v>
      </c>
      <c r="F171">
        <f t="shared" si="5"/>
        <v>0.17499999999999999</v>
      </c>
    </row>
    <row r="172" spans="1:6" x14ac:dyDescent="0.25">
      <c r="A172">
        <v>344</v>
      </c>
      <c r="B172">
        <v>250</v>
      </c>
      <c r="C172">
        <v>1.5</v>
      </c>
      <c r="D172" s="1">
        <f t="shared" si="4"/>
        <v>441.78645937499999</v>
      </c>
      <c r="F172">
        <f t="shared" si="5"/>
        <v>0.75</v>
      </c>
    </row>
    <row r="173" spans="1:6" x14ac:dyDescent="0.25">
      <c r="A173">
        <v>28</v>
      </c>
      <c r="B173">
        <v>80</v>
      </c>
      <c r="C173">
        <v>1.2</v>
      </c>
      <c r="D173" s="1">
        <f t="shared" si="4"/>
        <v>90.477866879999993</v>
      </c>
      <c r="F173">
        <f t="shared" si="5"/>
        <v>0.6</v>
      </c>
    </row>
    <row r="174" spans="1:6" x14ac:dyDescent="0.25">
      <c r="A174">
        <v>345</v>
      </c>
      <c r="B174">
        <v>75</v>
      </c>
      <c r="C174">
        <v>0.8</v>
      </c>
      <c r="D174" s="1">
        <f t="shared" si="4"/>
        <v>37.699111200000011</v>
      </c>
      <c r="F174">
        <f t="shared" si="5"/>
        <v>0.4</v>
      </c>
    </row>
    <row r="175" spans="1:6" x14ac:dyDescent="0.25">
      <c r="A175">
        <v>250</v>
      </c>
      <c r="B175">
        <v>120</v>
      </c>
      <c r="C175">
        <v>0.35</v>
      </c>
      <c r="D175" s="1">
        <f t="shared" si="4"/>
        <v>11.545352804999998</v>
      </c>
      <c r="F175">
        <f t="shared" si="5"/>
        <v>0.17499999999999999</v>
      </c>
    </row>
    <row r="176" spans="1:6" x14ac:dyDescent="0.25">
      <c r="A176">
        <v>412</v>
      </c>
      <c r="B176">
        <v>225</v>
      </c>
      <c r="C176">
        <v>0.35</v>
      </c>
      <c r="D176" s="1">
        <f t="shared" si="4"/>
        <v>21.647536509374998</v>
      </c>
      <c r="F176">
        <f t="shared" si="5"/>
        <v>0.17499999999999999</v>
      </c>
    </row>
    <row r="177" spans="1:6" x14ac:dyDescent="0.25">
      <c r="A177">
        <v>371</v>
      </c>
      <c r="B177">
        <v>240</v>
      </c>
      <c r="C177">
        <v>0.35</v>
      </c>
      <c r="D177" s="1">
        <f t="shared" si="4"/>
        <v>23.090705609999997</v>
      </c>
      <c r="F177">
        <f t="shared" si="5"/>
        <v>0.17499999999999999</v>
      </c>
    </row>
    <row r="178" spans="1:6" x14ac:dyDescent="0.25">
      <c r="A178">
        <v>42</v>
      </c>
      <c r="B178">
        <v>80</v>
      </c>
      <c r="C178">
        <v>0.8</v>
      </c>
      <c r="D178" s="1">
        <f t="shared" si="4"/>
        <v>40.212385280000007</v>
      </c>
      <c r="F178">
        <f t="shared" si="5"/>
        <v>0.4</v>
      </c>
    </row>
    <row r="179" spans="1:6" x14ac:dyDescent="0.25">
      <c r="A179">
        <v>81</v>
      </c>
      <c r="B179">
        <v>80</v>
      </c>
      <c r="C179">
        <v>1.2</v>
      </c>
      <c r="D179" s="1">
        <f t="shared" si="4"/>
        <v>90.477866879999993</v>
      </c>
      <c r="F179">
        <f t="shared" si="5"/>
        <v>0.6</v>
      </c>
    </row>
    <row r="180" spans="1:6" x14ac:dyDescent="0.25">
      <c r="A180">
        <v>408</v>
      </c>
      <c r="B180">
        <v>220</v>
      </c>
      <c r="C180">
        <v>0.35</v>
      </c>
      <c r="D180" s="1">
        <f t="shared" si="4"/>
        <v>21.166480142499999</v>
      </c>
      <c r="F180">
        <f t="shared" si="5"/>
        <v>0.17499999999999999</v>
      </c>
    </row>
    <row r="181" spans="1:6" x14ac:dyDescent="0.25">
      <c r="A181">
        <v>189</v>
      </c>
      <c r="B181">
        <v>80</v>
      </c>
      <c r="C181">
        <v>0.6</v>
      </c>
      <c r="D181" s="1">
        <f t="shared" si="4"/>
        <v>22.619466719999998</v>
      </c>
      <c r="F181">
        <f t="shared" si="5"/>
        <v>0.3</v>
      </c>
    </row>
    <row r="182" spans="1:6" x14ac:dyDescent="0.25">
      <c r="A182">
        <v>459</v>
      </c>
      <c r="B182">
        <v>200</v>
      </c>
      <c r="C182">
        <v>0.35</v>
      </c>
      <c r="D182" s="1">
        <f t="shared" si="4"/>
        <v>19.242254674999998</v>
      </c>
      <c r="F182">
        <f t="shared" si="5"/>
        <v>0.17499999999999999</v>
      </c>
    </row>
    <row r="183" spans="1:6" x14ac:dyDescent="0.25">
      <c r="A183">
        <v>192</v>
      </c>
      <c r="B183">
        <v>160</v>
      </c>
      <c r="C183">
        <v>0.4</v>
      </c>
      <c r="D183" s="1">
        <f t="shared" si="4"/>
        <v>20.106192640000003</v>
      </c>
      <c r="F183">
        <f t="shared" si="5"/>
        <v>0.2</v>
      </c>
    </row>
    <row r="184" spans="1:6" x14ac:dyDescent="0.25">
      <c r="A184">
        <v>209</v>
      </c>
      <c r="B184">
        <v>70</v>
      </c>
      <c r="C184">
        <v>1.5</v>
      </c>
      <c r="D184" s="1">
        <f t="shared" si="4"/>
        <v>123.700208625</v>
      </c>
      <c r="F184">
        <f t="shared" si="5"/>
        <v>0.75</v>
      </c>
    </row>
    <row r="185" spans="1:6" x14ac:dyDescent="0.25">
      <c r="A185">
        <v>205</v>
      </c>
      <c r="B185">
        <v>175</v>
      </c>
      <c r="C185">
        <v>1.5</v>
      </c>
      <c r="D185" s="1">
        <f t="shared" si="4"/>
        <v>309.25052156250001</v>
      </c>
      <c r="F185">
        <f t="shared" si="5"/>
        <v>0.75</v>
      </c>
    </row>
    <row r="186" spans="1:6" x14ac:dyDescent="0.25">
      <c r="A186">
        <v>463</v>
      </c>
      <c r="B186">
        <v>110</v>
      </c>
      <c r="C186">
        <v>0.35</v>
      </c>
      <c r="D186" s="1">
        <f t="shared" si="4"/>
        <v>10.58324007125</v>
      </c>
      <c r="F186">
        <f t="shared" si="5"/>
        <v>0.17499999999999999</v>
      </c>
    </row>
    <row r="187" spans="1:6" x14ac:dyDescent="0.25">
      <c r="A187">
        <v>473</v>
      </c>
      <c r="B187">
        <v>270</v>
      </c>
      <c r="C187">
        <v>0.35</v>
      </c>
      <c r="D187" s="1">
        <f t="shared" si="4"/>
        <v>25.977043811249995</v>
      </c>
      <c r="F187">
        <f t="shared" si="5"/>
        <v>0.17499999999999999</v>
      </c>
    </row>
    <row r="188" spans="1:6" x14ac:dyDescent="0.25">
      <c r="A188">
        <v>213</v>
      </c>
      <c r="B188">
        <v>100</v>
      </c>
      <c r="C188">
        <v>0.35</v>
      </c>
      <c r="D188" s="1">
        <f t="shared" si="4"/>
        <v>9.621127337499999</v>
      </c>
      <c r="F188">
        <f t="shared" si="5"/>
        <v>0.17499999999999999</v>
      </c>
    </row>
    <row r="189" spans="1:6" x14ac:dyDescent="0.25">
      <c r="A189">
        <v>114</v>
      </c>
      <c r="B189">
        <v>120</v>
      </c>
      <c r="C189">
        <v>0.4</v>
      </c>
      <c r="D189" s="1">
        <f t="shared" si="4"/>
        <v>15.079644480000002</v>
      </c>
      <c r="F189">
        <f t="shared" si="5"/>
        <v>0.2</v>
      </c>
    </row>
    <row r="190" spans="1:6" x14ac:dyDescent="0.25">
      <c r="A190">
        <v>110</v>
      </c>
      <c r="B190">
        <v>140</v>
      </c>
      <c r="C190">
        <v>0.4</v>
      </c>
      <c r="D190" s="1">
        <f t="shared" si="4"/>
        <v>17.592918560000005</v>
      </c>
      <c r="F190">
        <f t="shared" si="5"/>
        <v>0.2</v>
      </c>
    </row>
    <row r="191" spans="1:6" x14ac:dyDescent="0.25">
      <c r="A191">
        <v>117</v>
      </c>
      <c r="B191">
        <v>175</v>
      </c>
      <c r="C191">
        <v>0.35</v>
      </c>
      <c r="D191" s="1">
        <f t="shared" si="4"/>
        <v>16.836972840624998</v>
      </c>
      <c r="F191">
        <f t="shared" si="5"/>
        <v>0.17499999999999999</v>
      </c>
    </row>
    <row r="192" spans="1:6" x14ac:dyDescent="0.25">
      <c r="A192">
        <v>54</v>
      </c>
      <c r="B192">
        <v>80</v>
      </c>
      <c r="C192">
        <v>0.35</v>
      </c>
      <c r="D192" s="1">
        <f t="shared" si="4"/>
        <v>7.6969018699999987</v>
      </c>
      <c r="F192">
        <f t="shared" si="5"/>
        <v>0.17499999999999999</v>
      </c>
    </row>
    <row r="193" spans="1:6" x14ac:dyDescent="0.25">
      <c r="A193">
        <v>18</v>
      </c>
      <c r="B193">
        <v>260</v>
      </c>
      <c r="C193">
        <v>0.4</v>
      </c>
      <c r="D193" s="1">
        <f t="shared" si="4"/>
        <v>32.672563040000007</v>
      </c>
      <c r="F193">
        <f t="shared" si="5"/>
        <v>0.2</v>
      </c>
    </row>
    <row r="194" spans="1:6" x14ac:dyDescent="0.25">
      <c r="A194">
        <v>426</v>
      </c>
      <c r="B194">
        <v>80</v>
      </c>
      <c r="C194">
        <v>0.35</v>
      </c>
      <c r="D194" s="1">
        <f t="shared" si="4"/>
        <v>7.6969018699999987</v>
      </c>
      <c r="F194">
        <f t="shared" si="5"/>
        <v>0.17499999999999999</v>
      </c>
    </row>
    <row r="195" spans="1:6" x14ac:dyDescent="0.25">
      <c r="A195">
        <v>96</v>
      </c>
      <c r="B195">
        <v>80</v>
      </c>
      <c r="C195">
        <v>0.35</v>
      </c>
      <c r="D195" s="1">
        <f t="shared" si="4"/>
        <v>7.6969018699999987</v>
      </c>
      <c r="F195">
        <f t="shared" si="5"/>
        <v>0.17499999999999999</v>
      </c>
    </row>
    <row r="196" spans="1:6" x14ac:dyDescent="0.25">
      <c r="A196">
        <v>55</v>
      </c>
      <c r="B196">
        <v>225</v>
      </c>
      <c r="C196">
        <v>0.35</v>
      </c>
      <c r="D196" s="1">
        <f t="shared" ref="D196:D259" si="6">3.1415926*$B196*(($C196/2)^2)</f>
        <v>21.647536509374998</v>
      </c>
      <c r="F196">
        <f t="shared" ref="F196:F259" si="7">$C196/$F$1</f>
        <v>0.17499999999999999</v>
      </c>
    </row>
    <row r="197" spans="1:6" x14ac:dyDescent="0.25">
      <c r="A197">
        <v>438</v>
      </c>
      <c r="B197">
        <v>110</v>
      </c>
      <c r="C197">
        <v>1.2</v>
      </c>
      <c r="D197" s="1">
        <f t="shared" si="6"/>
        <v>124.40706696000001</v>
      </c>
      <c r="F197">
        <f t="shared" si="7"/>
        <v>0.6</v>
      </c>
    </row>
    <row r="198" spans="1:6" x14ac:dyDescent="0.25">
      <c r="A198">
        <v>98</v>
      </c>
      <c r="B198">
        <v>90</v>
      </c>
      <c r="C198">
        <v>0.6</v>
      </c>
      <c r="D198" s="1">
        <f t="shared" si="6"/>
        <v>25.446900060000001</v>
      </c>
      <c r="F198">
        <f t="shared" si="7"/>
        <v>0.3</v>
      </c>
    </row>
    <row r="199" spans="1:6" x14ac:dyDescent="0.25">
      <c r="A199">
        <v>361</v>
      </c>
      <c r="B199">
        <v>40</v>
      </c>
      <c r="C199">
        <v>0.35</v>
      </c>
      <c r="D199" s="1">
        <f t="shared" si="6"/>
        <v>3.8484509349999994</v>
      </c>
      <c r="F199">
        <f t="shared" si="7"/>
        <v>0.17499999999999999</v>
      </c>
    </row>
    <row r="200" spans="1:6" x14ac:dyDescent="0.25">
      <c r="A200">
        <v>5</v>
      </c>
      <c r="B200">
        <v>180</v>
      </c>
      <c r="C200">
        <v>0.53</v>
      </c>
      <c r="D200" s="1">
        <f t="shared" si="6"/>
        <v>39.711301260300004</v>
      </c>
      <c r="F200">
        <f t="shared" si="7"/>
        <v>0.26500000000000001</v>
      </c>
    </row>
    <row r="201" spans="1:6" x14ac:dyDescent="0.25">
      <c r="A201">
        <v>244</v>
      </c>
      <c r="B201">
        <v>120</v>
      </c>
      <c r="C201">
        <v>0.35</v>
      </c>
      <c r="D201" s="1">
        <f t="shared" si="6"/>
        <v>11.545352804999998</v>
      </c>
      <c r="F201">
        <f t="shared" si="7"/>
        <v>0.17499999999999999</v>
      </c>
    </row>
    <row r="202" spans="1:6" x14ac:dyDescent="0.25">
      <c r="A202">
        <v>343</v>
      </c>
      <c r="B202">
        <v>40</v>
      </c>
      <c r="C202">
        <v>1.2</v>
      </c>
      <c r="D202" s="1">
        <f t="shared" si="6"/>
        <v>45.238933439999997</v>
      </c>
      <c r="F202">
        <f t="shared" si="7"/>
        <v>0.6</v>
      </c>
    </row>
    <row r="203" spans="1:6" x14ac:dyDescent="0.25">
      <c r="A203">
        <v>319</v>
      </c>
      <c r="B203">
        <v>75</v>
      </c>
      <c r="C203">
        <v>1.5</v>
      </c>
      <c r="D203" s="1">
        <f t="shared" si="6"/>
        <v>132.53593781250001</v>
      </c>
      <c r="F203">
        <f t="shared" si="7"/>
        <v>0.75</v>
      </c>
    </row>
    <row r="204" spans="1:6" x14ac:dyDescent="0.25">
      <c r="A204">
        <v>252</v>
      </c>
      <c r="B204">
        <v>120</v>
      </c>
      <c r="C204">
        <v>0.4</v>
      </c>
      <c r="D204" s="1">
        <f t="shared" si="6"/>
        <v>15.079644480000002</v>
      </c>
      <c r="F204">
        <f t="shared" si="7"/>
        <v>0.2</v>
      </c>
    </row>
    <row r="205" spans="1:6" x14ac:dyDescent="0.25">
      <c r="A205">
        <v>528</v>
      </c>
      <c r="B205">
        <v>75</v>
      </c>
      <c r="C205">
        <v>0.35</v>
      </c>
      <c r="D205" s="1">
        <f t="shared" si="6"/>
        <v>7.2158455031249993</v>
      </c>
      <c r="F205">
        <f t="shared" si="7"/>
        <v>0.17499999999999999</v>
      </c>
    </row>
    <row r="206" spans="1:6" x14ac:dyDescent="0.25">
      <c r="A206">
        <v>251</v>
      </c>
      <c r="B206">
        <v>120</v>
      </c>
      <c r="C206">
        <v>0.4</v>
      </c>
      <c r="D206" s="1">
        <f t="shared" si="6"/>
        <v>15.079644480000002</v>
      </c>
      <c r="F206">
        <f t="shared" si="7"/>
        <v>0.2</v>
      </c>
    </row>
    <row r="207" spans="1:6" x14ac:dyDescent="0.25">
      <c r="A207">
        <v>527</v>
      </c>
      <c r="B207">
        <v>240</v>
      </c>
      <c r="C207">
        <v>0.35</v>
      </c>
      <c r="D207" s="1">
        <f t="shared" si="6"/>
        <v>23.090705609999997</v>
      </c>
      <c r="F207">
        <f t="shared" si="7"/>
        <v>0.17499999999999999</v>
      </c>
    </row>
    <row r="208" spans="1:6" x14ac:dyDescent="0.25">
      <c r="A208">
        <v>409</v>
      </c>
      <c r="B208">
        <v>225</v>
      </c>
      <c r="C208">
        <v>0.35</v>
      </c>
      <c r="D208" s="1">
        <f t="shared" si="6"/>
        <v>21.647536509374998</v>
      </c>
      <c r="F208">
        <f t="shared" si="7"/>
        <v>0.17499999999999999</v>
      </c>
    </row>
    <row r="209" spans="1:6" x14ac:dyDescent="0.25">
      <c r="A209">
        <v>41</v>
      </c>
      <c r="B209">
        <v>80</v>
      </c>
      <c r="C209">
        <v>0.8</v>
      </c>
      <c r="D209" s="1">
        <f t="shared" si="6"/>
        <v>40.212385280000007</v>
      </c>
      <c r="F209">
        <f t="shared" si="7"/>
        <v>0.4</v>
      </c>
    </row>
    <row r="210" spans="1:6" x14ac:dyDescent="0.25">
      <c r="A210">
        <v>80</v>
      </c>
      <c r="B210">
        <v>80</v>
      </c>
      <c r="C210">
        <v>1.2</v>
      </c>
      <c r="D210" s="1">
        <f t="shared" si="6"/>
        <v>90.477866879999993</v>
      </c>
      <c r="F210">
        <f t="shared" si="7"/>
        <v>0.6</v>
      </c>
    </row>
    <row r="211" spans="1:6" x14ac:dyDescent="0.25">
      <c r="A211">
        <v>406</v>
      </c>
      <c r="B211">
        <v>220</v>
      </c>
      <c r="C211">
        <v>0.35</v>
      </c>
      <c r="D211" s="1">
        <f t="shared" si="6"/>
        <v>21.166480142499999</v>
      </c>
      <c r="F211">
        <f t="shared" si="7"/>
        <v>0.17499999999999999</v>
      </c>
    </row>
    <row r="212" spans="1:6" x14ac:dyDescent="0.25">
      <c r="A212">
        <v>191</v>
      </c>
      <c r="B212">
        <v>80</v>
      </c>
      <c r="C212">
        <v>0.6</v>
      </c>
      <c r="D212" s="1">
        <f t="shared" si="6"/>
        <v>22.619466719999998</v>
      </c>
      <c r="F212">
        <f t="shared" si="7"/>
        <v>0.3</v>
      </c>
    </row>
    <row r="213" spans="1:6" x14ac:dyDescent="0.25">
      <c r="A213">
        <v>461</v>
      </c>
      <c r="B213">
        <v>200</v>
      </c>
      <c r="C213">
        <v>0.35</v>
      </c>
      <c r="D213" s="1">
        <f t="shared" si="6"/>
        <v>19.242254674999998</v>
      </c>
      <c r="F213">
        <f t="shared" si="7"/>
        <v>0.17499999999999999</v>
      </c>
    </row>
    <row r="214" spans="1:6" x14ac:dyDescent="0.25">
      <c r="A214">
        <v>202</v>
      </c>
      <c r="B214">
        <v>230</v>
      </c>
      <c r="C214">
        <v>0.4</v>
      </c>
      <c r="D214" s="1">
        <f t="shared" si="6"/>
        <v>28.902651920000004</v>
      </c>
      <c r="F214">
        <f t="shared" si="7"/>
        <v>0.2</v>
      </c>
    </row>
    <row r="215" spans="1:6" x14ac:dyDescent="0.25">
      <c r="A215">
        <v>470</v>
      </c>
      <c r="B215">
        <v>50</v>
      </c>
      <c r="C215">
        <v>0.35</v>
      </c>
      <c r="D215" s="1">
        <f t="shared" si="6"/>
        <v>4.8105636687499995</v>
      </c>
      <c r="F215">
        <f t="shared" si="7"/>
        <v>0.17499999999999999</v>
      </c>
    </row>
    <row r="216" spans="1:6" x14ac:dyDescent="0.25">
      <c r="A216">
        <v>204</v>
      </c>
      <c r="B216">
        <v>70</v>
      </c>
      <c r="C216">
        <v>0.35</v>
      </c>
      <c r="D216" s="1">
        <f t="shared" si="6"/>
        <v>6.734789136249999</v>
      </c>
      <c r="F216">
        <f t="shared" si="7"/>
        <v>0.17499999999999999</v>
      </c>
    </row>
    <row r="217" spans="1:6" x14ac:dyDescent="0.25">
      <c r="A217">
        <v>469</v>
      </c>
      <c r="B217">
        <v>175</v>
      </c>
      <c r="C217">
        <v>0.35</v>
      </c>
      <c r="D217" s="1">
        <f t="shared" si="6"/>
        <v>16.836972840624998</v>
      </c>
      <c r="F217">
        <f t="shared" si="7"/>
        <v>0.17499999999999999</v>
      </c>
    </row>
    <row r="218" spans="1:6" x14ac:dyDescent="0.25">
      <c r="A218">
        <v>210</v>
      </c>
      <c r="B218">
        <v>100</v>
      </c>
      <c r="C218">
        <v>0.8</v>
      </c>
      <c r="D218" s="1">
        <f t="shared" si="6"/>
        <v>50.265481600000015</v>
      </c>
      <c r="F218">
        <f t="shared" si="7"/>
        <v>0.4</v>
      </c>
    </row>
    <row r="219" spans="1:6" x14ac:dyDescent="0.25">
      <c r="A219">
        <v>474</v>
      </c>
      <c r="B219">
        <v>250</v>
      </c>
      <c r="C219">
        <v>0.35</v>
      </c>
      <c r="D219" s="1">
        <f t="shared" si="6"/>
        <v>24.052818343749998</v>
      </c>
      <c r="F219">
        <f t="shared" si="7"/>
        <v>0.17499999999999999</v>
      </c>
    </row>
    <row r="220" spans="1:6" x14ac:dyDescent="0.25">
      <c r="A220">
        <v>217</v>
      </c>
      <c r="B220">
        <v>200</v>
      </c>
      <c r="C220">
        <v>0.35</v>
      </c>
      <c r="D220" s="1">
        <f t="shared" si="6"/>
        <v>19.242254674999998</v>
      </c>
      <c r="F220">
        <f t="shared" si="7"/>
        <v>0.17499999999999999</v>
      </c>
    </row>
    <row r="221" spans="1:6" x14ac:dyDescent="0.25">
      <c r="A221">
        <v>109</v>
      </c>
      <c r="B221">
        <v>150</v>
      </c>
      <c r="C221">
        <v>0.35</v>
      </c>
      <c r="D221" s="1">
        <f t="shared" si="6"/>
        <v>14.431691006249999</v>
      </c>
      <c r="F221">
        <f t="shared" si="7"/>
        <v>0.17499999999999999</v>
      </c>
    </row>
    <row r="222" spans="1:6" x14ac:dyDescent="0.25">
      <c r="A222">
        <v>106</v>
      </c>
      <c r="B222">
        <v>140</v>
      </c>
      <c r="C222">
        <v>0.35</v>
      </c>
      <c r="D222" s="1">
        <f t="shared" si="6"/>
        <v>13.469578272499998</v>
      </c>
      <c r="F222">
        <f t="shared" si="7"/>
        <v>0.17499999999999999</v>
      </c>
    </row>
    <row r="223" spans="1:6" x14ac:dyDescent="0.25">
      <c r="A223">
        <v>115</v>
      </c>
      <c r="B223">
        <v>150</v>
      </c>
      <c r="C223">
        <v>0.4</v>
      </c>
      <c r="D223" s="1">
        <f t="shared" si="6"/>
        <v>18.849555600000006</v>
      </c>
      <c r="F223">
        <f t="shared" si="7"/>
        <v>0.2</v>
      </c>
    </row>
    <row r="224" spans="1:6" x14ac:dyDescent="0.25">
      <c r="A224">
        <v>436</v>
      </c>
      <c r="B224">
        <v>110</v>
      </c>
      <c r="C224">
        <v>0.35</v>
      </c>
      <c r="D224" s="1">
        <f t="shared" si="6"/>
        <v>10.58324007125</v>
      </c>
      <c r="F224">
        <f t="shared" si="7"/>
        <v>0.17499999999999999</v>
      </c>
    </row>
    <row r="225" spans="1:6" x14ac:dyDescent="0.25">
      <c r="A225">
        <v>17</v>
      </c>
      <c r="B225">
        <v>80</v>
      </c>
      <c r="C225">
        <v>0.4</v>
      </c>
      <c r="D225" s="1">
        <f t="shared" si="6"/>
        <v>10.053096320000002</v>
      </c>
      <c r="F225">
        <f t="shared" si="7"/>
        <v>0.2</v>
      </c>
    </row>
    <row r="226" spans="1:6" x14ac:dyDescent="0.25">
      <c r="A226">
        <v>425</v>
      </c>
      <c r="B226">
        <v>225</v>
      </c>
      <c r="C226">
        <v>0.35</v>
      </c>
      <c r="D226" s="1">
        <f t="shared" si="6"/>
        <v>21.647536509374998</v>
      </c>
      <c r="F226">
        <f t="shared" si="7"/>
        <v>0.17499999999999999</v>
      </c>
    </row>
    <row r="227" spans="1:6" x14ac:dyDescent="0.25">
      <c r="A227">
        <v>379</v>
      </c>
      <c r="B227">
        <v>80</v>
      </c>
      <c r="C227">
        <v>0.35</v>
      </c>
      <c r="D227" s="1">
        <f t="shared" si="6"/>
        <v>7.6969018699999987</v>
      </c>
      <c r="F227">
        <f t="shared" si="7"/>
        <v>0.17499999999999999</v>
      </c>
    </row>
    <row r="228" spans="1:6" x14ac:dyDescent="0.25">
      <c r="A228">
        <v>360</v>
      </c>
      <c r="B228">
        <v>260</v>
      </c>
      <c r="C228">
        <v>0.35</v>
      </c>
      <c r="D228" s="1">
        <f t="shared" si="6"/>
        <v>25.014931077499998</v>
      </c>
      <c r="F228">
        <f t="shared" si="7"/>
        <v>0.17499999999999999</v>
      </c>
    </row>
    <row r="229" spans="1:6" x14ac:dyDescent="0.25">
      <c r="A229">
        <v>56</v>
      </c>
      <c r="B229">
        <v>80</v>
      </c>
      <c r="C229">
        <v>0.35</v>
      </c>
      <c r="D229" s="1">
        <f t="shared" si="6"/>
        <v>7.6969018699999987</v>
      </c>
      <c r="F229">
        <f t="shared" si="7"/>
        <v>0.17499999999999999</v>
      </c>
    </row>
    <row r="230" spans="1:6" x14ac:dyDescent="0.25">
      <c r="A230">
        <v>16</v>
      </c>
      <c r="B230">
        <v>260</v>
      </c>
      <c r="C230">
        <v>0.53</v>
      </c>
      <c r="D230" s="1">
        <f t="shared" si="6"/>
        <v>57.36076848710001</v>
      </c>
      <c r="F230">
        <f t="shared" si="7"/>
        <v>0.26500000000000001</v>
      </c>
    </row>
    <row r="231" spans="1:6" x14ac:dyDescent="0.25">
      <c r="A231">
        <v>99</v>
      </c>
      <c r="B231">
        <v>105</v>
      </c>
      <c r="C231">
        <v>0.6</v>
      </c>
      <c r="D231" s="1">
        <f t="shared" si="6"/>
        <v>29.688050070000003</v>
      </c>
      <c r="F231">
        <f t="shared" si="7"/>
        <v>0.3</v>
      </c>
    </row>
    <row r="232" spans="1:6" x14ac:dyDescent="0.25">
      <c r="A232">
        <v>97</v>
      </c>
      <c r="B232">
        <v>80</v>
      </c>
      <c r="C232">
        <v>1.8</v>
      </c>
      <c r="D232" s="1">
        <f t="shared" si="6"/>
        <v>203.57520048000001</v>
      </c>
      <c r="F232">
        <f t="shared" si="7"/>
        <v>0.9</v>
      </c>
    </row>
    <row r="233" spans="1:6" x14ac:dyDescent="0.25">
      <c r="A233">
        <v>351</v>
      </c>
      <c r="B233">
        <v>75</v>
      </c>
      <c r="C233">
        <v>0.35</v>
      </c>
      <c r="D233" s="1">
        <f t="shared" si="6"/>
        <v>7.2158455031249993</v>
      </c>
      <c r="F233">
        <f t="shared" si="7"/>
        <v>0.17499999999999999</v>
      </c>
    </row>
    <row r="234" spans="1:6" x14ac:dyDescent="0.25">
      <c r="A234">
        <v>243</v>
      </c>
      <c r="B234">
        <v>120</v>
      </c>
      <c r="C234">
        <v>0.4</v>
      </c>
      <c r="D234" s="1">
        <f t="shared" si="6"/>
        <v>15.079644480000002</v>
      </c>
      <c r="F234">
        <f t="shared" si="7"/>
        <v>0.2</v>
      </c>
    </row>
    <row r="235" spans="1:6" x14ac:dyDescent="0.25">
      <c r="A235">
        <v>6</v>
      </c>
      <c r="B235">
        <v>75</v>
      </c>
      <c r="C235">
        <v>0.53</v>
      </c>
      <c r="D235" s="1">
        <f t="shared" si="6"/>
        <v>16.546375525125004</v>
      </c>
      <c r="F235">
        <f t="shared" si="7"/>
        <v>0.26500000000000001</v>
      </c>
    </row>
    <row r="236" spans="1:6" x14ac:dyDescent="0.25">
      <c r="A236">
        <v>342</v>
      </c>
      <c r="B236">
        <v>40</v>
      </c>
      <c r="C236">
        <v>0.8</v>
      </c>
      <c r="D236" s="1">
        <f t="shared" si="6"/>
        <v>20.106192640000003</v>
      </c>
      <c r="F236">
        <f t="shared" si="7"/>
        <v>0.4</v>
      </c>
    </row>
    <row r="237" spans="1:6" x14ac:dyDescent="0.25">
      <c r="A237">
        <v>320</v>
      </c>
      <c r="B237">
        <v>105</v>
      </c>
      <c r="C237">
        <v>1</v>
      </c>
      <c r="D237" s="1">
        <f t="shared" si="6"/>
        <v>82.466805750000006</v>
      </c>
      <c r="F237">
        <f t="shared" si="7"/>
        <v>0.5</v>
      </c>
    </row>
    <row r="238" spans="1:6" x14ac:dyDescent="0.25">
      <c r="A238">
        <v>505</v>
      </c>
      <c r="B238">
        <v>150</v>
      </c>
      <c r="C238">
        <v>0.35</v>
      </c>
      <c r="D238" s="1">
        <f t="shared" si="6"/>
        <v>14.431691006249999</v>
      </c>
      <c r="F238">
        <f t="shared" si="7"/>
        <v>0.17499999999999999</v>
      </c>
    </row>
    <row r="239" spans="1:6" x14ac:dyDescent="0.25">
      <c r="A239">
        <v>318</v>
      </c>
      <c r="B239">
        <v>75</v>
      </c>
      <c r="C239">
        <v>1.5</v>
      </c>
      <c r="D239" s="1">
        <f t="shared" si="6"/>
        <v>132.53593781250001</v>
      </c>
      <c r="F239">
        <f t="shared" si="7"/>
        <v>0.75</v>
      </c>
    </row>
    <row r="240" spans="1:6" x14ac:dyDescent="0.25">
      <c r="A240">
        <v>253</v>
      </c>
      <c r="B240">
        <v>120</v>
      </c>
      <c r="C240">
        <v>0.4</v>
      </c>
      <c r="D240" s="1">
        <f t="shared" si="6"/>
        <v>15.079644480000002</v>
      </c>
      <c r="F240">
        <f t="shared" si="7"/>
        <v>0.2</v>
      </c>
    </row>
    <row r="241" spans="1:6" x14ac:dyDescent="0.25">
      <c r="A241">
        <v>526</v>
      </c>
      <c r="B241">
        <v>230</v>
      </c>
      <c r="C241">
        <v>0.35</v>
      </c>
      <c r="D241" s="1">
        <f t="shared" si="6"/>
        <v>22.128592876249996</v>
      </c>
      <c r="F241">
        <f t="shared" si="7"/>
        <v>0.17499999999999999</v>
      </c>
    </row>
    <row r="242" spans="1:6" x14ac:dyDescent="0.25">
      <c r="A242">
        <v>407</v>
      </c>
      <c r="B242">
        <v>225</v>
      </c>
      <c r="C242">
        <v>0.35</v>
      </c>
      <c r="D242" s="1">
        <f t="shared" si="6"/>
        <v>21.647536509374998</v>
      </c>
      <c r="F242">
        <f t="shared" si="7"/>
        <v>0.17499999999999999</v>
      </c>
    </row>
    <row r="243" spans="1:6" x14ac:dyDescent="0.25">
      <c r="A243">
        <v>40</v>
      </c>
      <c r="B243">
        <v>80</v>
      </c>
      <c r="C243">
        <v>0.8</v>
      </c>
      <c r="D243" s="1">
        <f t="shared" si="6"/>
        <v>40.212385280000007</v>
      </c>
      <c r="F243">
        <f t="shared" si="7"/>
        <v>0.4</v>
      </c>
    </row>
    <row r="244" spans="1:6" x14ac:dyDescent="0.25">
      <c r="A244">
        <v>78</v>
      </c>
      <c r="B244">
        <v>80</v>
      </c>
      <c r="C244">
        <v>1.2</v>
      </c>
      <c r="D244" s="1">
        <f t="shared" si="6"/>
        <v>90.477866879999993</v>
      </c>
      <c r="F244">
        <f t="shared" si="7"/>
        <v>0.6</v>
      </c>
    </row>
    <row r="245" spans="1:6" x14ac:dyDescent="0.25">
      <c r="A245">
        <v>404</v>
      </c>
      <c r="B245">
        <v>220</v>
      </c>
      <c r="C245">
        <v>0.35</v>
      </c>
      <c r="D245" s="1">
        <f t="shared" si="6"/>
        <v>21.166480142499999</v>
      </c>
      <c r="F245">
        <f t="shared" si="7"/>
        <v>0.17499999999999999</v>
      </c>
    </row>
    <row r="246" spans="1:6" x14ac:dyDescent="0.25">
      <c r="A246">
        <v>196</v>
      </c>
      <c r="B246">
        <v>80</v>
      </c>
      <c r="C246">
        <v>0.6</v>
      </c>
      <c r="D246" s="1">
        <f t="shared" si="6"/>
        <v>22.619466719999998</v>
      </c>
      <c r="F246">
        <f t="shared" si="7"/>
        <v>0.3</v>
      </c>
    </row>
    <row r="247" spans="1:6" x14ac:dyDescent="0.25">
      <c r="A247">
        <v>200</v>
      </c>
      <c r="B247">
        <v>80</v>
      </c>
      <c r="C247">
        <v>0.4</v>
      </c>
      <c r="D247" s="1">
        <f t="shared" si="6"/>
        <v>10.053096320000002</v>
      </c>
      <c r="F247">
        <f t="shared" si="7"/>
        <v>0.2</v>
      </c>
    </row>
    <row r="248" spans="1:6" x14ac:dyDescent="0.25">
      <c r="A248">
        <v>467</v>
      </c>
      <c r="B248">
        <v>400</v>
      </c>
      <c r="C248">
        <v>0.35</v>
      </c>
      <c r="D248" s="1">
        <f t="shared" si="6"/>
        <v>38.484509349999996</v>
      </c>
      <c r="F248">
        <f t="shared" si="7"/>
        <v>0.17499999999999999</v>
      </c>
    </row>
    <row r="249" spans="1:6" x14ac:dyDescent="0.25">
      <c r="A249">
        <v>211</v>
      </c>
      <c r="B249">
        <v>50</v>
      </c>
      <c r="C249">
        <v>0.35</v>
      </c>
      <c r="D249" s="1">
        <f t="shared" si="6"/>
        <v>4.8105636687499995</v>
      </c>
      <c r="F249">
        <f t="shared" si="7"/>
        <v>0.17499999999999999</v>
      </c>
    </row>
    <row r="250" spans="1:6" x14ac:dyDescent="0.25">
      <c r="A250">
        <v>203</v>
      </c>
      <c r="B250">
        <v>150</v>
      </c>
      <c r="C250">
        <v>0.8</v>
      </c>
      <c r="D250" s="1">
        <f t="shared" si="6"/>
        <v>75.398222400000023</v>
      </c>
      <c r="F250">
        <f t="shared" si="7"/>
        <v>0.4</v>
      </c>
    </row>
    <row r="251" spans="1:6" x14ac:dyDescent="0.25">
      <c r="A251">
        <v>475</v>
      </c>
      <c r="B251">
        <v>280</v>
      </c>
      <c r="C251">
        <v>0.35</v>
      </c>
      <c r="D251" s="1">
        <f t="shared" si="6"/>
        <v>26.939156544999996</v>
      </c>
      <c r="F251">
        <f t="shared" si="7"/>
        <v>0.17499999999999999</v>
      </c>
    </row>
    <row r="252" spans="1:6" x14ac:dyDescent="0.25">
      <c r="A252">
        <v>231</v>
      </c>
      <c r="B252">
        <v>170</v>
      </c>
      <c r="C252">
        <v>0.35</v>
      </c>
      <c r="D252" s="1">
        <f t="shared" si="6"/>
        <v>16.355916473749996</v>
      </c>
      <c r="F252">
        <f t="shared" si="7"/>
        <v>0.17499999999999999</v>
      </c>
    </row>
    <row r="253" spans="1:6" x14ac:dyDescent="0.25">
      <c r="A253">
        <v>107</v>
      </c>
      <c r="B253">
        <v>210</v>
      </c>
      <c r="C253">
        <v>0.35</v>
      </c>
      <c r="D253" s="1">
        <f t="shared" si="6"/>
        <v>20.204367408749999</v>
      </c>
      <c r="F253">
        <f t="shared" si="7"/>
        <v>0.17499999999999999</v>
      </c>
    </row>
    <row r="254" spans="1:6" x14ac:dyDescent="0.25">
      <c r="A254">
        <v>105</v>
      </c>
      <c r="B254">
        <v>320</v>
      </c>
      <c r="C254">
        <v>0.35</v>
      </c>
      <c r="D254" s="1">
        <f t="shared" si="6"/>
        <v>30.787607479999995</v>
      </c>
      <c r="F254">
        <f t="shared" si="7"/>
        <v>0.17499999999999999</v>
      </c>
    </row>
    <row r="255" spans="1:6" x14ac:dyDescent="0.25">
      <c r="A255">
        <v>108</v>
      </c>
      <c r="B255">
        <v>160</v>
      </c>
      <c r="C255">
        <v>0.35</v>
      </c>
      <c r="D255" s="1">
        <f t="shared" si="6"/>
        <v>15.393803739999997</v>
      </c>
      <c r="F255">
        <f t="shared" si="7"/>
        <v>0.17499999999999999</v>
      </c>
    </row>
    <row r="256" spans="1:6" x14ac:dyDescent="0.25">
      <c r="A256">
        <v>435</v>
      </c>
      <c r="B256">
        <v>100</v>
      </c>
      <c r="C256">
        <v>0.35</v>
      </c>
      <c r="D256" s="1">
        <f t="shared" si="6"/>
        <v>9.621127337499999</v>
      </c>
      <c r="F256">
        <f t="shared" si="7"/>
        <v>0.17499999999999999</v>
      </c>
    </row>
    <row r="257" spans="1:6" x14ac:dyDescent="0.25">
      <c r="A257">
        <v>432</v>
      </c>
      <c r="B257">
        <v>80</v>
      </c>
      <c r="C257">
        <v>0.35</v>
      </c>
      <c r="D257" s="1">
        <f t="shared" si="6"/>
        <v>7.6969018699999987</v>
      </c>
      <c r="F257">
        <f t="shared" si="7"/>
        <v>0.17499999999999999</v>
      </c>
    </row>
    <row r="258" spans="1:6" x14ac:dyDescent="0.25">
      <c r="A258">
        <v>116</v>
      </c>
      <c r="B258">
        <v>130</v>
      </c>
      <c r="C258">
        <v>0.4</v>
      </c>
      <c r="D258" s="1">
        <f t="shared" si="6"/>
        <v>16.336281520000004</v>
      </c>
      <c r="F258">
        <f t="shared" si="7"/>
        <v>0.2</v>
      </c>
    </row>
    <row r="259" spans="1:6" x14ac:dyDescent="0.25">
      <c r="A259">
        <v>359</v>
      </c>
      <c r="B259">
        <v>80</v>
      </c>
      <c r="C259">
        <v>0.35</v>
      </c>
      <c r="D259" s="1">
        <f t="shared" si="6"/>
        <v>7.6969018699999987</v>
      </c>
      <c r="F259">
        <f t="shared" si="7"/>
        <v>0.17499999999999999</v>
      </c>
    </row>
    <row r="260" spans="1:6" x14ac:dyDescent="0.25">
      <c r="A260">
        <v>7</v>
      </c>
      <c r="B260">
        <v>160</v>
      </c>
      <c r="C260">
        <v>0.4</v>
      </c>
      <c r="D260" s="1">
        <f t="shared" ref="D260:D323" si="8">3.1415926*$B260*(($C260/2)^2)</f>
        <v>20.106192640000003</v>
      </c>
      <c r="F260">
        <f t="shared" ref="F260:F323" si="9">$C260/$F$1</f>
        <v>0.2</v>
      </c>
    </row>
    <row r="261" spans="1:6" x14ac:dyDescent="0.25">
      <c r="A261">
        <v>15</v>
      </c>
      <c r="B261">
        <v>80</v>
      </c>
      <c r="C261">
        <v>2</v>
      </c>
      <c r="D261" s="1">
        <f t="shared" si="8"/>
        <v>251.32740799999999</v>
      </c>
      <c r="F261">
        <f t="shared" si="9"/>
        <v>1</v>
      </c>
    </row>
    <row r="262" spans="1:6" x14ac:dyDescent="0.25">
      <c r="A262">
        <v>427</v>
      </c>
      <c r="B262">
        <v>225</v>
      </c>
      <c r="C262">
        <v>0.35</v>
      </c>
      <c r="D262" s="1">
        <f t="shared" si="8"/>
        <v>21.647536509374998</v>
      </c>
      <c r="F262">
        <f t="shared" si="9"/>
        <v>0.17499999999999999</v>
      </c>
    </row>
    <row r="263" spans="1:6" x14ac:dyDescent="0.25">
      <c r="A263">
        <v>380</v>
      </c>
      <c r="B263">
        <v>80</v>
      </c>
      <c r="C263">
        <v>0.35</v>
      </c>
      <c r="D263" s="1">
        <f t="shared" si="8"/>
        <v>7.6969018699999987</v>
      </c>
      <c r="F263">
        <f t="shared" si="9"/>
        <v>0.17499999999999999</v>
      </c>
    </row>
    <row r="264" spans="1:6" x14ac:dyDescent="0.25">
      <c r="A264">
        <v>358</v>
      </c>
      <c r="B264">
        <v>260</v>
      </c>
      <c r="C264">
        <v>0.35</v>
      </c>
      <c r="D264" s="1">
        <f t="shared" si="8"/>
        <v>25.014931077499998</v>
      </c>
      <c r="F264">
        <f t="shared" si="9"/>
        <v>0.17499999999999999</v>
      </c>
    </row>
    <row r="265" spans="1:6" x14ac:dyDescent="0.25">
      <c r="A265">
        <v>428</v>
      </c>
      <c r="B265">
        <v>80</v>
      </c>
      <c r="C265">
        <v>0.35</v>
      </c>
      <c r="D265" s="1">
        <f t="shared" si="8"/>
        <v>7.6969018699999987</v>
      </c>
      <c r="F265">
        <f t="shared" si="9"/>
        <v>0.17499999999999999</v>
      </c>
    </row>
    <row r="266" spans="1:6" x14ac:dyDescent="0.25">
      <c r="A266">
        <v>58</v>
      </c>
      <c r="B266">
        <v>225</v>
      </c>
      <c r="C266">
        <v>0.35</v>
      </c>
      <c r="D266" s="1">
        <f t="shared" si="8"/>
        <v>21.647536509374998</v>
      </c>
      <c r="F266">
        <f t="shared" si="9"/>
        <v>0.17499999999999999</v>
      </c>
    </row>
    <row r="267" spans="1:6" x14ac:dyDescent="0.25">
      <c r="A267">
        <v>434</v>
      </c>
      <c r="B267">
        <v>175</v>
      </c>
      <c r="C267">
        <v>1.2</v>
      </c>
      <c r="D267" s="1">
        <f t="shared" si="8"/>
        <v>197.92033380000001</v>
      </c>
      <c r="F267">
        <f t="shared" si="9"/>
        <v>0.6</v>
      </c>
    </row>
    <row r="268" spans="1:6" x14ac:dyDescent="0.25">
      <c r="A268">
        <v>100</v>
      </c>
      <c r="B268">
        <v>130</v>
      </c>
      <c r="C268">
        <v>0.6</v>
      </c>
      <c r="D268" s="1">
        <f t="shared" si="8"/>
        <v>36.75663342</v>
      </c>
      <c r="F268">
        <f t="shared" si="9"/>
        <v>0.3</v>
      </c>
    </row>
    <row r="269" spans="1:6" x14ac:dyDescent="0.25">
      <c r="A269">
        <v>59</v>
      </c>
      <c r="B269">
        <v>260</v>
      </c>
      <c r="C269">
        <v>1.2</v>
      </c>
      <c r="D269" s="1">
        <f t="shared" si="8"/>
        <v>294.05306736</v>
      </c>
      <c r="F269">
        <f t="shared" si="9"/>
        <v>0.6</v>
      </c>
    </row>
    <row r="270" spans="1:6" x14ac:dyDescent="0.25">
      <c r="A270">
        <v>242</v>
      </c>
      <c r="B270">
        <v>120</v>
      </c>
      <c r="C270">
        <v>0.53</v>
      </c>
      <c r="D270" s="1">
        <f t="shared" si="8"/>
        <v>26.474200840200002</v>
      </c>
      <c r="F270">
        <f t="shared" si="9"/>
        <v>0.26500000000000001</v>
      </c>
    </row>
    <row r="271" spans="1:6" x14ac:dyDescent="0.25">
      <c r="A271">
        <v>321</v>
      </c>
      <c r="B271">
        <v>160</v>
      </c>
      <c r="C271">
        <v>0.8</v>
      </c>
      <c r="D271" s="1">
        <f t="shared" si="8"/>
        <v>80.424770560000013</v>
      </c>
      <c r="F271">
        <f t="shared" si="9"/>
        <v>0.4</v>
      </c>
    </row>
    <row r="272" spans="1:6" x14ac:dyDescent="0.25">
      <c r="A272">
        <v>341</v>
      </c>
      <c r="B272">
        <v>80</v>
      </c>
      <c r="C272">
        <v>0.53</v>
      </c>
      <c r="D272" s="1">
        <f t="shared" si="8"/>
        <v>17.649467226800002</v>
      </c>
      <c r="F272">
        <f t="shared" si="9"/>
        <v>0.26500000000000001</v>
      </c>
    </row>
    <row r="273" spans="1:6" x14ac:dyDescent="0.25">
      <c r="A273">
        <v>316</v>
      </c>
      <c r="B273">
        <v>75</v>
      </c>
      <c r="C273">
        <v>1.5</v>
      </c>
      <c r="D273" s="1">
        <f t="shared" si="8"/>
        <v>132.53593781250001</v>
      </c>
      <c r="F273">
        <f t="shared" si="9"/>
        <v>0.75</v>
      </c>
    </row>
    <row r="274" spans="1:6" x14ac:dyDescent="0.25">
      <c r="A274">
        <v>254</v>
      </c>
      <c r="B274">
        <v>120</v>
      </c>
      <c r="C274">
        <v>0.53</v>
      </c>
      <c r="D274" s="1">
        <f t="shared" si="8"/>
        <v>26.474200840200002</v>
      </c>
      <c r="F274">
        <f t="shared" si="9"/>
        <v>0.26500000000000001</v>
      </c>
    </row>
    <row r="275" spans="1:6" x14ac:dyDescent="0.25">
      <c r="A275">
        <v>524</v>
      </c>
      <c r="B275">
        <v>230</v>
      </c>
      <c r="C275">
        <v>0.35</v>
      </c>
      <c r="D275" s="1">
        <f t="shared" si="8"/>
        <v>22.128592876249996</v>
      </c>
      <c r="F275">
        <f t="shared" si="9"/>
        <v>0.17499999999999999</v>
      </c>
    </row>
    <row r="276" spans="1:6" x14ac:dyDescent="0.25">
      <c r="A276">
        <v>405</v>
      </c>
      <c r="B276">
        <v>225</v>
      </c>
      <c r="C276">
        <v>0.35</v>
      </c>
      <c r="D276" s="1">
        <f t="shared" si="8"/>
        <v>21.647536509374998</v>
      </c>
      <c r="F276">
        <f t="shared" si="9"/>
        <v>0.17499999999999999</v>
      </c>
    </row>
    <row r="277" spans="1:6" x14ac:dyDescent="0.25">
      <c r="A277">
        <v>39</v>
      </c>
      <c r="B277">
        <v>80</v>
      </c>
      <c r="C277">
        <v>0.8</v>
      </c>
      <c r="D277" s="1">
        <f t="shared" si="8"/>
        <v>40.212385280000007</v>
      </c>
      <c r="F277">
        <f t="shared" si="9"/>
        <v>0.4</v>
      </c>
    </row>
    <row r="278" spans="1:6" x14ac:dyDescent="0.25">
      <c r="A278">
        <v>77</v>
      </c>
      <c r="B278">
        <v>80</v>
      </c>
      <c r="C278">
        <v>1.2</v>
      </c>
      <c r="D278" s="1">
        <f t="shared" si="8"/>
        <v>90.477866879999993</v>
      </c>
      <c r="F278">
        <f t="shared" si="9"/>
        <v>0.6</v>
      </c>
    </row>
    <row r="279" spans="1:6" x14ac:dyDescent="0.25">
      <c r="A279">
        <v>402</v>
      </c>
      <c r="B279">
        <v>220</v>
      </c>
      <c r="C279">
        <v>0.35</v>
      </c>
      <c r="D279" s="1">
        <f t="shared" si="8"/>
        <v>21.166480142499999</v>
      </c>
      <c r="F279">
        <f t="shared" si="9"/>
        <v>0.17499999999999999</v>
      </c>
    </row>
    <row r="280" spans="1:6" x14ac:dyDescent="0.25">
      <c r="A280">
        <v>197</v>
      </c>
      <c r="B280">
        <v>80</v>
      </c>
      <c r="C280">
        <v>0.6</v>
      </c>
      <c r="D280" s="1">
        <f t="shared" si="8"/>
        <v>22.619466719999998</v>
      </c>
      <c r="F280">
        <f t="shared" si="9"/>
        <v>0.3</v>
      </c>
    </row>
    <row r="281" spans="1:6" x14ac:dyDescent="0.25">
      <c r="A281">
        <v>465</v>
      </c>
      <c r="B281">
        <v>200</v>
      </c>
      <c r="C281">
        <v>1.5</v>
      </c>
      <c r="D281" s="1">
        <f t="shared" si="8"/>
        <v>353.42916750000001</v>
      </c>
      <c r="F281">
        <f t="shared" si="9"/>
        <v>0.75</v>
      </c>
    </row>
    <row r="282" spans="1:6" x14ac:dyDescent="0.25">
      <c r="A282">
        <v>468</v>
      </c>
      <c r="B282">
        <v>85</v>
      </c>
      <c r="C282">
        <v>0.35</v>
      </c>
      <c r="D282" s="1">
        <f t="shared" si="8"/>
        <v>8.1779582368749981</v>
      </c>
      <c r="F282">
        <f t="shared" si="9"/>
        <v>0.17499999999999999</v>
      </c>
    </row>
    <row r="283" spans="1:6" x14ac:dyDescent="0.25">
      <c r="A283">
        <v>466</v>
      </c>
      <c r="B283">
        <v>230</v>
      </c>
      <c r="C283">
        <v>0.35</v>
      </c>
      <c r="D283" s="1">
        <f t="shared" si="8"/>
        <v>22.128592876249996</v>
      </c>
      <c r="F283">
        <f t="shared" si="9"/>
        <v>0.17499999999999999</v>
      </c>
    </row>
    <row r="284" spans="1:6" x14ac:dyDescent="0.25">
      <c r="A284">
        <v>219</v>
      </c>
      <c r="B284">
        <v>100</v>
      </c>
      <c r="C284">
        <v>0.8</v>
      </c>
      <c r="D284" s="1">
        <f t="shared" si="8"/>
        <v>50.265481600000015</v>
      </c>
      <c r="F284">
        <f t="shared" si="9"/>
        <v>0.4</v>
      </c>
    </row>
    <row r="285" spans="1:6" x14ac:dyDescent="0.25">
      <c r="A285">
        <v>218</v>
      </c>
      <c r="B285">
        <v>100</v>
      </c>
      <c r="C285">
        <v>0.35</v>
      </c>
      <c r="D285" s="1">
        <f t="shared" si="8"/>
        <v>9.621127337499999</v>
      </c>
      <c r="F285">
        <f t="shared" si="9"/>
        <v>0.17499999999999999</v>
      </c>
    </row>
    <row r="286" spans="1:6" x14ac:dyDescent="0.25">
      <c r="A286">
        <v>274</v>
      </c>
      <c r="B286">
        <v>50</v>
      </c>
      <c r="C286">
        <v>0.35</v>
      </c>
      <c r="D286" s="1">
        <f t="shared" si="8"/>
        <v>4.8105636687499995</v>
      </c>
      <c r="F286">
        <f t="shared" si="9"/>
        <v>0.17499999999999999</v>
      </c>
    </row>
    <row r="287" spans="1:6" x14ac:dyDescent="0.25">
      <c r="A287">
        <v>230</v>
      </c>
      <c r="B287">
        <v>280</v>
      </c>
      <c r="C287">
        <v>0.35</v>
      </c>
      <c r="D287" s="1">
        <f t="shared" si="8"/>
        <v>26.939156544999996</v>
      </c>
      <c r="F287">
        <f t="shared" si="9"/>
        <v>0.17499999999999999</v>
      </c>
    </row>
    <row r="288" spans="1:6" x14ac:dyDescent="0.25">
      <c r="A288">
        <v>430</v>
      </c>
      <c r="B288">
        <v>210</v>
      </c>
      <c r="C288">
        <v>0.35</v>
      </c>
      <c r="D288" s="1">
        <f t="shared" si="8"/>
        <v>20.204367408749999</v>
      </c>
      <c r="F288">
        <f t="shared" si="9"/>
        <v>0.17499999999999999</v>
      </c>
    </row>
    <row r="289" spans="1:6" x14ac:dyDescent="0.25">
      <c r="A289">
        <v>104</v>
      </c>
      <c r="B289">
        <v>200</v>
      </c>
      <c r="C289">
        <v>0.35</v>
      </c>
      <c r="D289" s="1">
        <f t="shared" si="8"/>
        <v>19.242254674999998</v>
      </c>
      <c r="F289">
        <f t="shared" si="9"/>
        <v>0.17499999999999999</v>
      </c>
    </row>
    <row r="290" spans="1:6" x14ac:dyDescent="0.25">
      <c r="A290">
        <v>429</v>
      </c>
      <c r="B290">
        <v>160</v>
      </c>
      <c r="C290">
        <v>0.35</v>
      </c>
      <c r="D290" s="1">
        <f t="shared" si="8"/>
        <v>15.393803739999997</v>
      </c>
      <c r="F290">
        <f t="shared" si="9"/>
        <v>0.17499999999999999</v>
      </c>
    </row>
    <row r="291" spans="1:6" x14ac:dyDescent="0.25">
      <c r="A291">
        <v>352</v>
      </c>
      <c r="B291">
        <v>75</v>
      </c>
      <c r="C291">
        <v>0.35</v>
      </c>
      <c r="D291" s="1">
        <f t="shared" si="8"/>
        <v>7.2158455031249993</v>
      </c>
      <c r="F291">
        <f t="shared" si="9"/>
        <v>0.17499999999999999</v>
      </c>
    </row>
    <row r="292" spans="1:6" x14ac:dyDescent="0.25">
      <c r="A292">
        <v>241</v>
      </c>
      <c r="B292">
        <v>120</v>
      </c>
      <c r="C292">
        <v>0.4</v>
      </c>
      <c r="D292" s="1">
        <f t="shared" si="8"/>
        <v>15.079644480000002</v>
      </c>
      <c r="F292">
        <f t="shared" si="9"/>
        <v>0.2</v>
      </c>
    </row>
    <row r="293" spans="1:6" x14ac:dyDescent="0.25">
      <c r="A293">
        <v>8</v>
      </c>
      <c r="B293">
        <v>75</v>
      </c>
      <c r="C293">
        <v>0.4</v>
      </c>
      <c r="D293" s="1">
        <f t="shared" si="8"/>
        <v>9.4247778000000029</v>
      </c>
      <c r="F293">
        <f t="shared" si="9"/>
        <v>0.2</v>
      </c>
    </row>
    <row r="294" spans="1:6" x14ac:dyDescent="0.25">
      <c r="A294">
        <v>357</v>
      </c>
      <c r="B294">
        <v>80</v>
      </c>
      <c r="C294">
        <v>0.35</v>
      </c>
      <c r="D294" s="1">
        <f t="shared" si="8"/>
        <v>7.6969018699999987</v>
      </c>
      <c r="F294">
        <f t="shared" si="9"/>
        <v>0.17499999999999999</v>
      </c>
    </row>
    <row r="295" spans="1:6" x14ac:dyDescent="0.25">
      <c r="A295">
        <v>9</v>
      </c>
      <c r="B295">
        <v>150</v>
      </c>
      <c r="C295">
        <v>0.35</v>
      </c>
      <c r="D295" s="1">
        <f t="shared" si="8"/>
        <v>14.431691006249999</v>
      </c>
      <c r="F295">
        <f t="shared" si="9"/>
        <v>0.17499999999999999</v>
      </c>
    </row>
    <row r="296" spans="1:6" x14ac:dyDescent="0.25">
      <c r="A296">
        <v>14</v>
      </c>
      <c r="B296">
        <v>260</v>
      </c>
      <c r="C296">
        <v>0.35</v>
      </c>
      <c r="D296" s="1">
        <f t="shared" si="8"/>
        <v>25.014931077499998</v>
      </c>
      <c r="F296">
        <f t="shared" si="9"/>
        <v>0.17499999999999999</v>
      </c>
    </row>
    <row r="297" spans="1:6" x14ac:dyDescent="0.25">
      <c r="A297">
        <v>382</v>
      </c>
      <c r="B297">
        <v>80</v>
      </c>
      <c r="C297">
        <v>0.35</v>
      </c>
      <c r="D297" s="1">
        <f t="shared" si="8"/>
        <v>7.6969018699999987</v>
      </c>
      <c r="F297">
        <f t="shared" si="9"/>
        <v>0.17499999999999999</v>
      </c>
    </row>
    <row r="298" spans="1:6" x14ac:dyDescent="0.25">
      <c r="A298">
        <v>381</v>
      </c>
      <c r="B298">
        <v>80</v>
      </c>
      <c r="C298">
        <v>0.35</v>
      </c>
      <c r="D298" s="1">
        <f t="shared" si="8"/>
        <v>7.6969018699999987</v>
      </c>
      <c r="F298">
        <f t="shared" si="9"/>
        <v>0.17499999999999999</v>
      </c>
    </row>
    <row r="299" spans="1:6" x14ac:dyDescent="0.25">
      <c r="A299">
        <v>12</v>
      </c>
      <c r="B299">
        <v>260</v>
      </c>
      <c r="C299">
        <v>0.4</v>
      </c>
      <c r="D299" s="1">
        <f t="shared" si="8"/>
        <v>32.672563040000007</v>
      </c>
      <c r="F299">
        <f t="shared" si="9"/>
        <v>0.2</v>
      </c>
    </row>
    <row r="300" spans="1:6" x14ac:dyDescent="0.25">
      <c r="A300">
        <v>433</v>
      </c>
      <c r="B300">
        <v>113</v>
      </c>
      <c r="C300">
        <v>0.8</v>
      </c>
      <c r="D300" s="1">
        <f t="shared" si="8"/>
        <v>56.799994208000008</v>
      </c>
      <c r="F300">
        <f t="shared" si="9"/>
        <v>0.4</v>
      </c>
    </row>
    <row r="301" spans="1:6" x14ac:dyDescent="0.25">
      <c r="A301">
        <v>102</v>
      </c>
      <c r="B301">
        <v>100</v>
      </c>
      <c r="C301">
        <v>0.8</v>
      </c>
      <c r="D301" s="1">
        <f t="shared" si="8"/>
        <v>50.265481600000015</v>
      </c>
      <c r="F301">
        <f t="shared" si="9"/>
        <v>0.4</v>
      </c>
    </row>
    <row r="302" spans="1:6" x14ac:dyDescent="0.25">
      <c r="A302">
        <v>60</v>
      </c>
      <c r="B302">
        <v>180</v>
      </c>
      <c r="C302">
        <v>0.8</v>
      </c>
      <c r="D302" s="1">
        <f t="shared" si="8"/>
        <v>90.477866880000022</v>
      </c>
      <c r="F302">
        <f t="shared" si="9"/>
        <v>0.4</v>
      </c>
    </row>
    <row r="303" spans="1:6" x14ac:dyDescent="0.25">
      <c r="A303">
        <v>525</v>
      </c>
      <c r="B303">
        <v>125</v>
      </c>
      <c r="C303">
        <v>0.35</v>
      </c>
      <c r="D303" s="1">
        <f t="shared" si="8"/>
        <v>12.026409171874999</v>
      </c>
      <c r="F303">
        <f t="shared" si="9"/>
        <v>0.17499999999999999</v>
      </c>
    </row>
    <row r="304" spans="1:6" x14ac:dyDescent="0.25">
      <c r="A304">
        <v>504</v>
      </c>
      <c r="B304">
        <v>150</v>
      </c>
      <c r="C304">
        <v>0.35</v>
      </c>
      <c r="D304" s="1">
        <f t="shared" si="8"/>
        <v>14.431691006249999</v>
      </c>
      <c r="F304">
        <f t="shared" si="9"/>
        <v>0.17499999999999999</v>
      </c>
    </row>
    <row r="305" spans="1:6" x14ac:dyDescent="0.25">
      <c r="A305">
        <v>322</v>
      </c>
      <c r="B305">
        <v>150</v>
      </c>
      <c r="C305">
        <v>0.8</v>
      </c>
      <c r="D305" s="1">
        <f t="shared" si="8"/>
        <v>75.398222400000023</v>
      </c>
      <c r="F305">
        <f t="shared" si="9"/>
        <v>0.4</v>
      </c>
    </row>
    <row r="306" spans="1:6" x14ac:dyDescent="0.25">
      <c r="A306">
        <v>340</v>
      </c>
      <c r="B306">
        <v>40</v>
      </c>
      <c r="C306">
        <v>0.4</v>
      </c>
      <c r="D306" s="1">
        <f t="shared" si="8"/>
        <v>5.0265481600000008</v>
      </c>
      <c r="F306">
        <f t="shared" si="9"/>
        <v>0.2</v>
      </c>
    </row>
    <row r="307" spans="1:6" x14ac:dyDescent="0.25">
      <c r="A307">
        <v>315</v>
      </c>
      <c r="B307">
        <v>75</v>
      </c>
      <c r="C307">
        <v>1.5</v>
      </c>
      <c r="D307" s="1">
        <f t="shared" si="8"/>
        <v>132.53593781250001</v>
      </c>
      <c r="F307">
        <f t="shared" si="9"/>
        <v>0.75</v>
      </c>
    </row>
    <row r="308" spans="1:6" x14ac:dyDescent="0.25">
      <c r="A308">
        <v>255</v>
      </c>
      <c r="B308">
        <v>120</v>
      </c>
      <c r="C308">
        <v>0.53</v>
      </c>
      <c r="D308" s="1">
        <f t="shared" si="8"/>
        <v>26.474200840200002</v>
      </c>
      <c r="F308">
        <f t="shared" si="9"/>
        <v>0.26500000000000001</v>
      </c>
    </row>
    <row r="309" spans="1:6" x14ac:dyDescent="0.25">
      <c r="A309">
        <v>403</v>
      </c>
      <c r="B309">
        <v>225</v>
      </c>
      <c r="C309">
        <v>0.35</v>
      </c>
      <c r="D309" s="1">
        <f t="shared" si="8"/>
        <v>21.647536509374998</v>
      </c>
      <c r="F309">
        <f t="shared" si="9"/>
        <v>0.17499999999999999</v>
      </c>
    </row>
    <row r="310" spans="1:6" x14ac:dyDescent="0.25">
      <c r="A310">
        <v>337</v>
      </c>
      <c r="B310">
        <v>230</v>
      </c>
      <c r="C310">
        <v>0.8</v>
      </c>
      <c r="D310" s="1">
        <f t="shared" si="8"/>
        <v>115.61060768000002</v>
      </c>
      <c r="F310">
        <f t="shared" si="9"/>
        <v>0.4</v>
      </c>
    </row>
    <row r="311" spans="1:6" x14ac:dyDescent="0.25">
      <c r="A311">
        <v>38</v>
      </c>
      <c r="B311">
        <v>80</v>
      </c>
      <c r="C311">
        <v>0.53</v>
      </c>
      <c r="D311" s="1">
        <f t="shared" si="8"/>
        <v>17.649467226800002</v>
      </c>
      <c r="F311">
        <f t="shared" si="9"/>
        <v>0.26500000000000001</v>
      </c>
    </row>
    <row r="312" spans="1:6" x14ac:dyDescent="0.25">
      <c r="A312">
        <v>76</v>
      </c>
      <c r="B312">
        <v>80</v>
      </c>
      <c r="C312">
        <v>1.2</v>
      </c>
      <c r="D312" s="1">
        <f t="shared" si="8"/>
        <v>90.477866879999993</v>
      </c>
      <c r="F312">
        <f t="shared" si="9"/>
        <v>0.6</v>
      </c>
    </row>
    <row r="313" spans="1:6" x14ac:dyDescent="0.25">
      <c r="A313">
        <v>400</v>
      </c>
      <c r="B313">
        <v>220</v>
      </c>
      <c r="C313">
        <v>0.35</v>
      </c>
      <c r="D313" s="1">
        <f t="shared" si="8"/>
        <v>21.166480142499999</v>
      </c>
      <c r="F313">
        <f t="shared" si="9"/>
        <v>0.17499999999999999</v>
      </c>
    </row>
    <row r="314" spans="1:6" x14ac:dyDescent="0.25">
      <c r="A314">
        <v>198</v>
      </c>
      <c r="B314">
        <v>80</v>
      </c>
      <c r="C314">
        <v>0.53</v>
      </c>
      <c r="D314" s="1">
        <f t="shared" si="8"/>
        <v>17.649467226800002</v>
      </c>
      <c r="F314">
        <f t="shared" si="9"/>
        <v>0.26500000000000001</v>
      </c>
    </row>
    <row r="315" spans="1:6" x14ac:dyDescent="0.25">
      <c r="A315">
        <v>476</v>
      </c>
      <c r="B315">
        <v>200</v>
      </c>
      <c r="C315">
        <v>0.35</v>
      </c>
      <c r="D315" s="1">
        <f t="shared" si="8"/>
        <v>19.242254674999998</v>
      </c>
      <c r="F315">
        <f t="shared" si="9"/>
        <v>0.17499999999999999</v>
      </c>
    </row>
    <row r="316" spans="1:6" x14ac:dyDescent="0.25">
      <c r="A316">
        <v>220</v>
      </c>
      <c r="B316">
        <v>105</v>
      </c>
      <c r="C316">
        <v>0.8</v>
      </c>
      <c r="D316" s="1">
        <f t="shared" si="8"/>
        <v>52.778755680000017</v>
      </c>
      <c r="F316">
        <f t="shared" si="9"/>
        <v>0.4</v>
      </c>
    </row>
    <row r="317" spans="1:6" x14ac:dyDescent="0.25">
      <c r="A317">
        <v>481</v>
      </c>
      <c r="B317">
        <v>265</v>
      </c>
      <c r="C317">
        <v>0.35</v>
      </c>
      <c r="D317" s="1">
        <f t="shared" si="8"/>
        <v>25.495987444375</v>
      </c>
      <c r="F317">
        <f t="shared" si="9"/>
        <v>0.17499999999999999</v>
      </c>
    </row>
    <row r="318" spans="1:6" x14ac:dyDescent="0.25">
      <c r="A318">
        <v>385</v>
      </c>
      <c r="B318">
        <v>160</v>
      </c>
      <c r="C318">
        <v>0.35</v>
      </c>
      <c r="D318" s="1">
        <f t="shared" si="8"/>
        <v>15.393803739999997</v>
      </c>
      <c r="F318">
        <f t="shared" si="9"/>
        <v>0.17499999999999999</v>
      </c>
    </row>
    <row r="319" spans="1:6" x14ac:dyDescent="0.25">
      <c r="A319">
        <v>279</v>
      </c>
      <c r="B319">
        <v>60</v>
      </c>
      <c r="C319">
        <v>0.35</v>
      </c>
      <c r="D319" s="1">
        <f t="shared" si="8"/>
        <v>5.7726764024999992</v>
      </c>
      <c r="F319">
        <f t="shared" si="9"/>
        <v>0.17499999999999999</v>
      </c>
    </row>
    <row r="320" spans="1:6" x14ac:dyDescent="0.25">
      <c r="A320">
        <v>240</v>
      </c>
      <c r="B320">
        <v>120</v>
      </c>
      <c r="C320">
        <v>0.4</v>
      </c>
      <c r="D320" s="1">
        <f t="shared" si="8"/>
        <v>15.079644480000002</v>
      </c>
      <c r="F320">
        <f t="shared" si="9"/>
        <v>0.2</v>
      </c>
    </row>
    <row r="321" spans="1:6" x14ac:dyDescent="0.25">
      <c r="A321">
        <v>353</v>
      </c>
      <c r="B321">
        <v>75</v>
      </c>
      <c r="C321">
        <v>0.35</v>
      </c>
      <c r="D321" s="1">
        <f t="shared" si="8"/>
        <v>7.2158455031249993</v>
      </c>
      <c r="F321">
        <f t="shared" si="9"/>
        <v>0.17499999999999999</v>
      </c>
    </row>
    <row r="322" spans="1:6" x14ac:dyDescent="0.25">
      <c r="A322">
        <v>239</v>
      </c>
      <c r="B322">
        <v>120</v>
      </c>
      <c r="C322">
        <v>0.35</v>
      </c>
      <c r="D322" s="1">
        <f t="shared" si="8"/>
        <v>11.545352804999998</v>
      </c>
      <c r="F322">
        <f t="shared" si="9"/>
        <v>0.17499999999999999</v>
      </c>
    </row>
    <row r="323" spans="1:6" x14ac:dyDescent="0.25">
      <c r="A323">
        <v>10</v>
      </c>
      <c r="B323">
        <v>75</v>
      </c>
      <c r="C323">
        <v>0.35</v>
      </c>
      <c r="D323" s="1">
        <f t="shared" si="8"/>
        <v>7.2158455031249993</v>
      </c>
      <c r="F323">
        <f t="shared" si="9"/>
        <v>0.17499999999999999</v>
      </c>
    </row>
    <row r="324" spans="1:6" x14ac:dyDescent="0.25">
      <c r="A324">
        <v>355</v>
      </c>
      <c r="B324">
        <v>100</v>
      </c>
      <c r="C324">
        <v>0.35</v>
      </c>
      <c r="D324" s="1">
        <f t="shared" ref="D324:D387" si="10">3.1415926*$B324*(($C324/2)^2)</f>
        <v>9.621127337499999</v>
      </c>
      <c r="F324">
        <f t="shared" ref="F324:F387" si="11">$C324/$F$1</f>
        <v>0.17499999999999999</v>
      </c>
    </row>
    <row r="325" spans="1:6" x14ac:dyDescent="0.25">
      <c r="A325">
        <v>11</v>
      </c>
      <c r="B325">
        <v>130</v>
      </c>
      <c r="C325">
        <v>0.35</v>
      </c>
      <c r="D325" s="1">
        <f t="shared" si="10"/>
        <v>12.507465538749999</v>
      </c>
      <c r="F325">
        <f t="shared" si="11"/>
        <v>0.17499999999999999</v>
      </c>
    </row>
    <row r="326" spans="1:6" x14ac:dyDescent="0.25">
      <c r="A326">
        <v>69</v>
      </c>
      <c r="B326">
        <v>270</v>
      </c>
      <c r="C326">
        <v>0.53</v>
      </c>
      <c r="D326" s="1">
        <f t="shared" si="10"/>
        <v>59.566951890450007</v>
      </c>
      <c r="F326">
        <f t="shared" si="11"/>
        <v>0.26500000000000001</v>
      </c>
    </row>
    <row r="327" spans="1:6" x14ac:dyDescent="0.25">
      <c r="A327">
        <v>61</v>
      </c>
      <c r="B327">
        <v>80</v>
      </c>
      <c r="C327">
        <v>0.35</v>
      </c>
      <c r="D327" s="1">
        <f t="shared" si="10"/>
        <v>7.6969018699999987</v>
      </c>
      <c r="F327">
        <f t="shared" si="11"/>
        <v>0.17499999999999999</v>
      </c>
    </row>
    <row r="328" spans="1:6" x14ac:dyDescent="0.25">
      <c r="A328">
        <v>103</v>
      </c>
      <c r="B328">
        <v>105</v>
      </c>
      <c r="C328">
        <v>0.35</v>
      </c>
      <c r="D328" s="1">
        <f t="shared" si="10"/>
        <v>10.102183704374999</v>
      </c>
      <c r="F328">
        <f t="shared" si="11"/>
        <v>0.17499999999999999</v>
      </c>
    </row>
    <row r="329" spans="1:6" x14ac:dyDescent="0.25">
      <c r="A329">
        <v>522</v>
      </c>
      <c r="B329">
        <v>145</v>
      </c>
      <c r="C329">
        <v>0.35</v>
      </c>
      <c r="D329" s="1">
        <f t="shared" si="10"/>
        <v>13.950634639374998</v>
      </c>
      <c r="F329">
        <f t="shared" si="11"/>
        <v>0.17499999999999999</v>
      </c>
    </row>
    <row r="330" spans="1:6" x14ac:dyDescent="0.25">
      <c r="A330">
        <v>323</v>
      </c>
      <c r="B330">
        <v>80</v>
      </c>
      <c r="C330">
        <v>0.8</v>
      </c>
      <c r="D330" s="1">
        <f t="shared" si="10"/>
        <v>40.212385280000007</v>
      </c>
      <c r="F330">
        <f t="shared" si="11"/>
        <v>0.4</v>
      </c>
    </row>
    <row r="331" spans="1:6" x14ac:dyDescent="0.25">
      <c r="A331">
        <v>338</v>
      </c>
      <c r="B331">
        <v>40</v>
      </c>
      <c r="C331">
        <v>0.4</v>
      </c>
      <c r="D331" s="1">
        <f t="shared" si="10"/>
        <v>5.0265481600000008</v>
      </c>
      <c r="F331">
        <f t="shared" si="11"/>
        <v>0.2</v>
      </c>
    </row>
    <row r="332" spans="1:6" x14ac:dyDescent="0.25">
      <c r="A332">
        <v>314</v>
      </c>
      <c r="B332">
        <v>75</v>
      </c>
      <c r="C332">
        <v>1.5</v>
      </c>
      <c r="D332" s="1">
        <f t="shared" si="10"/>
        <v>132.53593781250001</v>
      </c>
      <c r="F332">
        <f t="shared" si="11"/>
        <v>0.75</v>
      </c>
    </row>
    <row r="333" spans="1:6" x14ac:dyDescent="0.25">
      <c r="A333">
        <v>256</v>
      </c>
      <c r="B333">
        <v>120</v>
      </c>
      <c r="C333">
        <v>0.35</v>
      </c>
      <c r="D333" s="1">
        <f t="shared" si="10"/>
        <v>11.545352804999998</v>
      </c>
      <c r="F333">
        <f t="shared" si="11"/>
        <v>0.17499999999999999</v>
      </c>
    </row>
    <row r="334" spans="1:6" x14ac:dyDescent="0.25">
      <c r="A334">
        <v>520</v>
      </c>
      <c r="B334">
        <v>230</v>
      </c>
      <c r="C334">
        <v>0.35</v>
      </c>
      <c r="D334" s="1">
        <f t="shared" si="10"/>
        <v>22.128592876249996</v>
      </c>
      <c r="F334">
        <f t="shared" si="11"/>
        <v>0.17499999999999999</v>
      </c>
    </row>
    <row r="335" spans="1:6" x14ac:dyDescent="0.25">
      <c r="A335">
        <v>401</v>
      </c>
      <c r="B335">
        <v>225</v>
      </c>
      <c r="C335">
        <v>0.35</v>
      </c>
      <c r="D335" s="1">
        <f t="shared" si="10"/>
        <v>21.647536509374998</v>
      </c>
      <c r="F335">
        <f t="shared" si="11"/>
        <v>0.17499999999999999</v>
      </c>
    </row>
    <row r="336" spans="1:6" x14ac:dyDescent="0.25">
      <c r="A336">
        <v>37</v>
      </c>
      <c r="B336">
        <v>80</v>
      </c>
      <c r="C336">
        <v>0.53</v>
      </c>
      <c r="D336" s="1">
        <f t="shared" si="10"/>
        <v>17.649467226800002</v>
      </c>
      <c r="F336">
        <f t="shared" si="11"/>
        <v>0.26500000000000001</v>
      </c>
    </row>
    <row r="337" spans="1:6" x14ac:dyDescent="0.25">
      <c r="A337">
        <v>336</v>
      </c>
      <c r="B337">
        <v>80</v>
      </c>
      <c r="C337">
        <v>0.6</v>
      </c>
      <c r="D337" s="1">
        <f t="shared" si="10"/>
        <v>22.619466719999998</v>
      </c>
      <c r="F337">
        <f t="shared" si="11"/>
        <v>0.3</v>
      </c>
    </row>
    <row r="338" spans="1:6" x14ac:dyDescent="0.25">
      <c r="A338">
        <v>75</v>
      </c>
      <c r="B338">
        <v>80</v>
      </c>
      <c r="C338">
        <v>1.2</v>
      </c>
      <c r="D338" s="1">
        <f t="shared" si="10"/>
        <v>90.477866879999993</v>
      </c>
      <c r="F338">
        <f t="shared" si="11"/>
        <v>0.6</v>
      </c>
    </row>
    <row r="339" spans="1:6" x14ac:dyDescent="0.25">
      <c r="A339">
        <v>398</v>
      </c>
      <c r="B339">
        <v>220</v>
      </c>
      <c r="C339">
        <v>0.35</v>
      </c>
      <c r="D339" s="1">
        <f t="shared" si="10"/>
        <v>21.166480142499999</v>
      </c>
      <c r="F339">
        <f t="shared" si="11"/>
        <v>0.17499999999999999</v>
      </c>
    </row>
    <row r="340" spans="1:6" x14ac:dyDescent="0.25">
      <c r="A340">
        <v>199</v>
      </c>
      <c r="B340">
        <v>80</v>
      </c>
      <c r="C340">
        <v>0.53</v>
      </c>
      <c r="D340" s="1">
        <f t="shared" si="10"/>
        <v>17.649467226800002</v>
      </c>
      <c r="F340">
        <f t="shared" si="11"/>
        <v>0.26500000000000001</v>
      </c>
    </row>
    <row r="341" spans="1:6" x14ac:dyDescent="0.25">
      <c r="A341">
        <v>229</v>
      </c>
      <c r="B341">
        <v>215</v>
      </c>
      <c r="C341">
        <v>0.53</v>
      </c>
      <c r="D341" s="1">
        <f t="shared" si="10"/>
        <v>47.432943172025006</v>
      </c>
      <c r="F341">
        <f t="shared" si="11"/>
        <v>0.26500000000000001</v>
      </c>
    </row>
    <row r="342" spans="1:6" x14ac:dyDescent="0.25">
      <c r="A342">
        <v>221</v>
      </c>
      <c r="B342">
        <v>210</v>
      </c>
      <c r="C342">
        <v>0.35</v>
      </c>
      <c r="D342" s="1">
        <f t="shared" si="10"/>
        <v>20.204367408749999</v>
      </c>
      <c r="F342">
        <f t="shared" si="11"/>
        <v>0.17499999999999999</v>
      </c>
    </row>
    <row r="343" spans="1:6" x14ac:dyDescent="0.25">
      <c r="A343">
        <v>238</v>
      </c>
      <c r="B343">
        <v>120</v>
      </c>
      <c r="C343">
        <v>0.35</v>
      </c>
      <c r="D343" s="1">
        <f t="shared" si="10"/>
        <v>11.545352804999998</v>
      </c>
      <c r="F343">
        <f t="shared" si="11"/>
        <v>0.17499999999999999</v>
      </c>
    </row>
    <row r="344" spans="1:6" x14ac:dyDescent="0.25">
      <c r="A344">
        <v>354</v>
      </c>
      <c r="B344">
        <v>85</v>
      </c>
      <c r="C344">
        <v>0.35</v>
      </c>
      <c r="D344" s="1">
        <f t="shared" si="10"/>
        <v>8.1779582368749981</v>
      </c>
      <c r="F344">
        <f t="shared" si="11"/>
        <v>0.17499999999999999</v>
      </c>
    </row>
    <row r="345" spans="1:6" x14ac:dyDescent="0.25">
      <c r="A345">
        <v>388</v>
      </c>
      <c r="B345">
        <v>270</v>
      </c>
      <c r="C345">
        <v>0.35</v>
      </c>
      <c r="D345" s="1">
        <f t="shared" si="10"/>
        <v>25.977043811249995</v>
      </c>
      <c r="F345">
        <f t="shared" si="11"/>
        <v>0.17499999999999999</v>
      </c>
    </row>
    <row r="346" spans="1:6" x14ac:dyDescent="0.25">
      <c r="A346">
        <v>384</v>
      </c>
      <c r="B346">
        <v>80</v>
      </c>
      <c r="C346">
        <v>0.35</v>
      </c>
      <c r="D346" s="1">
        <f t="shared" si="10"/>
        <v>7.6969018699999987</v>
      </c>
      <c r="F346">
        <f t="shared" si="11"/>
        <v>0.17499999999999999</v>
      </c>
    </row>
    <row r="347" spans="1:6" x14ac:dyDescent="0.25">
      <c r="A347">
        <v>356</v>
      </c>
      <c r="B347">
        <v>80</v>
      </c>
      <c r="C347">
        <v>0.35</v>
      </c>
      <c r="D347" s="1">
        <f t="shared" si="10"/>
        <v>7.6969018699999987</v>
      </c>
      <c r="F347">
        <f t="shared" si="11"/>
        <v>0.17499999999999999</v>
      </c>
    </row>
    <row r="348" spans="1:6" x14ac:dyDescent="0.25">
      <c r="A348">
        <v>237</v>
      </c>
      <c r="B348">
        <v>120</v>
      </c>
      <c r="C348">
        <v>0.4</v>
      </c>
      <c r="D348" s="1">
        <f t="shared" si="10"/>
        <v>15.079644480000002</v>
      </c>
      <c r="F348">
        <f t="shared" si="11"/>
        <v>0.2</v>
      </c>
    </row>
    <row r="349" spans="1:6" x14ac:dyDescent="0.25">
      <c r="A349">
        <v>67</v>
      </c>
      <c r="B349">
        <v>80</v>
      </c>
      <c r="C349">
        <v>0.53</v>
      </c>
      <c r="D349" s="1">
        <f t="shared" si="10"/>
        <v>17.649467226800002</v>
      </c>
      <c r="F349">
        <f t="shared" si="11"/>
        <v>0.26500000000000001</v>
      </c>
    </row>
    <row r="350" spans="1:6" x14ac:dyDescent="0.25">
      <c r="A350">
        <v>431</v>
      </c>
      <c r="B350">
        <v>210</v>
      </c>
      <c r="C350">
        <v>0.35</v>
      </c>
      <c r="D350" s="1">
        <f t="shared" si="10"/>
        <v>20.204367408749999</v>
      </c>
      <c r="F350">
        <f t="shared" si="11"/>
        <v>0.17499999999999999</v>
      </c>
    </row>
    <row r="351" spans="1:6" x14ac:dyDescent="0.25">
      <c r="A351">
        <v>63</v>
      </c>
      <c r="B351">
        <v>105</v>
      </c>
      <c r="C351">
        <v>0.35</v>
      </c>
      <c r="D351" s="1">
        <f t="shared" si="10"/>
        <v>10.102183704374999</v>
      </c>
      <c r="F351">
        <f t="shared" si="11"/>
        <v>0.17499999999999999</v>
      </c>
    </row>
    <row r="352" spans="1:6" x14ac:dyDescent="0.25">
      <c r="A352">
        <v>62</v>
      </c>
      <c r="B352">
        <v>50</v>
      </c>
      <c r="C352">
        <v>0.35</v>
      </c>
      <c r="D352" s="1">
        <f t="shared" si="10"/>
        <v>4.8105636687499995</v>
      </c>
      <c r="F352">
        <f t="shared" si="11"/>
        <v>0.17499999999999999</v>
      </c>
    </row>
    <row r="353" spans="1:6" x14ac:dyDescent="0.25">
      <c r="A353">
        <v>521</v>
      </c>
      <c r="B353">
        <v>145</v>
      </c>
      <c r="C353">
        <v>0.35</v>
      </c>
      <c r="D353" s="1">
        <f t="shared" si="10"/>
        <v>13.950634639374998</v>
      </c>
      <c r="F353">
        <f t="shared" si="11"/>
        <v>0.17499999999999999</v>
      </c>
    </row>
    <row r="354" spans="1:6" x14ac:dyDescent="0.25">
      <c r="A354">
        <v>503</v>
      </c>
      <c r="B354">
        <v>150</v>
      </c>
      <c r="C354">
        <v>0.35</v>
      </c>
      <c r="D354" s="1">
        <f t="shared" si="10"/>
        <v>14.431691006249999</v>
      </c>
      <c r="F354">
        <f t="shared" si="11"/>
        <v>0.17499999999999999</v>
      </c>
    </row>
    <row r="355" spans="1:6" x14ac:dyDescent="0.25">
      <c r="A355">
        <v>324</v>
      </c>
      <c r="B355">
        <v>150</v>
      </c>
      <c r="C355">
        <v>0.8</v>
      </c>
      <c r="D355" s="1">
        <f t="shared" si="10"/>
        <v>75.398222400000023</v>
      </c>
      <c r="F355">
        <f t="shared" si="11"/>
        <v>0.4</v>
      </c>
    </row>
    <row r="356" spans="1:6" x14ac:dyDescent="0.25">
      <c r="A356">
        <v>523</v>
      </c>
      <c r="B356">
        <v>120</v>
      </c>
      <c r="C356">
        <v>2</v>
      </c>
      <c r="D356" s="1">
        <f t="shared" si="10"/>
        <v>376.99111199999999</v>
      </c>
      <c r="F356">
        <f t="shared" si="11"/>
        <v>1</v>
      </c>
    </row>
    <row r="357" spans="1:6" x14ac:dyDescent="0.25">
      <c r="A357">
        <v>506</v>
      </c>
      <c r="B357">
        <v>150</v>
      </c>
      <c r="C357">
        <v>0.35</v>
      </c>
      <c r="D357" s="1">
        <f t="shared" si="10"/>
        <v>14.431691006249999</v>
      </c>
      <c r="F357">
        <f t="shared" si="11"/>
        <v>0.17499999999999999</v>
      </c>
    </row>
    <row r="358" spans="1:6" x14ac:dyDescent="0.25">
      <c r="A358">
        <v>312</v>
      </c>
      <c r="B358">
        <v>75</v>
      </c>
      <c r="C358">
        <v>1.5</v>
      </c>
      <c r="D358" s="1">
        <f t="shared" si="10"/>
        <v>132.53593781250001</v>
      </c>
      <c r="F358">
        <f t="shared" si="11"/>
        <v>0.75</v>
      </c>
    </row>
    <row r="359" spans="1:6" x14ac:dyDescent="0.25">
      <c r="A359">
        <v>258</v>
      </c>
      <c r="B359">
        <v>120</v>
      </c>
      <c r="C359">
        <v>0.53</v>
      </c>
      <c r="D359" s="1">
        <f t="shared" si="10"/>
        <v>26.474200840200002</v>
      </c>
      <c r="F359">
        <f t="shared" si="11"/>
        <v>0.26500000000000001</v>
      </c>
    </row>
    <row r="360" spans="1:6" x14ac:dyDescent="0.25">
      <c r="A360">
        <v>518</v>
      </c>
      <c r="B360">
        <v>230</v>
      </c>
      <c r="C360">
        <v>0.35</v>
      </c>
      <c r="D360" s="1">
        <f t="shared" si="10"/>
        <v>22.128592876249996</v>
      </c>
      <c r="F360">
        <f t="shared" si="11"/>
        <v>0.17499999999999999</v>
      </c>
    </row>
    <row r="361" spans="1:6" x14ac:dyDescent="0.25">
      <c r="A361">
        <v>399</v>
      </c>
      <c r="B361">
        <v>225</v>
      </c>
      <c r="C361">
        <v>0.35</v>
      </c>
      <c r="D361" s="1">
        <f t="shared" si="10"/>
        <v>21.647536509374998</v>
      </c>
      <c r="F361">
        <f t="shared" si="11"/>
        <v>0.17499999999999999</v>
      </c>
    </row>
    <row r="362" spans="1:6" x14ac:dyDescent="0.25">
      <c r="A362">
        <v>36</v>
      </c>
      <c r="B362">
        <v>80</v>
      </c>
      <c r="C362">
        <v>0.53</v>
      </c>
      <c r="D362" s="1">
        <f t="shared" si="10"/>
        <v>17.649467226800002</v>
      </c>
      <c r="F362">
        <f t="shared" si="11"/>
        <v>0.26500000000000001</v>
      </c>
    </row>
    <row r="363" spans="1:6" x14ac:dyDescent="0.25">
      <c r="A363">
        <v>335</v>
      </c>
      <c r="B363">
        <v>40</v>
      </c>
      <c r="C363">
        <v>0.4</v>
      </c>
      <c r="D363" s="1">
        <f t="shared" si="10"/>
        <v>5.0265481600000008</v>
      </c>
      <c r="F363">
        <f t="shared" si="11"/>
        <v>0.2</v>
      </c>
    </row>
    <row r="364" spans="1:6" x14ac:dyDescent="0.25">
      <c r="A364">
        <v>74</v>
      </c>
      <c r="B364">
        <v>80</v>
      </c>
      <c r="C364">
        <v>1.2</v>
      </c>
      <c r="D364" s="1">
        <f t="shared" si="10"/>
        <v>90.477866879999993</v>
      </c>
      <c r="F364">
        <f t="shared" si="11"/>
        <v>0.6</v>
      </c>
    </row>
    <row r="365" spans="1:6" x14ac:dyDescent="0.25">
      <c r="A365">
        <v>396</v>
      </c>
      <c r="B365">
        <v>220</v>
      </c>
      <c r="C365">
        <v>0.35</v>
      </c>
      <c r="D365" s="1">
        <f t="shared" si="10"/>
        <v>21.166480142499999</v>
      </c>
      <c r="F365">
        <f t="shared" si="11"/>
        <v>0.17499999999999999</v>
      </c>
    </row>
    <row r="366" spans="1:6" x14ac:dyDescent="0.25">
      <c r="A366">
        <v>222</v>
      </c>
      <c r="B366">
        <v>80</v>
      </c>
      <c r="C366">
        <v>0.53</v>
      </c>
      <c r="D366" s="1">
        <f t="shared" si="10"/>
        <v>17.649467226800002</v>
      </c>
      <c r="F366">
        <f t="shared" si="11"/>
        <v>0.26500000000000001</v>
      </c>
    </row>
    <row r="367" spans="1:6" x14ac:dyDescent="0.25">
      <c r="A367">
        <v>228</v>
      </c>
      <c r="B367">
        <v>175</v>
      </c>
      <c r="C367">
        <v>0.35</v>
      </c>
      <c r="D367" s="1">
        <f t="shared" si="10"/>
        <v>16.836972840624998</v>
      </c>
      <c r="F367">
        <f t="shared" si="11"/>
        <v>0.17499999999999999</v>
      </c>
    </row>
    <row r="368" spans="1:6" x14ac:dyDescent="0.25">
      <c r="A368">
        <v>236</v>
      </c>
      <c r="B368">
        <v>120</v>
      </c>
      <c r="C368">
        <v>0.53</v>
      </c>
      <c r="D368" s="1">
        <f t="shared" si="10"/>
        <v>26.474200840200002</v>
      </c>
      <c r="F368">
        <f t="shared" si="11"/>
        <v>0.26500000000000001</v>
      </c>
    </row>
    <row r="369" spans="1:6" x14ac:dyDescent="0.25">
      <c r="A369">
        <v>66</v>
      </c>
      <c r="B369">
        <v>270</v>
      </c>
      <c r="C369">
        <v>0.35</v>
      </c>
      <c r="D369" s="1">
        <f t="shared" si="10"/>
        <v>25.977043811249995</v>
      </c>
      <c r="F369">
        <f t="shared" si="11"/>
        <v>0.17499999999999999</v>
      </c>
    </row>
    <row r="370" spans="1:6" x14ac:dyDescent="0.25">
      <c r="A370">
        <v>65</v>
      </c>
      <c r="B370">
        <v>250</v>
      </c>
      <c r="C370">
        <v>0.35</v>
      </c>
      <c r="D370" s="1">
        <f t="shared" si="10"/>
        <v>24.052818343749998</v>
      </c>
      <c r="F370">
        <f t="shared" si="11"/>
        <v>0.17499999999999999</v>
      </c>
    </row>
    <row r="371" spans="1:6" x14ac:dyDescent="0.25">
      <c r="A371">
        <v>64</v>
      </c>
      <c r="B371">
        <v>165</v>
      </c>
      <c r="C371">
        <v>0.35</v>
      </c>
      <c r="D371" s="1">
        <f t="shared" si="10"/>
        <v>15.874860106874999</v>
      </c>
      <c r="F371">
        <f t="shared" si="11"/>
        <v>0.17499999999999999</v>
      </c>
    </row>
    <row r="372" spans="1:6" x14ac:dyDescent="0.25">
      <c r="A372">
        <v>517</v>
      </c>
      <c r="B372">
        <v>160</v>
      </c>
      <c r="C372">
        <v>0.35</v>
      </c>
      <c r="D372" s="1">
        <f t="shared" si="10"/>
        <v>15.393803739999997</v>
      </c>
      <c r="F372">
        <f t="shared" si="11"/>
        <v>0.17499999999999999</v>
      </c>
    </row>
    <row r="373" spans="1:6" x14ac:dyDescent="0.25">
      <c r="A373">
        <v>325</v>
      </c>
      <c r="B373">
        <v>75</v>
      </c>
      <c r="C373">
        <v>0.8</v>
      </c>
      <c r="D373" s="1">
        <f t="shared" si="10"/>
        <v>37.699111200000011</v>
      </c>
      <c r="F373">
        <f t="shared" si="11"/>
        <v>0.4</v>
      </c>
    </row>
    <row r="374" spans="1:6" x14ac:dyDescent="0.25">
      <c r="A374">
        <v>313</v>
      </c>
      <c r="B374">
        <v>75</v>
      </c>
      <c r="C374">
        <v>1.5</v>
      </c>
      <c r="D374" s="1">
        <f t="shared" si="10"/>
        <v>132.53593781250001</v>
      </c>
      <c r="F374">
        <f t="shared" si="11"/>
        <v>0.75</v>
      </c>
    </row>
    <row r="375" spans="1:6" x14ac:dyDescent="0.25">
      <c r="A375">
        <v>259</v>
      </c>
      <c r="B375">
        <v>120</v>
      </c>
      <c r="C375">
        <v>0.35</v>
      </c>
      <c r="D375" s="1">
        <f t="shared" si="10"/>
        <v>11.545352804999998</v>
      </c>
      <c r="F375">
        <f t="shared" si="11"/>
        <v>0.17499999999999999</v>
      </c>
    </row>
    <row r="376" spans="1:6" x14ac:dyDescent="0.25">
      <c r="A376">
        <v>516</v>
      </c>
      <c r="B376">
        <v>220</v>
      </c>
      <c r="C376">
        <v>1.2</v>
      </c>
      <c r="D376" s="1">
        <f t="shared" si="10"/>
        <v>248.81413392000002</v>
      </c>
      <c r="F376">
        <f t="shared" si="11"/>
        <v>0.6</v>
      </c>
    </row>
    <row r="377" spans="1:6" x14ac:dyDescent="0.25">
      <c r="A377">
        <v>397</v>
      </c>
      <c r="B377">
        <v>225</v>
      </c>
      <c r="C377">
        <v>1.2</v>
      </c>
      <c r="D377" s="1">
        <f t="shared" si="10"/>
        <v>254.46900059999999</v>
      </c>
      <c r="F377">
        <f t="shared" si="11"/>
        <v>0.6</v>
      </c>
    </row>
    <row r="378" spans="1:6" x14ac:dyDescent="0.25">
      <c r="A378">
        <v>34</v>
      </c>
      <c r="B378">
        <v>80</v>
      </c>
      <c r="C378">
        <v>0.53</v>
      </c>
      <c r="D378" s="1">
        <f t="shared" si="10"/>
        <v>17.649467226800002</v>
      </c>
      <c r="F378">
        <f t="shared" si="11"/>
        <v>0.26500000000000001</v>
      </c>
    </row>
    <row r="379" spans="1:6" x14ac:dyDescent="0.25">
      <c r="A379">
        <v>334</v>
      </c>
      <c r="B379">
        <v>110</v>
      </c>
      <c r="C379">
        <v>2</v>
      </c>
      <c r="D379" s="1">
        <f t="shared" si="10"/>
        <v>345.57518600000003</v>
      </c>
      <c r="F379">
        <f t="shared" si="11"/>
        <v>1</v>
      </c>
    </row>
    <row r="380" spans="1:6" x14ac:dyDescent="0.25">
      <c r="A380">
        <v>73</v>
      </c>
      <c r="B380">
        <v>80</v>
      </c>
      <c r="C380">
        <v>1.2</v>
      </c>
      <c r="D380" s="1">
        <f t="shared" si="10"/>
        <v>90.477866879999993</v>
      </c>
      <c r="F380">
        <f t="shared" si="11"/>
        <v>0.6</v>
      </c>
    </row>
    <row r="381" spans="1:6" x14ac:dyDescent="0.25">
      <c r="A381">
        <v>394</v>
      </c>
      <c r="B381">
        <v>220</v>
      </c>
      <c r="C381">
        <v>0.35</v>
      </c>
      <c r="D381" s="1">
        <f t="shared" si="10"/>
        <v>21.166480142499999</v>
      </c>
      <c r="F381">
        <f t="shared" si="11"/>
        <v>0.17499999999999999</v>
      </c>
    </row>
    <row r="382" spans="1:6" x14ac:dyDescent="0.25">
      <c r="A382">
        <v>225</v>
      </c>
      <c r="B382">
        <v>80</v>
      </c>
      <c r="C382">
        <v>0.53</v>
      </c>
      <c r="D382" s="1">
        <f t="shared" si="10"/>
        <v>17.649467226800002</v>
      </c>
      <c r="F382">
        <f t="shared" si="11"/>
        <v>0.26500000000000001</v>
      </c>
    </row>
    <row r="383" spans="1:6" x14ac:dyDescent="0.25">
      <c r="A383">
        <v>480</v>
      </c>
      <c r="B383">
        <v>175</v>
      </c>
      <c r="C383">
        <v>0.35</v>
      </c>
      <c r="D383" s="1">
        <f t="shared" si="10"/>
        <v>16.836972840624998</v>
      </c>
      <c r="F383">
        <f t="shared" si="11"/>
        <v>0.17499999999999999</v>
      </c>
    </row>
    <row r="384" spans="1:6" x14ac:dyDescent="0.25">
      <c r="A384">
        <v>389</v>
      </c>
      <c r="B384">
        <v>80</v>
      </c>
      <c r="C384">
        <v>0.35</v>
      </c>
      <c r="D384" s="1">
        <f t="shared" si="10"/>
        <v>7.6969018699999987</v>
      </c>
      <c r="F384">
        <f t="shared" si="11"/>
        <v>0.17499999999999999</v>
      </c>
    </row>
    <row r="385" spans="1:6" x14ac:dyDescent="0.25">
      <c r="A385">
        <v>234</v>
      </c>
      <c r="B385">
        <v>120</v>
      </c>
      <c r="C385">
        <v>0.35</v>
      </c>
      <c r="D385" s="1">
        <f t="shared" si="10"/>
        <v>11.545352804999998</v>
      </c>
      <c r="F385">
        <f t="shared" si="11"/>
        <v>0.17499999999999999</v>
      </c>
    </row>
    <row r="386" spans="1:6" x14ac:dyDescent="0.25">
      <c r="A386">
        <v>386</v>
      </c>
      <c r="B386">
        <v>200</v>
      </c>
      <c r="C386">
        <v>0.35</v>
      </c>
      <c r="D386" s="1">
        <f t="shared" si="10"/>
        <v>19.242254674999998</v>
      </c>
      <c r="F386">
        <f t="shared" si="11"/>
        <v>0.17499999999999999</v>
      </c>
    </row>
    <row r="387" spans="1:6" x14ac:dyDescent="0.25">
      <c r="A387">
        <v>1</v>
      </c>
      <c r="B387">
        <v>120</v>
      </c>
      <c r="C387">
        <v>0.35</v>
      </c>
      <c r="D387" s="1">
        <f t="shared" si="10"/>
        <v>11.545352804999998</v>
      </c>
      <c r="F387">
        <f t="shared" si="11"/>
        <v>0.17499999999999999</v>
      </c>
    </row>
    <row r="388" spans="1:6" x14ac:dyDescent="0.25">
      <c r="A388">
        <v>387</v>
      </c>
      <c r="B388">
        <v>80</v>
      </c>
      <c r="C388">
        <v>0.35</v>
      </c>
      <c r="D388" s="1">
        <f t="shared" ref="D388:D451" si="12">3.1415926*$B388*(($C388/2)^2)</f>
        <v>7.6969018699999987</v>
      </c>
      <c r="F388">
        <f t="shared" ref="F388:F451" si="13">$C388/$F$1</f>
        <v>0.17499999999999999</v>
      </c>
    </row>
    <row r="389" spans="1:6" x14ac:dyDescent="0.25">
      <c r="A389">
        <v>515</v>
      </c>
      <c r="B389">
        <v>170</v>
      </c>
      <c r="C389">
        <v>0.35</v>
      </c>
      <c r="D389" s="1">
        <f t="shared" si="12"/>
        <v>16.355916473749996</v>
      </c>
      <c r="F389">
        <f t="shared" si="13"/>
        <v>0.17499999999999999</v>
      </c>
    </row>
    <row r="390" spans="1:6" x14ac:dyDescent="0.25">
      <c r="A390">
        <v>502</v>
      </c>
      <c r="B390">
        <v>150</v>
      </c>
      <c r="C390">
        <v>0.35</v>
      </c>
      <c r="D390" s="1">
        <f t="shared" si="12"/>
        <v>14.431691006249999</v>
      </c>
      <c r="F390">
        <f t="shared" si="13"/>
        <v>0.17499999999999999</v>
      </c>
    </row>
    <row r="391" spans="1:6" x14ac:dyDescent="0.25">
      <c r="A391">
        <v>326</v>
      </c>
      <c r="B391">
        <v>75</v>
      </c>
      <c r="C391">
        <v>0.8</v>
      </c>
      <c r="D391" s="1">
        <f t="shared" si="12"/>
        <v>37.699111200000011</v>
      </c>
      <c r="F391">
        <f t="shared" si="13"/>
        <v>0.4</v>
      </c>
    </row>
    <row r="392" spans="1:6" x14ac:dyDescent="0.25">
      <c r="A392">
        <v>311</v>
      </c>
      <c r="B392">
        <v>75</v>
      </c>
      <c r="C392">
        <v>1.5</v>
      </c>
      <c r="D392" s="1">
        <f t="shared" si="12"/>
        <v>132.53593781250001</v>
      </c>
      <c r="F392">
        <f t="shared" si="13"/>
        <v>0.75</v>
      </c>
    </row>
    <row r="393" spans="1:6" x14ac:dyDescent="0.25">
      <c r="A393">
        <v>260</v>
      </c>
      <c r="B393">
        <v>120</v>
      </c>
      <c r="C393">
        <v>0.4</v>
      </c>
      <c r="D393" s="1">
        <f t="shared" si="12"/>
        <v>15.079644480000002</v>
      </c>
      <c r="F393">
        <f t="shared" si="13"/>
        <v>0.2</v>
      </c>
    </row>
    <row r="394" spans="1:6" x14ac:dyDescent="0.25">
      <c r="A394">
        <v>514</v>
      </c>
      <c r="B394">
        <v>220</v>
      </c>
      <c r="C394">
        <v>1.2</v>
      </c>
      <c r="D394" s="1">
        <f t="shared" si="12"/>
        <v>248.81413392000002</v>
      </c>
      <c r="F394">
        <f t="shared" si="13"/>
        <v>0.6</v>
      </c>
    </row>
    <row r="395" spans="1:6" x14ac:dyDescent="0.25">
      <c r="A395">
        <v>395</v>
      </c>
      <c r="B395">
        <v>225</v>
      </c>
      <c r="C395">
        <v>1.2</v>
      </c>
      <c r="D395" s="1">
        <f t="shared" si="12"/>
        <v>254.46900059999999</v>
      </c>
      <c r="F395">
        <f t="shared" si="13"/>
        <v>0.6</v>
      </c>
    </row>
    <row r="396" spans="1:6" x14ac:dyDescent="0.25">
      <c r="A396">
        <v>33</v>
      </c>
      <c r="B396">
        <v>80</v>
      </c>
      <c r="C396">
        <v>0.53</v>
      </c>
      <c r="D396" s="1">
        <f t="shared" si="12"/>
        <v>17.649467226800002</v>
      </c>
      <c r="F396">
        <f t="shared" si="13"/>
        <v>0.26500000000000001</v>
      </c>
    </row>
    <row r="397" spans="1:6" x14ac:dyDescent="0.25">
      <c r="A397">
        <v>333</v>
      </c>
      <c r="B397">
        <v>80</v>
      </c>
      <c r="C397">
        <v>0.4</v>
      </c>
      <c r="D397" s="1">
        <f t="shared" si="12"/>
        <v>10.053096320000002</v>
      </c>
      <c r="F397">
        <f t="shared" si="13"/>
        <v>0.2</v>
      </c>
    </row>
    <row r="398" spans="1:6" x14ac:dyDescent="0.25">
      <c r="A398">
        <v>72</v>
      </c>
      <c r="B398">
        <v>80</v>
      </c>
      <c r="C398">
        <v>1.2</v>
      </c>
      <c r="D398" s="1">
        <f t="shared" si="12"/>
        <v>90.477866879999993</v>
      </c>
      <c r="F398">
        <f t="shared" si="13"/>
        <v>0.6</v>
      </c>
    </row>
    <row r="399" spans="1:6" x14ac:dyDescent="0.25">
      <c r="A399">
        <v>478</v>
      </c>
      <c r="B399">
        <v>210</v>
      </c>
      <c r="C399">
        <v>0.35</v>
      </c>
      <c r="D399" s="1">
        <f t="shared" si="12"/>
        <v>20.204367408749999</v>
      </c>
      <c r="F399">
        <f t="shared" si="13"/>
        <v>0.17499999999999999</v>
      </c>
    </row>
    <row r="400" spans="1:6" x14ac:dyDescent="0.25">
      <c r="A400">
        <v>392</v>
      </c>
      <c r="B400">
        <v>220</v>
      </c>
      <c r="C400">
        <v>0.35</v>
      </c>
      <c r="D400" s="1">
        <f t="shared" si="12"/>
        <v>21.166480142499999</v>
      </c>
      <c r="F400">
        <f t="shared" si="13"/>
        <v>0.17499999999999999</v>
      </c>
    </row>
    <row r="401" spans="1:6" x14ac:dyDescent="0.25">
      <c r="A401">
        <v>226</v>
      </c>
      <c r="B401">
        <v>80</v>
      </c>
      <c r="C401">
        <v>0.53</v>
      </c>
      <c r="D401" s="1">
        <f t="shared" si="12"/>
        <v>17.649467226800002</v>
      </c>
      <c r="F401">
        <f t="shared" si="13"/>
        <v>0.26500000000000001</v>
      </c>
    </row>
    <row r="402" spans="1:6" x14ac:dyDescent="0.25">
      <c r="A402">
        <v>513</v>
      </c>
      <c r="B402">
        <v>180</v>
      </c>
      <c r="C402">
        <v>0.35</v>
      </c>
      <c r="D402" s="1">
        <f t="shared" si="12"/>
        <v>17.318029207499997</v>
      </c>
      <c r="F402">
        <f t="shared" si="13"/>
        <v>0.17499999999999999</v>
      </c>
    </row>
    <row r="403" spans="1:6" x14ac:dyDescent="0.25">
      <c r="A403">
        <v>327</v>
      </c>
      <c r="B403">
        <v>75</v>
      </c>
      <c r="C403">
        <v>0.8</v>
      </c>
      <c r="D403" s="1">
        <f t="shared" si="12"/>
        <v>37.699111200000011</v>
      </c>
      <c r="F403">
        <f t="shared" si="13"/>
        <v>0.4</v>
      </c>
    </row>
    <row r="404" spans="1:6" x14ac:dyDescent="0.25">
      <c r="A404">
        <v>507</v>
      </c>
      <c r="B404">
        <v>150</v>
      </c>
      <c r="C404">
        <v>0.35</v>
      </c>
      <c r="D404" s="1">
        <f t="shared" si="12"/>
        <v>14.431691006249999</v>
      </c>
      <c r="F404">
        <f t="shared" si="13"/>
        <v>0.17499999999999999</v>
      </c>
    </row>
    <row r="405" spans="1:6" x14ac:dyDescent="0.25">
      <c r="A405">
        <v>310</v>
      </c>
      <c r="B405">
        <v>75</v>
      </c>
      <c r="C405">
        <v>1.5</v>
      </c>
      <c r="D405" s="1">
        <f t="shared" si="12"/>
        <v>132.53593781250001</v>
      </c>
      <c r="F405">
        <f t="shared" si="13"/>
        <v>0.75</v>
      </c>
    </row>
    <row r="406" spans="1:6" x14ac:dyDescent="0.25">
      <c r="A406">
        <v>261</v>
      </c>
      <c r="B406">
        <v>120</v>
      </c>
      <c r="C406">
        <v>0.35</v>
      </c>
      <c r="D406" s="1">
        <f t="shared" si="12"/>
        <v>11.545352804999998</v>
      </c>
      <c r="F406">
        <f t="shared" si="13"/>
        <v>0.17499999999999999</v>
      </c>
    </row>
    <row r="407" spans="1:6" x14ac:dyDescent="0.25">
      <c r="A407">
        <v>512</v>
      </c>
      <c r="B407">
        <v>220</v>
      </c>
      <c r="C407">
        <v>0.35</v>
      </c>
      <c r="D407" s="1">
        <f t="shared" si="12"/>
        <v>21.166480142499999</v>
      </c>
      <c r="F407">
        <f t="shared" si="13"/>
        <v>0.17499999999999999</v>
      </c>
    </row>
    <row r="408" spans="1:6" x14ac:dyDescent="0.25">
      <c r="A408">
        <v>393</v>
      </c>
      <c r="B408">
        <v>225</v>
      </c>
      <c r="C408">
        <v>0.35</v>
      </c>
      <c r="D408" s="1">
        <f t="shared" si="12"/>
        <v>21.647536509374998</v>
      </c>
      <c r="F408">
        <f t="shared" si="13"/>
        <v>0.17499999999999999</v>
      </c>
    </row>
    <row r="409" spans="1:6" x14ac:dyDescent="0.25">
      <c r="A409">
        <v>32</v>
      </c>
      <c r="B409">
        <v>120</v>
      </c>
      <c r="C409">
        <v>0.53</v>
      </c>
      <c r="D409" s="1">
        <f t="shared" si="12"/>
        <v>26.474200840200002</v>
      </c>
      <c r="F409">
        <f t="shared" si="13"/>
        <v>0.26500000000000001</v>
      </c>
    </row>
    <row r="410" spans="1:6" x14ac:dyDescent="0.25">
      <c r="A410">
        <v>332</v>
      </c>
      <c r="B410">
        <v>80</v>
      </c>
      <c r="C410">
        <v>0.35</v>
      </c>
      <c r="D410" s="1">
        <f t="shared" si="12"/>
        <v>7.6969018699999987</v>
      </c>
      <c r="F410">
        <f t="shared" si="13"/>
        <v>0.17499999999999999</v>
      </c>
    </row>
    <row r="411" spans="1:6" x14ac:dyDescent="0.25">
      <c r="A411">
        <v>71</v>
      </c>
      <c r="B411">
        <v>80</v>
      </c>
      <c r="C411">
        <v>1.2</v>
      </c>
      <c r="D411" s="1">
        <f t="shared" si="12"/>
        <v>90.477866879999993</v>
      </c>
      <c r="F411">
        <f t="shared" si="13"/>
        <v>0.6</v>
      </c>
    </row>
    <row r="412" spans="1:6" x14ac:dyDescent="0.25">
      <c r="A412">
        <v>227</v>
      </c>
      <c r="B412">
        <v>150</v>
      </c>
      <c r="C412">
        <v>0.53</v>
      </c>
      <c r="D412" s="1">
        <f t="shared" si="12"/>
        <v>33.092751050250008</v>
      </c>
      <c r="F412">
        <f t="shared" si="13"/>
        <v>0.26500000000000001</v>
      </c>
    </row>
    <row r="413" spans="1:6" x14ac:dyDescent="0.25">
      <c r="A413">
        <v>511</v>
      </c>
      <c r="B413">
        <v>190</v>
      </c>
      <c r="C413">
        <v>0.35</v>
      </c>
      <c r="D413" s="1">
        <f t="shared" si="12"/>
        <v>18.280141941249997</v>
      </c>
      <c r="F413">
        <f t="shared" si="13"/>
        <v>0.17499999999999999</v>
      </c>
    </row>
    <row r="414" spans="1:6" x14ac:dyDescent="0.25">
      <c r="A414">
        <v>501</v>
      </c>
      <c r="B414">
        <v>150</v>
      </c>
      <c r="C414">
        <v>0.35</v>
      </c>
      <c r="D414" s="1">
        <f t="shared" si="12"/>
        <v>14.431691006249999</v>
      </c>
      <c r="F414">
        <f t="shared" si="13"/>
        <v>0.17499999999999999</v>
      </c>
    </row>
    <row r="415" spans="1:6" x14ac:dyDescent="0.25">
      <c r="A415">
        <v>329</v>
      </c>
      <c r="B415">
        <v>75</v>
      </c>
      <c r="C415">
        <v>0.8</v>
      </c>
      <c r="D415" s="1">
        <f t="shared" si="12"/>
        <v>37.699111200000011</v>
      </c>
      <c r="F415">
        <f t="shared" si="13"/>
        <v>0.4</v>
      </c>
    </row>
    <row r="416" spans="1:6" x14ac:dyDescent="0.25">
      <c r="A416">
        <v>309</v>
      </c>
      <c r="B416">
        <v>75</v>
      </c>
      <c r="C416">
        <v>1.2</v>
      </c>
      <c r="D416" s="1">
        <f t="shared" si="12"/>
        <v>84.823000199999996</v>
      </c>
      <c r="F416">
        <f t="shared" si="13"/>
        <v>0.6</v>
      </c>
    </row>
    <row r="417" spans="1:6" x14ac:dyDescent="0.25">
      <c r="A417">
        <v>262</v>
      </c>
      <c r="B417">
        <v>120</v>
      </c>
      <c r="C417">
        <v>0.35</v>
      </c>
      <c r="D417" s="1">
        <f t="shared" si="12"/>
        <v>11.545352804999998</v>
      </c>
      <c r="F417">
        <f t="shared" si="13"/>
        <v>0.17499999999999999</v>
      </c>
    </row>
    <row r="418" spans="1:6" x14ac:dyDescent="0.25">
      <c r="A418">
        <v>510</v>
      </c>
      <c r="B418">
        <v>220</v>
      </c>
      <c r="C418">
        <v>0.35</v>
      </c>
      <c r="D418" s="1">
        <f t="shared" si="12"/>
        <v>21.166480142499999</v>
      </c>
      <c r="F418">
        <f t="shared" si="13"/>
        <v>0.17499999999999999</v>
      </c>
    </row>
    <row r="419" spans="1:6" x14ac:dyDescent="0.25">
      <c r="A419">
        <v>31</v>
      </c>
      <c r="B419">
        <v>40</v>
      </c>
      <c r="C419">
        <v>0.53</v>
      </c>
      <c r="D419" s="1">
        <f t="shared" si="12"/>
        <v>8.8247336134000012</v>
      </c>
      <c r="F419">
        <f t="shared" si="13"/>
        <v>0.26500000000000001</v>
      </c>
    </row>
    <row r="420" spans="1:6" x14ac:dyDescent="0.25">
      <c r="A420">
        <v>331</v>
      </c>
      <c r="B420">
        <v>80</v>
      </c>
      <c r="C420">
        <v>0.35</v>
      </c>
      <c r="D420" s="1">
        <f t="shared" si="12"/>
        <v>7.6969018699999987</v>
      </c>
      <c r="F420">
        <f t="shared" si="13"/>
        <v>0.17499999999999999</v>
      </c>
    </row>
    <row r="421" spans="1:6" x14ac:dyDescent="0.25">
      <c r="A421">
        <v>479</v>
      </c>
      <c r="B421">
        <v>225</v>
      </c>
      <c r="C421">
        <v>0.35</v>
      </c>
      <c r="D421" s="1">
        <f t="shared" si="12"/>
        <v>21.647536509374998</v>
      </c>
      <c r="F421">
        <f t="shared" si="13"/>
        <v>0.17499999999999999</v>
      </c>
    </row>
    <row r="422" spans="1:6" x14ac:dyDescent="0.25">
      <c r="A422">
        <v>70</v>
      </c>
      <c r="B422">
        <v>110</v>
      </c>
      <c r="C422">
        <v>1.2</v>
      </c>
      <c r="D422" s="1">
        <f t="shared" si="12"/>
        <v>124.40706696000001</v>
      </c>
      <c r="F422">
        <f t="shared" si="13"/>
        <v>0.6</v>
      </c>
    </row>
    <row r="423" spans="1:6" x14ac:dyDescent="0.25">
      <c r="A423">
        <v>390</v>
      </c>
      <c r="B423">
        <v>280</v>
      </c>
      <c r="C423">
        <v>0.35</v>
      </c>
      <c r="D423" s="1">
        <f t="shared" si="12"/>
        <v>26.939156544999996</v>
      </c>
      <c r="F423">
        <f t="shared" si="13"/>
        <v>0.17499999999999999</v>
      </c>
    </row>
    <row r="424" spans="1:6" x14ac:dyDescent="0.25">
      <c r="A424">
        <v>273</v>
      </c>
      <c r="B424">
        <v>800</v>
      </c>
      <c r="C424">
        <v>0.35</v>
      </c>
      <c r="D424" s="1">
        <f t="shared" si="12"/>
        <v>76.969018699999992</v>
      </c>
      <c r="F424">
        <f t="shared" si="13"/>
        <v>0.17499999999999999</v>
      </c>
    </row>
    <row r="425" spans="1:6" x14ac:dyDescent="0.25">
      <c r="A425">
        <v>509</v>
      </c>
      <c r="B425">
        <v>195</v>
      </c>
      <c r="C425">
        <v>0.35</v>
      </c>
      <c r="D425" s="1">
        <f t="shared" si="12"/>
        <v>18.761198308124996</v>
      </c>
      <c r="F425">
        <f t="shared" si="13"/>
        <v>0.17499999999999999</v>
      </c>
    </row>
    <row r="426" spans="1:6" x14ac:dyDescent="0.25">
      <c r="A426">
        <v>500</v>
      </c>
      <c r="B426">
        <v>150</v>
      </c>
      <c r="C426">
        <v>0.35</v>
      </c>
      <c r="D426" s="1">
        <f t="shared" si="12"/>
        <v>14.431691006249999</v>
      </c>
      <c r="F426">
        <f t="shared" si="13"/>
        <v>0.17499999999999999</v>
      </c>
    </row>
    <row r="427" spans="1:6" x14ac:dyDescent="0.25">
      <c r="A427">
        <v>299</v>
      </c>
      <c r="B427">
        <v>80</v>
      </c>
      <c r="C427">
        <v>0.8</v>
      </c>
      <c r="D427" s="1">
        <f t="shared" si="12"/>
        <v>40.212385280000007</v>
      </c>
      <c r="F427">
        <f t="shared" si="13"/>
        <v>0.4</v>
      </c>
    </row>
    <row r="428" spans="1:6" x14ac:dyDescent="0.25">
      <c r="A428">
        <v>508</v>
      </c>
      <c r="B428">
        <v>150</v>
      </c>
      <c r="C428">
        <v>0.35</v>
      </c>
      <c r="D428" s="1">
        <f t="shared" si="12"/>
        <v>14.431691006249999</v>
      </c>
      <c r="F428">
        <f t="shared" si="13"/>
        <v>0.17499999999999999</v>
      </c>
    </row>
    <row r="429" spans="1:6" x14ac:dyDescent="0.25">
      <c r="A429">
        <v>308</v>
      </c>
      <c r="B429">
        <v>75</v>
      </c>
      <c r="C429">
        <v>1.2</v>
      </c>
      <c r="D429" s="1">
        <f t="shared" si="12"/>
        <v>84.823000199999996</v>
      </c>
      <c r="F429">
        <f t="shared" si="13"/>
        <v>0.6</v>
      </c>
    </row>
    <row r="430" spans="1:6" x14ac:dyDescent="0.25">
      <c r="A430">
        <v>263</v>
      </c>
      <c r="B430">
        <v>120</v>
      </c>
      <c r="C430">
        <v>0.4</v>
      </c>
      <c r="D430" s="1">
        <f t="shared" si="12"/>
        <v>15.079644480000002</v>
      </c>
      <c r="F430">
        <f t="shared" si="13"/>
        <v>0.2</v>
      </c>
    </row>
    <row r="431" spans="1:6" x14ac:dyDescent="0.25">
      <c r="A431">
        <v>391</v>
      </c>
      <c r="B431">
        <v>225</v>
      </c>
      <c r="C431">
        <v>0.35</v>
      </c>
      <c r="D431" s="1">
        <f t="shared" si="12"/>
        <v>21.647536509374998</v>
      </c>
      <c r="F431">
        <f t="shared" si="13"/>
        <v>0.17499999999999999</v>
      </c>
    </row>
    <row r="432" spans="1:6" x14ac:dyDescent="0.25">
      <c r="A432">
        <v>30</v>
      </c>
      <c r="B432">
        <v>80</v>
      </c>
      <c r="C432">
        <v>0.53</v>
      </c>
      <c r="D432" s="1">
        <f t="shared" si="12"/>
        <v>17.649467226800002</v>
      </c>
      <c r="F432">
        <f t="shared" si="13"/>
        <v>0.26500000000000001</v>
      </c>
    </row>
    <row r="433" spans="1:6" x14ac:dyDescent="0.25">
      <c r="A433">
        <v>330</v>
      </c>
      <c r="B433">
        <v>80</v>
      </c>
      <c r="C433">
        <v>0.35</v>
      </c>
      <c r="D433" s="1">
        <f t="shared" si="12"/>
        <v>7.6969018699999987</v>
      </c>
      <c r="F433">
        <f t="shared" si="13"/>
        <v>0.17499999999999999</v>
      </c>
    </row>
    <row r="434" spans="1:6" x14ac:dyDescent="0.25">
      <c r="A434">
        <v>29</v>
      </c>
      <c r="B434">
        <v>230</v>
      </c>
      <c r="C434">
        <v>1.2</v>
      </c>
      <c r="D434" s="1">
        <f t="shared" si="12"/>
        <v>260.12386727999996</v>
      </c>
      <c r="F434">
        <f t="shared" si="13"/>
        <v>0.6</v>
      </c>
    </row>
    <row r="435" spans="1:6" x14ac:dyDescent="0.25">
      <c r="A435">
        <v>495</v>
      </c>
      <c r="B435">
        <v>200</v>
      </c>
      <c r="C435">
        <v>0.35</v>
      </c>
      <c r="D435" s="1">
        <f t="shared" si="12"/>
        <v>19.242254674999998</v>
      </c>
      <c r="F435">
        <f t="shared" si="13"/>
        <v>0.17499999999999999</v>
      </c>
    </row>
    <row r="436" spans="1:6" x14ac:dyDescent="0.25">
      <c r="A436">
        <v>486</v>
      </c>
      <c r="B436">
        <v>150</v>
      </c>
      <c r="C436">
        <v>0.35</v>
      </c>
      <c r="D436" s="1">
        <f t="shared" si="12"/>
        <v>14.431691006249999</v>
      </c>
      <c r="F436">
        <f t="shared" si="13"/>
        <v>0.17499999999999999</v>
      </c>
    </row>
    <row r="437" spans="1:6" x14ac:dyDescent="0.25">
      <c r="A437">
        <v>298</v>
      </c>
      <c r="B437">
        <v>80</v>
      </c>
      <c r="C437">
        <v>0.5</v>
      </c>
      <c r="D437" s="1">
        <f t="shared" si="12"/>
        <v>15.707962999999999</v>
      </c>
      <c r="F437">
        <f t="shared" si="13"/>
        <v>0.25</v>
      </c>
    </row>
    <row r="438" spans="1:6" x14ac:dyDescent="0.25">
      <c r="A438">
        <v>307</v>
      </c>
      <c r="B438">
        <v>75</v>
      </c>
      <c r="C438">
        <v>1.2</v>
      </c>
      <c r="D438" s="1">
        <f t="shared" si="12"/>
        <v>84.823000199999996</v>
      </c>
      <c r="F438">
        <f t="shared" si="13"/>
        <v>0.6</v>
      </c>
    </row>
    <row r="439" spans="1:6" x14ac:dyDescent="0.25">
      <c r="A439">
        <v>264</v>
      </c>
      <c r="B439">
        <v>120</v>
      </c>
      <c r="C439">
        <v>0.35</v>
      </c>
      <c r="D439" s="1">
        <f t="shared" si="12"/>
        <v>11.545352804999998</v>
      </c>
      <c r="F439">
        <f t="shared" si="13"/>
        <v>0.17499999999999999</v>
      </c>
    </row>
    <row r="440" spans="1:6" x14ac:dyDescent="0.25">
      <c r="A440">
        <v>300</v>
      </c>
      <c r="B440">
        <v>220</v>
      </c>
      <c r="C440">
        <v>0.53</v>
      </c>
      <c r="D440" s="1">
        <f t="shared" si="12"/>
        <v>48.536034873700011</v>
      </c>
      <c r="F440">
        <f t="shared" si="13"/>
        <v>0.26500000000000001</v>
      </c>
    </row>
    <row r="441" spans="1:6" x14ac:dyDescent="0.25">
      <c r="A441">
        <v>496</v>
      </c>
      <c r="B441">
        <v>80</v>
      </c>
      <c r="C441">
        <v>0.35</v>
      </c>
      <c r="D441" s="1">
        <f t="shared" si="12"/>
        <v>7.6969018699999987</v>
      </c>
      <c r="F441">
        <f t="shared" si="13"/>
        <v>0.17499999999999999</v>
      </c>
    </row>
    <row r="442" spans="1:6" x14ac:dyDescent="0.25">
      <c r="A442">
        <v>372</v>
      </c>
      <c r="B442">
        <v>80</v>
      </c>
      <c r="C442">
        <v>0.35</v>
      </c>
      <c r="D442" s="1">
        <f t="shared" si="12"/>
        <v>7.6969018699999987</v>
      </c>
      <c r="F442">
        <f t="shared" si="13"/>
        <v>0.17499999999999999</v>
      </c>
    </row>
    <row r="443" spans="1:6" x14ac:dyDescent="0.25">
      <c r="A443">
        <v>303</v>
      </c>
      <c r="B443">
        <v>200</v>
      </c>
      <c r="C443">
        <v>1.2</v>
      </c>
      <c r="D443" s="1">
        <f t="shared" si="12"/>
        <v>226.1946672</v>
      </c>
      <c r="F443">
        <f t="shared" si="13"/>
        <v>0.6</v>
      </c>
    </row>
    <row r="444" spans="1:6" x14ac:dyDescent="0.25">
      <c r="A444">
        <v>497</v>
      </c>
      <c r="B444">
        <v>210</v>
      </c>
      <c r="C444">
        <v>0.35</v>
      </c>
      <c r="D444" s="1">
        <f t="shared" si="12"/>
        <v>20.204367408749999</v>
      </c>
      <c r="F444">
        <f t="shared" si="13"/>
        <v>0.17499999999999999</v>
      </c>
    </row>
    <row r="445" spans="1:6" x14ac:dyDescent="0.25">
      <c r="A445">
        <v>487</v>
      </c>
      <c r="B445">
        <v>150</v>
      </c>
      <c r="C445">
        <v>0.35</v>
      </c>
      <c r="D445" s="1">
        <f t="shared" si="12"/>
        <v>14.431691006249999</v>
      </c>
      <c r="F445">
        <f t="shared" si="13"/>
        <v>0.17499999999999999</v>
      </c>
    </row>
    <row r="446" spans="1:6" x14ac:dyDescent="0.25">
      <c r="A446">
        <v>297</v>
      </c>
      <c r="B446">
        <v>80</v>
      </c>
      <c r="C446">
        <v>0.4</v>
      </c>
      <c r="D446" s="1">
        <f t="shared" si="12"/>
        <v>10.053096320000002</v>
      </c>
      <c r="F446">
        <f t="shared" si="13"/>
        <v>0.2</v>
      </c>
    </row>
    <row r="447" spans="1:6" x14ac:dyDescent="0.25">
      <c r="A447">
        <v>282</v>
      </c>
      <c r="B447">
        <v>75</v>
      </c>
      <c r="C447">
        <v>1.2</v>
      </c>
      <c r="D447" s="1">
        <f t="shared" si="12"/>
        <v>84.823000199999996</v>
      </c>
      <c r="F447">
        <f t="shared" si="13"/>
        <v>0.6</v>
      </c>
    </row>
    <row r="448" spans="1:6" x14ac:dyDescent="0.25">
      <c r="A448">
        <v>265</v>
      </c>
      <c r="B448">
        <v>120</v>
      </c>
      <c r="C448">
        <v>0.53</v>
      </c>
      <c r="D448" s="1">
        <f t="shared" si="12"/>
        <v>26.474200840200002</v>
      </c>
      <c r="F448">
        <f t="shared" si="13"/>
        <v>0.26500000000000001</v>
      </c>
    </row>
    <row r="449" spans="1:6" x14ac:dyDescent="0.25">
      <c r="A449">
        <v>301</v>
      </c>
      <c r="B449">
        <v>80</v>
      </c>
      <c r="C449">
        <v>0.35</v>
      </c>
      <c r="D449" s="1">
        <f t="shared" si="12"/>
        <v>7.6969018699999987</v>
      </c>
      <c r="F449">
        <f t="shared" si="13"/>
        <v>0.17499999999999999</v>
      </c>
    </row>
    <row r="450" spans="1:6" x14ac:dyDescent="0.25">
      <c r="A450">
        <v>302</v>
      </c>
      <c r="B450">
        <v>50</v>
      </c>
      <c r="C450">
        <v>0.4</v>
      </c>
      <c r="D450" s="1">
        <f t="shared" si="12"/>
        <v>6.2831852000000019</v>
      </c>
      <c r="F450">
        <f t="shared" si="13"/>
        <v>0.2</v>
      </c>
    </row>
    <row r="451" spans="1:6" x14ac:dyDescent="0.25">
      <c r="A451">
        <v>304</v>
      </c>
      <c r="B451">
        <v>170</v>
      </c>
      <c r="C451">
        <v>1.2</v>
      </c>
      <c r="D451" s="1">
        <f t="shared" si="12"/>
        <v>192.26546711999998</v>
      </c>
      <c r="F451">
        <f t="shared" si="13"/>
        <v>0.6</v>
      </c>
    </row>
    <row r="452" spans="1:6" x14ac:dyDescent="0.25">
      <c r="A452">
        <v>272</v>
      </c>
      <c r="B452">
        <v>550</v>
      </c>
      <c r="C452">
        <v>0.35</v>
      </c>
      <c r="D452" s="1">
        <f t="shared" ref="D452:D515" si="14">3.1415926*$B452*(($C452/2)^2)</f>
        <v>52.916200356249988</v>
      </c>
      <c r="F452">
        <f t="shared" ref="F452:F515" si="15">$C452/$F$1</f>
        <v>0.17499999999999999</v>
      </c>
    </row>
    <row r="453" spans="1:6" x14ac:dyDescent="0.25">
      <c r="A453">
        <v>498</v>
      </c>
      <c r="B453">
        <v>220</v>
      </c>
      <c r="C453">
        <v>0.8</v>
      </c>
      <c r="D453" s="1">
        <f t="shared" si="14"/>
        <v>110.58405952000003</v>
      </c>
      <c r="F453">
        <f t="shared" si="15"/>
        <v>0.4</v>
      </c>
    </row>
    <row r="454" spans="1:6" x14ac:dyDescent="0.25">
      <c r="A454">
        <v>488</v>
      </c>
      <c r="B454">
        <v>150</v>
      </c>
      <c r="C454">
        <v>0.6</v>
      </c>
      <c r="D454" s="1">
        <f t="shared" si="14"/>
        <v>42.411500099999998</v>
      </c>
      <c r="F454">
        <f t="shared" si="15"/>
        <v>0.3</v>
      </c>
    </row>
    <row r="455" spans="1:6" x14ac:dyDescent="0.25">
      <c r="A455">
        <v>283</v>
      </c>
      <c r="B455">
        <v>80</v>
      </c>
      <c r="C455">
        <v>1</v>
      </c>
      <c r="D455" s="1">
        <f t="shared" si="14"/>
        <v>62.831851999999998</v>
      </c>
      <c r="F455">
        <f t="shared" si="15"/>
        <v>0.5</v>
      </c>
    </row>
    <row r="456" spans="1:6" x14ac:dyDescent="0.25">
      <c r="A456">
        <v>281</v>
      </c>
      <c r="B456">
        <v>150</v>
      </c>
      <c r="C456">
        <v>0.6</v>
      </c>
      <c r="D456" s="1">
        <f t="shared" si="14"/>
        <v>42.411500099999998</v>
      </c>
      <c r="F456">
        <f t="shared" si="15"/>
        <v>0.3</v>
      </c>
    </row>
    <row r="457" spans="1:6" x14ac:dyDescent="0.25">
      <c r="A457">
        <v>499</v>
      </c>
      <c r="B457">
        <v>80</v>
      </c>
      <c r="C457">
        <v>0.35</v>
      </c>
      <c r="D457" s="1">
        <f t="shared" si="14"/>
        <v>7.6969018699999987</v>
      </c>
      <c r="F457">
        <f t="shared" si="15"/>
        <v>0.17499999999999999</v>
      </c>
    </row>
    <row r="458" spans="1:6" x14ac:dyDescent="0.25">
      <c r="A458">
        <v>296</v>
      </c>
      <c r="B458">
        <v>180</v>
      </c>
      <c r="C458">
        <v>0.4</v>
      </c>
      <c r="D458" s="1">
        <f t="shared" si="14"/>
        <v>22.619466720000005</v>
      </c>
      <c r="F458">
        <f t="shared" si="15"/>
        <v>0.2</v>
      </c>
    </row>
    <row r="459" spans="1:6" x14ac:dyDescent="0.25">
      <c r="A459">
        <v>305</v>
      </c>
      <c r="B459">
        <v>180</v>
      </c>
      <c r="C459">
        <v>1.2</v>
      </c>
      <c r="D459" s="1">
        <f t="shared" si="14"/>
        <v>203.57520048000001</v>
      </c>
      <c r="F459">
        <f t="shared" si="15"/>
        <v>0.6</v>
      </c>
    </row>
    <row r="460" spans="1:6" x14ac:dyDescent="0.25">
      <c r="A460">
        <v>113</v>
      </c>
      <c r="B460">
        <v>90</v>
      </c>
      <c r="C460">
        <v>0.6</v>
      </c>
      <c r="D460" s="1">
        <f t="shared" si="14"/>
        <v>25.446900060000001</v>
      </c>
      <c r="F460">
        <f t="shared" si="15"/>
        <v>0.3</v>
      </c>
    </row>
    <row r="461" spans="1:6" x14ac:dyDescent="0.25">
      <c r="A461">
        <v>285</v>
      </c>
      <c r="B461">
        <v>75</v>
      </c>
      <c r="C461">
        <v>1</v>
      </c>
      <c r="D461" s="1">
        <f t="shared" si="14"/>
        <v>58.904861250000003</v>
      </c>
      <c r="F461">
        <f t="shared" si="15"/>
        <v>0.5</v>
      </c>
    </row>
    <row r="462" spans="1:6" x14ac:dyDescent="0.25">
      <c r="A462">
        <v>293</v>
      </c>
      <c r="B462">
        <v>90</v>
      </c>
      <c r="C462">
        <v>1</v>
      </c>
      <c r="D462" s="1">
        <f t="shared" si="14"/>
        <v>70.685833500000001</v>
      </c>
      <c r="F462">
        <f t="shared" si="15"/>
        <v>0.5</v>
      </c>
    </row>
    <row r="463" spans="1:6" x14ac:dyDescent="0.25">
      <c r="A463">
        <v>294</v>
      </c>
      <c r="B463">
        <v>80</v>
      </c>
      <c r="C463">
        <v>0.35</v>
      </c>
      <c r="D463" s="1">
        <f t="shared" si="14"/>
        <v>7.6969018699999987</v>
      </c>
      <c r="F463">
        <f t="shared" si="15"/>
        <v>0.17499999999999999</v>
      </c>
    </row>
    <row r="464" spans="1:6" x14ac:dyDescent="0.25">
      <c r="A464">
        <v>494</v>
      </c>
      <c r="B464">
        <v>160</v>
      </c>
      <c r="C464">
        <v>0.35</v>
      </c>
      <c r="D464" s="1">
        <f t="shared" si="14"/>
        <v>15.393803739999997</v>
      </c>
      <c r="F464">
        <f t="shared" si="15"/>
        <v>0.17499999999999999</v>
      </c>
    </row>
    <row r="465" spans="1:6" x14ac:dyDescent="0.25">
      <c r="A465">
        <v>489</v>
      </c>
      <c r="B465">
        <v>150</v>
      </c>
      <c r="C465">
        <v>0.35</v>
      </c>
      <c r="D465" s="1">
        <f t="shared" si="14"/>
        <v>14.431691006249999</v>
      </c>
      <c r="F465">
        <f t="shared" si="15"/>
        <v>0.17499999999999999</v>
      </c>
    </row>
    <row r="466" spans="1:6" x14ac:dyDescent="0.25">
      <c r="A466">
        <v>101</v>
      </c>
      <c r="B466">
        <v>90</v>
      </c>
      <c r="C466">
        <v>0.53</v>
      </c>
      <c r="D466" s="1">
        <f t="shared" si="14"/>
        <v>19.855650630150002</v>
      </c>
      <c r="F466">
        <f t="shared" si="15"/>
        <v>0.26500000000000001</v>
      </c>
    </row>
    <row r="467" spans="1:6" x14ac:dyDescent="0.25">
      <c r="A467">
        <v>286</v>
      </c>
      <c r="B467">
        <v>155</v>
      </c>
      <c r="C467">
        <v>0.8</v>
      </c>
      <c r="D467" s="1">
        <f t="shared" si="14"/>
        <v>77.911496480000025</v>
      </c>
      <c r="F467">
        <f t="shared" si="15"/>
        <v>0.4</v>
      </c>
    </row>
    <row r="468" spans="1:6" x14ac:dyDescent="0.25">
      <c r="A468">
        <v>280</v>
      </c>
      <c r="B468">
        <v>150</v>
      </c>
      <c r="C468">
        <v>0.35</v>
      </c>
      <c r="D468" s="1">
        <f t="shared" si="14"/>
        <v>14.431691006249999</v>
      </c>
      <c r="F468">
        <f t="shared" si="15"/>
        <v>0.17499999999999999</v>
      </c>
    </row>
    <row r="469" spans="1:6" x14ac:dyDescent="0.25">
      <c r="A469">
        <v>493</v>
      </c>
      <c r="B469">
        <v>150</v>
      </c>
      <c r="C469">
        <v>0.35</v>
      </c>
      <c r="D469" s="1">
        <f t="shared" si="14"/>
        <v>14.431691006249999</v>
      </c>
      <c r="F469">
        <f t="shared" si="15"/>
        <v>0.17499999999999999</v>
      </c>
    </row>
    <row r="470" spans="1:6" x14ac:dyDescent="0.25">
      <c r="A470">
        <v>287</v>
      </c>
      <c r="B470">
        <v>150</v>
      </c>
      <c r="C470">
        <v>0.35</v>
      </c>
      <c r="D470" s="1">
        <f t="shared" si="14"/>
        <v>14.431691006249999</v>
      </c>
      <c r="F470">
        <f t="shared" si="15"/>
        <v>0.17499999999999999</v>
      </c>
    </row>
    <row r="471" spans="1:6" x14ac:dyDescent="0.25">
      <c r="A471">
        <v>288</v>
      </c>
      <c r="B471">
        <v>180</v>
      </c>
      <c r="C471">
        <v>0.4</v>
      </c>
      <c r="D471" s="1">
        <f t="shared" si="14"/>
        <v>22.619466720000005</v>
      </c>
      <c r="F471">
        <f t="shared" si="15"/>
        <v>0.2</v>
      </c>
    </row>
    <row r="472" spans="1:6" x14ac:dyDescent="0.25">
      <c r="A472">
        <v>292</v>
      </c>
      <c r="B472">
        <v>155</v>
      </c>
      <c r="C472">
        <v>1</v>
      </c>
      <c r="D472" s="1">
        <f t="shared" si="14"/>
        <v>121.73671325000001</v>
      </c>
      <c r="F472">
        <f t="shared" si="15"/>
        <v>0.5</v>
      </c>
    </row>
    <row r="473" spans="1:6" x14ac:dyDescent="0.25">
      <c r="A473">
        <v>90</v>
      </c>
      <c r="B473">
        <v>160</v>
      </c>
      <c r="C473">
        <v>0.53</v>
      </c>
      <c r="D473" s="1">
        <f t="shared" si="14"/>
        <v>35.298934453600005</v>
      </c>
      <c r="F473">
        <f t="shared" si="15"/>
        <v>0.26500000000000001</v>
      </c>
    </row>
    <row r="474" spans="1:6" x14ac:dyDescent="0.25">
      <c r="A474">
        <v>485</v>
      </c>
      <c r="B474">
        <v>160</v>
      </c>
      <c r="C474">
        <v>0.35</v>
      </c>
      <c r="D474" s="1">
        <f t="shared" si="14"/>
        <v>15.393803739999997</v>
      </c>
      <c r="F474">
        <f t="shared" si="15"/>
        <v>0.17499999999999999</v>
      </c>
    </row>
    <row r="475" spans="1:6" x14ac:dyDescent="0.25">
      <c r="A475">
        <v>484</v>
      </c>
      <c r="B475">
        <v>160</v>
      </c>
      <c r="C475">
        <v>0.35</v>
      </c>
      <c r="D475" s="1">
        <f t="shared" si="14"/>
        <v>15.393803739999997</v>
      </c>
      <c r="F475">
        <f t="shared" si="15"/>
        <v>0.17499999999999999</v>
      </c>
    </row>
    <row r="476" spans="1:6" x14ac:dyDescent="0.25">
      <c r="A476">
        <v>124</v>
      </c>
      <c r="B476">
        <v>95</v>
      </c>
      <c r="C476">
        <v>0.35</v>
      </c>
      <c r="D476" s="1">
        <f t="shared" si="14"/>
        <v>9.1400709706249987</v>
      </c>
      <c r="F476">
        <f t="shared" si="15"/>
        <v>0.17499999999999999</v>
      </c>
    </row>
    <row r="477" spans="1:6" x14ac:dyDescent="0.25">
      <c r="A477">
        <v>490</v>
      </c>
      <c r="B477">
        <v>155</v>
      </c>
      <c r="C477">
        <v>0.35</v>
      </c>
      <c r="D477" s="1">
        <f t="shared" si="14"/>
        <v>14.912747373124999</v>
      </c>
      <c r="F477">
        <f t="shared" si="15"/>
        <v>0.17499999999999999</v>
      </c>
    </row>
    <row r="478" spans="1:6" x14ac:dyDescent="0.25">
      <c r="A478">
        <v>278</v>
      </c>
      <c r="B478">
        <v>150</v>
      </c>
      <c r="C478">
        <v>0.8</v>
      </c>
      <c r="D478" s="1">
        <f t="shared" si="14"/>
        <v>75.398222400000023</v>
      </c>
      <c r="F478">
        <f t="shared" si="15"/>
        <v>0.4</v>
      </c>
    </row>
    <row r="479" spans="1:6" x14ac:dyDescent="0.25">
      <c r="A479">
        <v>491</v>
      </c>
      <c r="B479">
        <v>75</v>
      </c>
      <c r="C479">
        <v>0.35</v>
      </c>
      <c r="D479" s="1">
        <f t="shared" si="14"/>
        <v>7.2158455031249993</v>
      </c>
      <c r="F479">
        <f t="shared" si="15"/>
        <v>0.17499999999999999</v>
      </c>
    </row>
    <row r="480" spans="1:6" x14ac:dyDescent="0.25">
      <c r="A480">
        <v>290</v>
      </c>
      <c r="B480">
        <v>160</v>
      </c>
      <c r="C480">
        <v>1</v>
      </c>
      <c r="D480" s="1">
        <f t="shared" si="14"/>
        <v>125.663704</v>
      </c>
      <c r="F480">
        <f t="shared" si="15"/>
        <v>0.5</v>
      </c>
    </row>
    <row r="481" spans="1:6" x14ac:dyDescent="0.25">
      <c r="A481">
        <v>271</v>
      </c>
      <c r="B481">
        <v>250</v>
      </c>
      <c r="C481">
        <v>0.35</v>
      </c>
      <c r="D481" s="1">
        <f t="shared" si="14"/>
        <v>24.052818343749998</v>
      </c>
      <c r="F481">
        <f t="shared" si="15"/>
        <v>0.17499999999999999</v>
      </c>
    </row>
    <row r="482" spans="1:6" x14ac:dyDescent="0.25">
      <c r="A482">
        <v>289</v>
      </c>
      <c r="B482">
        <v>110</v>
      </c>
      <c r="C482">
        <v>0.53</v>
      </c>
      <c r="D482" s="1">
        <f t="shared" si="14"/>
        <v>24.268017436850005</v>
      </c>
      <c r="F482">
        <f t="shared" si="15"/>
        <v>0.26500000000000001</v>
      </c>
    </row>
    <row r="483" spans="1:6" x14ac:dyDescent="0.25">
      <c r="A483">
        <v>492</v>
      </c>
      <c r="B483">
        <v>155</v>
      </c>
      <c r="C483">
        <v>0.35</v>
      </c>
      <c r="D483" s="1">
        <f t="shared" si="14"/>
        <v>14.912747373124999</v>
      </c>
      <c r="F483">
        <f t="shared" si="15"/>
        <v>0.17499999999999999</v>
      </c>
    </row>
    <row r="484" spans="1:6" x14ac:dyDescent="0.25">
      <c r="A484">
        <v>440</v>
      </c>
      <c r="B484">
        <v>110</v>
      </c>
      <c r="C484">
        <v>0.35</v>
      </c>
      <c r="D484" s="1">
        <f t="shared" si="14"/>
        <v>10.58324007125</v>
      </c>
      <c r="F484">
        <f t="shared" si="15"/>
        <v>0.17499999999999999</v>
      </c>
    </row>
    <row r="485" spans="1:6" x14ac:dyDescent="0.25">
      <c r="A485">
        <v>79</v>
      </c>
      <c r="B485">
        <v>150</v>
      </c>
      <c r="C485">
        <v>0.53</v>
      </c>
      <c r="D485" s="1">
        <f t="shared" si="14"/>
        <v>33.092751050250008</v>
      </c>
      <c r="F485">
        <f t="shared" si="15"/>
        <v>0.26500000000000001</v>
      </c>
    </row>
    <row r="486" spans="1:6" x14ac:dyDescent="0.25">
      <c r="A486">
        <v>268</v>
      </c>
      <c r="B486">
        <v>80</v>
      </c>
      <c r="C486">
        <v>0.8</v>
      </c>
      <c r="D486" s="1">
        <f t="shared" si="14"/>
        <v>40.212385280000007</v>
      </c>
      <c r="F486">
        <f t="shared" si="15"/>
        <v>0.4</v>
      </c>
    </row>
    <row r="487" spans="1:6" x14ac:dyDescent="0.25">
      <c r="A487">
        <v>135</v>
      </c>
      <c r="B487">
        <v>120</v>
      </c>
      <c r="C487">
        <v>0.35</v>
      </c>
      <c r="D487" s="1">
        <f t="shared" si="14"/>
        <v>11.545352804999998</v>
      </c>
      <c r="F487">
        <f t="shared" si="15"/>
        <v>0.17499999999999999</v>
      </c>
    </row>
    <row r="488" spans="1:6" x14ac:dyDescent="0.25">
      <c r="A488">
        <v>224</v>
      </c>
      <c r="B488">
        <v>150</v>
      </c>
      <c r="C488">
        <v>0.53</v>
      </c>
      <c r="D488" s="1">
        <f t="shared" si="14"/>
        <v>33.092751050250008</v>
      </c>
      <c r="F488">
        <f t="shared" si="15"/>
        <v>0.26500000000000001</v>
      </c>
    </row>
    <row r="489" spans="1:6" x14ac:dyDescent="0.25">
      <c r="A489">
        <v>317</v>
      </c>
      <c r="B489">
        <v>170</v>
      </c>
      <c r="C489">
        <v>0.8</v>
      </c>
      <c r="D489" s="1">
        <f t="shared" si="14"/>
        <v>85.451318720000017</v>
      </c>
      <c r="F489">
        <f t="shared" si="15"/>
        <v>0.4</v>
      </c>
    </row>
    <row r="490" spans="1:6" x14ac:dyDescent="0.25">
      <c r="A490">
        <v>291</v>
      </c>
      <c r="B490">
        <v>130</v>
      </c>
      <c r="C490">
        <v>0.8</v>
      </c>
      <c r="D490" s="1">
        <f t="shared" si="14"/>
        <v>65.345126080000014</v>
      </c>
      <c r="F490">
        <f t="shared" si="15"/>
        <v>0.4</v>
      </c>
    </row>
    <row r="491" spans="1:6" x14ac:dyDescent="0.25">
      <c r="A491">
        <v>68</v>
      </c>
      <c r="B491">
        <v>80</v>
      </c>
      <c r="C491">
        <v>0.53</v>
      </c>
      <c r="D491" s="1">
        <f t="shared" si="14"/>
        <v>17.649467226800002</v>
      </c>
      <c r="F491">
        <f t="shared" si="15"/>
        <v>0.26500000000000001</v>
      </c>
    </row>
    <row r="492" spans="1:6" x14ac:dyDescent="0.25">
      <c r="A492">
        <v>410</v>
      </c>
      <c r="B492">
        <v>100</v>
      </c>
      <c r="C492">
        <v>0.35</v>
      </c>
      <c r="D492" s="1">
        <f t="shared" si="14"/>
        <v>9.621127337499999</v>
      </c>
      <c r="F492">
        <f t="shared" si="15"/>
        <v>0.17499999999999999</v>
      </c>
    </row>
    <row r="493" spans="1:6" x14ac:dyDescent="0.25">
      <c r="A493">
        <v>257</v>
      </c>
      <c r="B493">
        <v>80</v>
      </c>
      <c r="C493">
        <v>0.53</v>
      </c>
      <c r="D493" s="1">
        <f t="shared" si="14"/>
        <v>17.649467226800002</v>
      </c>
      <c r="F493">
        <f t="shared" si="15"/>
        <v>0.26500000000000001</v>
      </c>
    </row>
    <row r="494" spans="1:6" x14ac:dyDescent="0.25">
      <c r="A494">
        <v>146</v>
      </c>
      <c r="B494">
        <v>125</v>
      </c>
      <c r="C494">
        <v>0.35</v>
      </c>
      <c r="D494" s="1">
        <f t="shared" si="14"/>
        <v>12.026409171874999</v>
      </c>
      <c r="F494">
        <f t="shared" si="15"/>
        <v>0.17499999999999999</v>
      </c>
    </row>
    <row r="495" spans="1:6" x14ac:dyDescent="0.25">
      <c r="A495">
        <v>482</v>
      </c>
      <c r="B495">
        <v>80</v>
      </c>
      <c r="C495">
        <v>0.35</v>
      </c>
      <c r="D495" s="1">
        <f t="shared" si="14"/>
        <v>7.6969018699999987</v>
      </c>
      <c r="F495">
        <f t="shared" si="15"/>
        <v>0.17499999999999999</v>
      </c>
    </row>
    <row r="496" spans="1:6" x14ac:dyDescent="0.25">
      <c r="A496">
        <v>212</v>
      </c>
      <c r="B496">
        <v>60</v>
      </c>
      <c r="C496">
        <v>0.35</v>
      </c>
      <c r="D496" s="1">
        <f t="shared" si="14"/>
        <v>5.7726764024999992</v>
      </c>
      <c r="F496">
        <f t="shared" si="15"/>
        <v>0.17499999999999999</v>
      </c>
    </row>
    <row r="497" spans="1:6" x14ac:dyDescent="0.25">
      <c r="A497">
        <v>190</v>
      </c>
      <c r="B497">
        <v>160</v>
      </c>
      <c r="C497">
        <v>0.53</v>
      </c>
      <c r="D497" s="1">
        <f t="shared" si="14"/>
        <v>35.298934453600005</v>
      </c>
      <c r="F497">
        <f t="shared" si="15"/>
        <v>0.26500000000000001</v>
      </c>
    </row>
    <row r="498" spans="1:6" x14ac:dyDescent="0.25">
      <c r="A498">
        <v>328</v>
      </c>
      <c r="B498">
        <v>110</v>
      </c>
      <c r="C498">
        <v>0.8</v>
      </c>
      <c r="D498" s="1">
        <f t="shared" si="14"/>
        <v>55.292029760000013</v>
      </c>
      <c r="F498">
        <f t="shared" si="15"/>
        <v>0.4</v>
      </c>
    </row>
    <row r="499" spans="1:6" x14ac:dyDescent="0.25">
      <c r="A499">
        <v>519</v>
      </c>
      <c r="B499">
        <v>111</v>
      </c>
      <c r="C499">
        <v>0.35</v>
      </c>
      <c r="D499" s="1">
        <f t="shared" si="14"/>
        <v>10.679451344624999</v>
      </c>
      <c r="F499">
        <f t="shared" si="15"/>
        <v>0.17499999999999999</v>
      </c>
    </row>
    <row r="500" spans="1:6" x14ac:dyDescent="0.25">
      <c r="A500">
        <v>477</v>
      </c>
      <c r="B500">
        <v>55</v>
      </c>
      <c r="C500">
        <v>0.35</v>
      </c>
      <c r="D500" s="1">
        <f t="shared" si="14"/>
        <v>5.2916200356249998</v>
      </c>
      <c r="F500">
        <f t="shared" si="15"/>
        <v>0.17499999999999999</v>
      </c>
    </row>
    <row r="501" spans="1:6" x14ac:dyDescent="0.25">
      <c r="A501">
        <v>306</v>
      </c>
      <c r="B501">
        <v>150</v>
      </c>
      <c r="C501">
        <v>0.8</v>
      </c>
      <c r="D501" s="1">
        <f t="shared" si="14"/>
        <v>75.398222400000023</v>
      </c>
      <c r="F501">
        <f t="shared" si="15"/>
        <v>0.4</v>
      </c>
    </row>
    <row r="502" spans="1:6" x14ac:dyDescent="0.25">
      <c r="A502">
        <v>447</v>
      </c>
      <c r="B502">
        <v>100</v>
      </c>
      <c r="C502">
        <v>0.35</v>
      </c>
      <c r="D502" s="1">
        <f t="shared" si="14"/>
        <v>9.621127337499999</v>
      </c>
      <c r="F502">
        <f t="shared" si="15"/>
        <v>0.17499999999999999</v>
      </c>
    </row>
    <row r="503" spans="1:6" x14ac:dyDescent="0.25">
      <c r="A503">
        <v>57</v>
      </c>
      <c r="B503">
        <v>80</v>
      </c>
      <c r="C503">
        <v>0.53</v>
      </c>
      <c r="D503" s="1">
        <f t="shared" si="14"/>
        <v>17.649467226800002</v>
      </c>
      <c r="F503">
        <f t="shared" si="15"/>
        <v>0.26500000000000001</v>
      </c>
    </row>
    <row r="504" spans="1:6" x14ac:dyDescent="0.25">
      <c r="A504">
        <v>246</v>
      </c>
      <c r="B504">
        <v>80</v>
      </c>
      <c r="C504">
        <v>0.4</v>
      </c>
      <c r="D504" s="1">
        <f t="shared" si="14"/>
        <v>10.053096320000002</v>
      </c>
      <c r="F504">
        <f t="shared" si="15"/>
        <v>0.2</v>
      </c>
    </row>
    <row r="505" spans="1:6" x14ac:dyDescent="0.25">
      <c r="A505">
        <v>157</v>
      </c>
      <c r="B505">
        <v>135</v>
      </c>
      <c r="C505">
        <v>0.35</v>
      </c>
      <c r="D505" s="1">
        <f t="shared" si="14"/>
        <v>12.988521905624998</v>
      </c>
      <c r="F505">
        <f t="shared" si="15"/>
        <v>0.17499999999999999</v>
      </c>
    </row>
    <row r="506" spans="1:6" x14ac:dyDescent="0.25">
      <c r="A506">
        <v>24</v>
      </c>
      <c r="B506">
        <v>100</v>
      </c>
      <c r="C506">
        <v>0.35</v>
      </c>
      <c r="D506" s="1">
        <f t="shared" si="14"/>
        <v>9.621127337499999</v>
      </c>
      <c r="F506">
        <f t="shared" si="15"/>
        <v>0.17499999999999999</v>
      </c>
    </row>
    <row r="507" spans="1:6" x14ac:dyDescent="0.25">
      <c r="A507">
        <v>201</v>
      </c>
      <c r="B507">
        <v>170</v>
      </c>
      <c r="C507">
        <v>0.35</v>
      </c>
      <c r="D507" s="1">
        <f t="shared" si="14"/>
        <v>16.355916473749996</v>
      </c>
      <c r="F507">
        <f t="shared" si="15"/>
        <v>0.17499999999999999</v>
      </c>
    </row>
    <row r="508" spans="1:6" x14ac:dyDescent="0.25">
      <c r="A508">
        <v>339</v>
      </c>
      <c r="B508">
        <v>50</v>
      </c>
      <c r="C508">
        <v>0.8</v>
      </c>
      <c r="D508" s="1">
        <f t="shared" si="14"/>
        <v>25.132740800000008</v>
      </c>
      <c r="F508">
        <f t="shared" si="15"/>
        <v>0.4</v>
      </c>
    </row>
    <row r="509" spans="1:6" x14ac:dyDescent="0.25">
      <c r="A509">
        <v>295</v>
      </c>
      <c r="B509">
        <v>60</v>
      </c>
      <c r="C509">
        <v>0.6</v>
      </c>
      <c r="D509" s="1">
        <f t="shared" si="14"/>
        <v>16.964600040000001</v>
      </c>
      <c r="F509">
        <f t="shared" si="15"/>
        <v>0.3</v>
      </c>
    </row>
    <row r="510" spans="1:6" x14ac:dyDescent="0.25">
      <c r="A510">
        <v>2</v>
      </c>
      <c r="B510">
        <v>120</v>
      </c>
      <c r="C510">
        <v>0.35</v>
      </c>
      <c r="D510" s="1">
        <f t="shared" si="14"/>
        <v>11.545352804999998</v>
      </c>
      <c r="F510">
        <f t="shared" si="15"/>
        <v>0.17499999999999999</v>
      </c>
    </row>
    <row r="511" spans="1:6" x14ac:dyDescent="0.25">
      <c r="A511">
        <v>46</v>
      </c>
      <c r="B511">
        <v>80</v>
      </c>
      <c r="C511">
        <v>0.4</v>
      </c>
      <c r="D511" s="1">
        <f t="shared" si="14"/>
        <v>10.053096320000002</v>
      </c>
      <c r="F511">
        <f t="shared" si="15"/>
        <v>0.2</v>
      </c>
    </row>
    <row r="512" spans="1:6" x14ac:dyDescent="0.25">
      <c r="A512">
        <v>383</v>
      </c>
      <c r="B512">
        <v>100</v>
      </c>
      <c r="C512">
        <v>0.35</v>
      </c>
      <c r="D512" s="1">
        <f t="shared" si="14"/>
        <v>9.621127337499999</v>
      </c>
      <c r="F512">
        <f t="shared" si="15"/>
        <v>0.17499999999999999</v>
      </c>
    </row>
    <row r="513" spans="1:6" x14ac:dyDescent="0.25">
      <c r="A513">
        <v>235</v>
      </c>
      <c r="B513">
        <v>80</v>
      </c>
      <c r="C513">
        <v>0.4</v>
      </c>
      <c r="D513" s="1">
        <f t="shared" si="14"/>
        <v>10.053096320000002</v>
      </c>
      <c r="F513">
        <f t="shared" si="15"/>
        <v>0.2</v>
      </c>
    </row>
    <row r="514" spans="1:6" x14ac:dyDescent="0.25">
      <c r="A514">
        <v>168</v>
      </c>
      <c r="B514">
        <v>145</v>
      </c>
      <c r="C514">
        <v>0.35</v>
      </c>
      <c r="D514" s="1">
        <f t="shared" si="14"/>
        <v>13.950634639374998</v>
      </c>
      <c r="F514">
        <f t="shared" si="15"/>
        <v>0.17499999999999999</v>
      </c>
    </row>
    <row r="515" spans="1:6" x14ac:dyDescent="0.25">
      <c r="A515">
        <v>13</v>
      </c>
      <c r="B515">
        <v>100</v>
      </c>
      <c r="C515">
        <v>0.35</v>
      </c>
      <c r="D515" s="1">
        <f t="shared" si="14"/>
        <v>9.621127337499999</v>
      </c>
      <c r="F515">
        <f t="shared" si="15"/>
        <v>0.17499999999999999</v>
      </c>
    </row>
    <row r="516" spans="1:6" x14ac:dyDescent="0.25">
      <c r="A516">
        <v>112</v>
      </c>
      <c r="B516">
        <v>145</v>
      </c>
      <c r="C516">
        <v>0.53</v>
      </c>
      <c r="D516" s="1">
        <f t="shared" ref="D516:D532" si="16">3.1415926*$B516*(($C516/2)^2)</f>
        <v>31.989659348575007</v>
      </c>
      <c r="F516">
        <f t="shared" ref="F516:F532" si="17">$C516/$F$1</f>
        <v>0.26500000000000001</v>
      </c>
    </row>
    <row r="517" spans="1:6" x14ac:dyDescent="0.25">
      <c r="A517">
        <v>266</v>
      </c>
      <c r="B517">
        <v>120</v>
      </c>
      <c r="C517">
        <v>0.35</v>
      </c>
      <c r="D517" s="1">
        <f t="shared" si="16"/>
        <v>11.545352804999998</v>
      </c>
      <c r="F517">
        <f t="shared" si="17"/>
        <v>0.17499999999999999</v>
      </c>
    </row>
    <row r="518" spans="1:6" x14ac:dyDescent="0.25">
      <c r="A518">
        <v>284</v>
      </c>
      <c r="B518">
        <v>30</v>
      </c>
      <c r="C518">
        <v>0.4</v>
      </c>
      <c r="D518" s="1">
        <f t="shared" si="16"/>
        <v>3.7699111200000006</v>
      </c>
      <c r="F518">
        <f t="shared" si="17"/>
        <v>0.2</v>
      </c>
    </row>
    <row r="519" spans="1:6" x14ac:dyDescent="0.25">
      <c r="A519">
        <v>454</v>
      </c>
      <c r="B519">
        <v>100</v>
      </c>
      <c r="C519">
        <v>0.35</v>
      </c>
      <c r="D519" s="1">
        <f t="shared" si="16"/>
        <v>9.621127337499999</v>
      </c>
      <c r="F519">
        <f t="shared" si="17"/>
        <v>0.17499999999999999</v>
      </c>
    </row>
    <row r="520" spans="1:6" x14ac:dyDescent="0.25">
      <c r="A520">
        <v>35</v>
      </c>
      <c r="B520">
        <v>80</v>
      </c>
      <c r="C520">
        <v>0.4</v>
      </c>
      <c r="D520" s="1">
        <f t="shared" si="16"/>
        <v>10.053096320000002</v>
      </c>
      <c r="F520">
        <f t="shared" si="17"/>
        <v>0.2</v>
      </c>
    </row>
    <row r="521" spans="1:6" x14ac:dyDescent="0.25">
      <c r="A521">
        <v>179</v>
      </c>
      <c r="B521">
        <v>155</v>
      </c>
      <c r="C521">
        <v>2</v>
      </c>
      <c r="D521" s="1">
        <f t="shared" si="16"/>
        <v>486.94685300000003</v>
      </c>
      <c r="F521">
        <f t="shared" si="17"/>
        <v>1</v>
      </c>
    </row>
    <row r="522" spans="1:6" x14ac:dyDescent="0.25">
      <c r="A522">
        <v>367</v>
      </c>
      <c r="B522">
        <v>80</v>
      </c>
      <c r="C522">
        <v>0.35</v>
      </c>
      <c r="D522" s="1">
        <f t="shared" si="16"/>
        <v>7.6969018699999987</v>
      </c>
      <c r="F522">
        <f t="shared" si="17"/>
        <v>0.17499999999999999</v>
      </c>
    </row>
    <row r="523" spans="1:6" x14ac:dyDescent="0.25">
      <c r="A523">
        <v>350</v>
      </c>
      <c r="B523">
        <v>80</v>
      </c>
      <c r="C523">
        <v>0.35</v>
      </c>
      <c r="D523" s="1">
        <f t="shared" si="16"/>
        <v>7.6969018699999987</v>
      </c>
      <c r="F523">
        <f t="shared" si="17"/>
        <v>0.17499999999999999</v>
      </c>
    </row>
    <row r="524" spans="1:6" x14ac:dyDescent="0.25">
      <c r="A524">
        <v>483</v>
      </c>
      <c r="B524">
        <v>60</v>
      </c>
      <c r="C524">
        <v>0.35</v>
      </c>
      <c r="D524" s="1">
        <f t="shared" si="16"/>
        <v>5.7726764024999992</v>
      </c>
      <c r="F524">
        <f t="shared" si="17"/>
        <v>0.17499999999999999</v>
      </c>
    </row>
    <row r="525" spans="1:6" x14ac:dyDescent="0.25">
      <c r="A525">
        <v>233</v>
      </c>
      <c r="B525">
        <v>197.66</v>
      </c>
      <c r="C525">
        <v>0.4</v>
      </c>
      <c r="D525" s="1">
        <f t="shared" si="16"/>
        <v>24.838687732640004</v>
      </c>
      <c r="F525">
        <f t="shared" si="17"/>
        <v>0.2</v>
      </c>
    </row>
    <row r="526" spans="1:6" x14ac:dyDescent="0.25">
      <c r="A526">
        <v>232</v>
      </c>
      <c r="B526">
        <v>120</v>
      </c>
      <c r="C526">
        <v>0.53</v>
      </c>
      <c r="D526" s="1">
        <f t="shared" si="16"/>
        <v>26.474200840200002</v>
      </c>
      <c r="F526">
        <f t="shared" si="17"/>
        <v>0.26500000000000001</v>
      </c>
    </row>
    <row r="527" spans="1:6" x14ac:dyDescent="0.25">
      <c r="A527">
        <v>267</v>
      </c>
      <c r="B527">
        <v>120</v>
      </c>
      <c r="C527">
        <v>0.35</v>
      </c>
      <c r="D527" s="1">
        <f t="shared" si="16"/>
        <v>11.545352804999998</v>
      </c>
      <c r="F527">
        <f t="shared" si="17"/>
        <v>0.17499999999999999</v>
      </c>
    </row>
    <row r="528" spans="1:6" x14ac:dyDescent="0.25">
      <c r="A528">
        <v>223</v>
      </c>
      <c r="B528">
        <v>30</v>
      </c>
      <c r="C528">
        <v>0.35</v>
      </c>
      <c r="D528" s="1">
        <f t="shared" si="16"/>
        <v>2.8863382012499996</v>
      </c>
      <c r="F528">
        <f t="shared" si="17"/>
        <v>0.17499999999999999</v>
      </c>
    </row>
    <row r="529" spans="1:6" x14ac:dyDescent="0.25">
      <c r="A529">
        <v>369</v>
      </c>
      <c r="B529">
        <v>80</v>
      </c>
      <c r="C529">
        <v>0.35</v>
      </c>
      <c r="D529" s="1">
        <f t="shared" si="16"/>
        <v>7.6969018699999987</v>
      </c>
      <c r="F529">
        <f t="shared" si="17"/>
        <v>0.17499999999999999</v>
      </c>
    </row>
    <row r="530" spans="1:6" x14ac:dyDescent="0.25">
      <c r="A530">
        <v>373</v>
      </c>
      <c r="B530">
        <v>100</v>
      </c>
      <c r="C530">
        <v>0.35</v>
      </c>
      <c r="D530" s="1">
        <f t="shared" si="16"/>
        <v>9.621127337499999</v>
      </c>
      <c r="F530">
        <f t="shared" si="17"/>
        <v>0.17499999999999999</v>
      </c>
    </row>
    <row r="531" spans="1:6" x14ac:dyDescent="0.25">
      <c r="A531">
        <v>270</v>
      </c>
      <c r="B531">
        <v>300</v>
      </c>
      <c r="C531">
        <v>0.35</v>
      </c>
      <c r="D531" s="1">
        <f t="shared" si="16"/>
        <v>28.863382012499997</v>
      </c>
      <c r="F531">
        <f t="shared" si="17"/>
        <v>0.17499999999999999</v>
      </c>
    </row>
    <row r="532" spans="1:6" x14ac:dyDescent="0.25">
      <c r="A532">
        <v>269</v>
      </c>
      <c r="B532">
        <v>120</v>
      </c>
      <c r="C532">
        <v>0.53</v>
      </c>
      <c r="D532" s="1">
        <f t="shared" si="16"/>
        <v>26.474200840200002</v>
      </c>
      <c r="F532">
        <f t="shared" si="17"/>
        <v>0.26500000000000001</v>
      </c>
    </row>
  </sheetData>
  <sortState xmlns:xlrd2="http://schemas.microsoft.com/office/spreadsheetml/2017/richdata2" ref="K1:K532">
    <sortCondition descending="1" ref="K1:K53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D16B-80A5-4FF3-9669-33FE425A2B6E}">
  <dimension ref="A1:AG531"/>
  <sheetViews>
    <sheetView workbookViewId="0">
      <selection activeCell="V38" sqref="V38"/>
    </sheetView>
  </sheetViews>
  <sheetFormatPr defaultRowHeight="15" x14ac:dyDescent="0.25"/>
  <cols>
    <col min="17" max="17" width="8.7109375" style="4"/>
  </cols>
  <sheetData>
    <row r="1" spans="1:33" x14ac:dyDescent="0.25">
      <c r="A1" t="s">
        <v>2</v>
      </c>
      <c r="B1" t="s">
        <v>212</v>
      </c>
      <c r="C1" s="4" t="s">
        <v>213</v>
      </c>
      <c r="D1" t="s">
        <v>214</v>
      </c>
      <c r="F1" s="4" t="s">
        <v>211</v>
      </c>
      <c r="I1" s="4" t="s">
        <v>211</v>
      </c>
      <c r="L1" s="4" t="s">
        <v>211</v>
      </c>
      <c r="M1" s="5" t="s">
        <v>215</v>
      </c>
      <c r="N1" s="5" t="s">
        <v>218</v>
      </c>
      <c r="O1" t="s">
        <v>216</v>
      </c>
      <c r="Q1" s="4" t="s">
        <v>211</v>
      </c>
      <c r="R1" s="5" t="s">
        <v>217</v>
      </c>
      <c r="S1" s="5" t="s">
        <v>219</v>
      </c>
      <c r="U1" t="s">
        <v>220</v>
      </c>
      <c r="V1" t="s">
        <v>221</v>
      </c>
      <c r="W1" t="s">
        <v>222</v>
      </c>
      <c r="X1" t="s">
        <v>223</v>
      </c>
      <c r="AB1" t="s">
        <v>224</v>
      </c>
      <c r="AC1" t="s">
        <v>225</v>
      </c>
      <c r="AD1" t="s">
        <v>226</v>
      </c>
      <c r="AE1" t="s">
        <v>227</v>
      </c>
      <c r="AG1" t="s">
        <v>228</v>
      </c>
    </row>
    <row r="2" spans="1:33" x14ac:dyDescent="0.25">
      <c r="A2">
        <v>158</v>
      </c>
      <c r="B2">
        <f>IFERROR(VLOOKUP(A2,Capacity!$A$3:$D$532,4,), "0")</f>
        <v>785.39814999999999</v>
      </c>
      <c r="C2" s="4">
        <f>IFERROR(VLOOKUP(A2,Capacity!$A$3:$F$532,6,), "0")</f>
        <v>1</v>
      </c>
      <c r="D2">
        <v>156</v>
      </c>
      <c r="E2">
        <f>IFERROR(VLOOKUP(D2,Capacity!$A$3:$D$532,4,), "0")</f>
        <v>388.77208425000003</v>
      </c>
      <c r="F2" s="4">
        <f>IFERROR(VLOOKUP(D2,Capacity!$A$3:$F$532,6,), "0")</f>
        <v>0.75</v>
      </c>
      <c r="G2">
        <v>163</v>
      </c>
      <c r="H2">
        <f>IFERROR(VLOOKUP(G2,Capacity!$A$3:$D$532,4,), "0")</f>
        <v>42.725659360000009</v>
      </c>
      <c r="I2" s="4">
        <f>IFERROR(VLOOKUP(G2,Capacity!$A$3:$F$532,6,), "0")</f>
        <v>0.4</v>
      </c>
      <c r="J2">
        <v>153</v>
      </c>
      <c r="K2">
        <f>IFERROR(VLOOKUP(J2,Capacity!$A$3:$D$532,4,), "0")</f>
        <v>267.035371</v>
      </c>
      <c r="L2" s="4">
        <f>IFERROR(VLOOKUP(J2,Capacity!$A$3:$F$532,6,), "0")</f>
        <v>1</v>
      </c>
      <c r="M2" s="5">
        <f t="shared" ref="M2:M65" si="0">$E2+$H2+$K2</f>
        <v>698.53311460999998</v>
      </c>
      <c r="N2" s="5">
        <f>$F2+$I2+$L2</f>
        <v>2.15</v>
      </c>
      <c r="P2" t="str">
        <f>IFERROR(VLOOKUP(O2,Capacity!$A$3:$D$532,4,), "0")</f>
        <v>0</v>
      </c>
      <c r="Q2" s="4" t="str">
        <f>IFERROR(VLOOKUP(O2,Capacity!$A$3:$F$532,6,), "0")</f>
        <v>0</v>
      </c>
      <c r="R2" s="5" t="str">
        <f>$P2</f>
        <v>0</v>
      </c>
      <c r="S2" s="5">
        <v>0</v>
      </c>
      <c r="U2">
        <v>158</v>
      </c>
      <c r="V2">
        <v>3</v>
      </c>
      <c r="W2">
        <v>3</v>
      </c>
      <c r="X2">
        <v>0</v>
      </c>
      <c r="AB2" t="e">
        <f>($M2/$R2)</f>
        <v>#DIV/0!</v>
      </c>
      <c r="AC2">
        <f>($M2/$B2)</f>
        <v>0.88939999999999997</v>
      </c>
      <c r="AD2" t="e">
        <f>($N2/$S2)</f>
        <v>#DIV/0!</v>
      </c>
    </row>
    <row r="3" spans="1:33" x14ac:dyDescent="0.25">
      <c r="A3">
        <v>163</v>
      </c>
      <c r="B3">
        <f>IFERROR(VLOOKUP(A3,Capacity!$A$3:$D$532,4,), "0")</f>
        <v>42.725659360000009</v>
      </c>
      <c r="C3" s="4">
        <f>IFERROR(VLOOKUP(A3,Capacity!$A$3:$F$532,6,), "0")</f>
        <v>0.4</v>
      </c>
      <c r="D3">
        <v>162</v>
      </c>
      <c r="E3">
        <f>IFERROR(VLOOKUP(D3,Capacity!$A$3:$D$532,4,), "0")</f>
        <v>16.355916473749996</v>
      </c>
      <c r="F3" s="4">
        <f>IFERROR(VLOOKUP(D3,Capacity!$A$3:$F$532,6,), "0")</f>
        <v>0.17499999999999999</v>
      </c>
      <c r="G3">
        <v>169</v>
      </c>
      <c r="H3">
        <f>IFERROR(VLOOKUP(G3,Capacity!$A$3:$D$532,4,), "0")</f>
        <v>42.725659360000009</v>
      </c>
      <c r="I3" s="4">
        <f>IFERROR(VLOOKUP(G3,Capacity!$A$3:$F$532,6,), "0")</f>
        <v>0.4</v>
      </c>
      <c r="K3" t="str">
        <f>IFERROR(VLOOKUP(J3,Capacity!$A$3:$D$532,4,), "0")</f>
        <v>0</v>
      </c>
      <c r="L3" s="4" t="str">
        <f>IFERROR(VLOOKUP(J3,Capacity!$A$3:$F$532,6,), "0")</f>
        <v>0</v>
      </c>
      <c r="M3" s="5">
        <f t="shared" si="0"/>
        <v>59.081575833750009</v>
      </c>
      <c r="N3" s="5">
        <f t="shared" ref="N3:N66" si="1">$F3+$I3+$L3</f>
        <v>0.57499999999999996</v>
      </c>
      <c r="O3">
        <v>158</v>
      </c>
      <c r="P3">
        <f>IFERROR(VLOOKUP(O3,Capacity!$A$3:$D$532,4,), "0")</f>
        <v>785.39814999999999</v>
      </c>
      <c r="Q3" s="4">
        <f>IFERROR(VLOOKUP(O3,Capacity!$A$3:$F$532,6,), "0")</f>
        <v>1</v>
      </c>
      <c r="R3" s="5">
        <f>$P3</f>
        <v>785.39814999999999</v>
      </c>
      <c r="S3" s="5">
        <f>$Q3</f>
        <v>1</v>
      </c>
      <c r="U3">
        <v>163</v>
      </c>
      <c r="V3">
        <v>3</v>
      </c>
      <c r="W3">
        <v>3</v>
      </c>
      <c r="X3">
        <v>1</v>
      </c>
      <c r="AB3">
        <f t="shared" ref="AB3:AB66" si="2">($M3/$R3)</f>
        <v>7.5225000000000014E-2</v>
      </c>
      <c r="AC3">
        <f t="shared" ref="AC3:AC66" si="3">($M3/$B3)</f>
        <v>1.3828125</v>
      </c>
      <c r="AD3">
        <f>($N3/$S3)</f>
        <v>0.57499999999999996</v>
      </c>
      <c r="AE3">
        <f>($N3/$C3)</f>
        <v>1.4374999999999998</v>
      </c>
      <c r="AG3">
        <f>$M3/($R3+$B3)</f>
        <v>7.1343892261001532E-2</v>
      </c>
    </row>
    <row r="4" spans="1:33" x14ac:dyDescent="0.25">
      <c r="A4">
        <v>156</v>
      </c>
      <c r="B4">
        <f>IFERROR(VLOOKUP(A4,Capacity!$A$3:$D$532,4,), "0")</f>
        <v>388.77208425000003</v>
      </c>
      <c r="C4" s="4">
        <f>IFERROR(VLOOKUP(A4,Capacity!$A$3:$F$532,6,), "0")</f>
        <v>0.75</v>
      </c>
      <c r="D4">
        <v>155</v>
      </c>
      <c r="E4">
        <f>IFERROR(VLOOKUP(D4,Capacity!$A$3:$D$532,4,), "0")</f>
        <v>371.10062587500005</v>
      </c>
      <c r="F4" s="4">
        <f>IFERROR(VLOOKUP(D4,Capacity!$A$3:$F$532,6,), "0")</f>
        <v>0.75</v>
      </c>
      <c r="G4">
        <v>161</v>
      </c>
      <c r="H4">
        <f>IFERROR(VLOOKUP(G4,Capacity!$A$3:$D$532,4,), "0")</f>
        <v>17.649467226800002</v>
      </c>
      <c r="I4" s="4">
        <f>IFERROR(VLOOKUP(G4,Capacity!$A$3:$F$532,6,), "0")</f>
        <v>0.26500000000000001</v>
      </c>
      <c r="K4" t="str">
        <f>IFERROR(VLOOKUP(J4,Capacity!$A$3:$D$532,4,), "0")</f>
        <v>0</v>
      </c>
      <c r="L4" s="4" t="str">
        <f>IFERROR(VLOOKUP(J4,Capacity!$A$3:$F$532,6,), "0")</f>
        <v>0</v>
      </c>
      <c r="M4" s="5">
        <f t="shared" si="0"/>
        <v>388.75009310180008</v>
      </c>
      <c r="N4" s="5">
        <f t="shared" si="1"/>
        <v>1.0150000000000001</v>
      </c>
      <c r="O4">
        <v>158</v>
      </c>
      <c r="P4">
        <f>IFERROR(VLOOKUP(O4,Capacity!$A$3:$D$532,4,), "0")</f>
        <v>785.39814999999999</v>
      </c>
      <c r="Q4" s="4">
        <f>IFERROR(VLOOKUP(O4,Capacity!$A$3:$F$532,6,), "0")</f>
        <v>1</v>
      </c>
      <c r="R4" s="5">
        <f t="shared" ref="R4:R66" si="4">$P4</f>
        <v>785.39814999999999</v>
      </c>
      <c r="S4" s="5">
        <f t="shared" ref="S4:S67" si="5">$Q4</f>
        <v>1</v>
      </c>
      <c r="U4">
        <v>156</v>
      </c>
      <c r="V4">
        <v>3</v>
      </c>
      <c r="W4">
        <v>3</v>
      </c>
      <c r="X4">
        <v>1</v>
      </c>
      <c r="AB4">
        <f t="shared" si="2"/>
        <v>0.49497200000000008</v>
      </c>
      <c r="AC4">
        <f t="shared" si="3"/>
        <v>0.99994343434343447</v>
      </c>
      <c r="AD4">
        <f t="shared" ref="AD4:AD66" si="6">($N4/$S4)</f>
        <v>1.0150000000000001</v>
      </c>
      <c r="AE4">
        <f t="shared" ref="AE4:AE67" si="7">($N4/$C4)</f>
        <v>1.3533333333333335</v>
      </c>
      <c r="AG4">
        <f t="shared" ref="AG4:AG67" si="8">$M4/($R4+$B4)</f>
        <v>0.33108494983277598</v>
      </c>
    </row>
    <row r="5" spans="1:33" x14ac:dyDescent="0.25">
      <c r="A5">
        <v>153</v>
      </c>
      <c r="B5">
        <f>IFERROR(VLOOKUP(A5,Capacity!$A$3:$D$532,4,), "0")</f>
        <v>267.035371</v>
      </c>
      <c r="C5" s="4">
        <f>IFERROR(VLOOKUP(A5,Capacity!$A$3:$F$532,6,), "0")</f>
        <v>1</v>
      </c>
      <c r="D5">
        <v>152</v>
      </c>
      <c r="E5">
        <f>IFERROR(VLOOKUP(D5,Capacity!$A$3:$D$532,4,), "0")</f>
        <v>25.132740800000008</v>
      </c>
      <c r="F5" s="4">
        <f>IFERROR(VLOOKUP(D5,Capacity!$A$3:$F$532,6,), "0")</f>
        <v>0.2</v>
      </c>
      <c r="G5">
        <v>149</v>
      </c>
      <c r="H5">
        <f>IFERROR(VLOOKUP(G5,Capacity!$A$3:$D$532,4,), "0")</f>
        <v>267.035371</v>
      </c>
      <c r="I5" s="4">
        <f>IFERROR(VLOOKUP(G5,Capacity!$A$3:$F$532,6,), "0")</f>
        <v>1</v>
      </c>
      <c r="K5" t="str">
        <f>IFERROR(VLOOKUP(J5,Capacity!$A$3:$D$532,4,), "0")</f>
        <v>0</v>
      </c>
      <c r="L5" s="4" t="str">
        <f>IFERROR(VLOOKUP(J5,Capacity!$A$3:$F$532,6,), "0")</f>
        <v>0</v>
      </c>
      <c r="M5" s="5">
        <f t="shared" si="0"/>
        <v>292.16811180000002</v>
      </c>
      <c r="N5" s="5">
        <f t="shared" si="1"/>
        <v>1.2</v>
      </c>
      <c r="O5">
        <v>158</v>
      </c>
      <c r="P5">
        <f>IFERROR(VLOOKUP(O5,Capacity!$A$3:$D$532,4,), "0")</f>
        <v>785.39814999999999</v>
      </c>
      <c r="Q5" s="4">
        <f>IFERROR(VLOOKUP(O5,Capacity!$A$3:$F$532,6,), "0")</f>
        <v>1</v>
      </c>
      <c r="R5" s="5">
        <f t="shared" si="4"/>
        <v>785.39814999999999</v>
      </c>
      <c r="S5" s="5">
        <f t="shared" si="5"/>
        <v>1</v>
      </c>
      <c r="U5">
        <v>153</v>
      </c>
      <c r="V5">
        <v>2</v>
      </c>
      <c r="W5">
        <v>2</v>
      </c>
      <c r="X5">
        <v>1</v>
      </c>
      <c r="AB5">
        <f t="shared" si="2"/>
        <v>0.37200000000000005</v>
      </c>
      <c r="AC5">
        <f t="shared" si="3"/>
        <v>1.0941176470588236</v>
      </c>
      <c r="AD5">
        <f t="shared" si="6"/>
        <v>1.2</v>
      </c>
      <c r="AE5">
        <f t="shared" si="7"/>
        <v>1.2</v>
      </c>
      <c r="AG5">
        <f t="shared" si="8"/>
        <v>0.2776119402985075</v>
      </c>
    </row>
    <row r="6" spans="1:33" x14ac:dyDescent="0.25">
      <c r="A6">
        <v>152</v>
      </c>
      <c r="B6">
        <f>IFERROR(VLOOKUP(A6,Capacity!$A$3:$D$532,4,), "0")</f>
        <v>25.132740800000008</v>
      </c>
      <c r="C6" s="4">
        <f>IFERROR(VLOOKUP(A6,Capacity!$A$3:$F$532,6,), "0")</f>
        <v>0.2</v>
      </c>
      <c r="D6">
        <v>151</v>
      </c>
      <c r="E6">
        <f>IFERROR(VLOOKUP(D6,Capacity!$A$3:$D$532,4,), "0")</f>
        <v>25.132740800000008</v>
      </c>
      <c r="F6" s="4">
        <f>IFERROR(VLOOKUP(D6,Capacity!$A$3:$F$532,6,), "0")</f>
        <v>0.2</v>
      </c>
      <c r="H6" t="str">
        <f>IFERROR(VLOOKUP(G6,Capacity!$A$3:$D$532,4,), "0")</f>
        <v>0</v>
      </c>
      <c r="I6" s="4" t="str">
        <f>IFERROR(VLOOKUP(G6,Capacity!$A$3:$F$532,6,), "0")</f>
        <v>0</v>
      </c>
      <c r="K6" t="str">
        <f>IFERROR(VLOOKUP(J6,Capacity!$A$3:$D$532,4,), "0")</f>
        <v>0</v>
      </c>
      <c r="L6" s="4" t="str">
        <f>IFERROR(VLOOKUP(J6,Capacity!$A$3:$F$532,6,), "0")</f>
        <v>0</v>
      </c>
      <c r="M6" s="5">
        <f t="shared" si="0"/>
        <v>25.132740800000008</v>
      </c>
      <c r="N6" s="5">
        <f t="shared" si="1"/>
        <v>0.2</v>
      </c>
      <c r="O6">
        <v>153</v>
      </c>
      <c r="P6">
        <f>IFERROR(VLOOKUP(O6,Capacity!$A$3:$D$532,4,), "0")</f>
        <v>267.035371</v>
      </c>
      <c r="Q6" s="4">
        <f>IFERROR(VLOOKUP(O6,Capacity!$A$3:$F$532,6,), "0")</f>
        <v>1</v>
      </c>
      <c r="R6" s="5">
        <f t="shared" si="4"/>
        <v>267.035371</v>
      </c>
      <c r="S6" s="5">
        <f t="shared" si="5"/>
        <v>1</v>
      </c>
      <c r="U6">
        <v>152</v>
      </c>
      <c r="V6">
        <v>2</v>
      </c>
      <c r="W6">
        <v>2</v>
      </c>
      <c r="X6">
        <v>1</v>
      </c>
      <c r="AB6">
        <f t="shared" si="2"/>
        <v>9.4117647058823556E-2</v>
      </c>
      <c r="AC6">
        <f t="shared" si="3"/>
        <v>1</v>
      </c>
      <c r="AD6">
        <f t="shared" si="6"/>
        <v>0.2</v>
      </c>
      <c r="AE6">
        <f t="shared" si="7"/>
        <v>1</v>
      </c>
      <c r="AG6">
        <f t="shared" si="8"/>
        <v>8.6021505376344107E-2</v>
      </c>
    </row>
    <row r="7" spans="1:33" x14ac:dyDescent="0.25">
      <c r="A7">
        <v>149</v>
      </c>
      <c r="B7">
        <f>IFERROR(VLOOKUP(A7,Capacity!$A$3:$D$532,4,), "0")</f>
        <v>267.035371</v>
      </c>
      <c r="C7" s="4">
        <f>IFERROR(VLOOKUP(A7,Capacity!$A$3:$F$532,6,), "0")</f>
        <v>1</v>
      </c>
      <c r="D7">
        <v>148</v>
      </c>
      <c r="E7">
        <f>IFERROR(VLOOKUP(D7,Capacity!$A$3:$D$532,4,), "0")</f>
        <v>23.876103760000007</v>
      </c>
      <c r="F7" s="4">
        <f>IFERROR(VLOOKUP(D7,Capacity!$A$3:$F$532,6,), "0")</f>
        <v>0.2</v>
      </c>
      <c r="G7">
        <v>144</v>
      </c>
      <c r="H7">
        <f>IFERROR(VLOOKUP(G7,Capacity!$A$3:$D$532,4,), "0")</f>
        <v>267.035371</v>
      </c>
      <c r="I7" s="4">
        <f>IFERROR(VLOOKUP(G7,Capacity!$A$3:$F$532,6,), "0")</f>
        <v>1</v>
      </c>
      <c r="K7" t="str">
        <f>IFERROR(VLOOKUP(J7,Capacity!$A$3:$D$532,4,), "0")</f>
        <v>0</v>
      </c>
      <c r="L7" s="4" t="str">
        <f>IFERROR(VLOOKUP(J7,Capacity!$A$3:$F$532,6,), "0")</f>
        <v>0</v>
      </c>
      <c r="M7" s="5">
        <f t="shared" si="0"/>
        <v>290.91147476000003</v>
      </c>
      <c r="N7" s="5">
        <f t="shared" si="1"/>
        <v>1.2</v>
      </c>
      <c r="O7">
        <v>153</v>
      </c>
      <c r="P7">
        <f>IFERROR(VLOOKUP(O7,Capacity!$A$3:$D$532,4,), "0")</f>
        <v>267.035371</v>
      </c>
      <c r="Q7" s="4">
        <f>IFERROR(VLOOKUP(O7,Capacity!$A$3:$F$532,6,), "0")</f>
        <v>1</v>
      </c>
      <c r="R7" s="5">
        <f t="shared" si="4"/>
        <v>267.035371</v>
      </c>
      <c r="S7" s="5">
        <f t="shared" si="5"/>
        <v>1</v>
      </c>
      <c r="U7">
        <v>149</v>
      </c>
      <c r="V7">
        <v>2</v>
      </c>
      <c r="W7">
        <v>2</v>
      </c>
      <c r="X7">
        <v>1</v>
      </c>
      <c r="AB7">
        <f t="shared" si="2"/>
        <v>1.0894117647058825</v>
      </c>
      <c r="AC7">
        <f t="shared" si="3"/>
        <v>1.0894117647058825</v>
      </c>
      <c r="AD7">
        <f t="shared" si="6"/>
        <v>1.2</v>
      </c>
      <c r="AE7">
        <f t="shared" si="7"/>
        <v>1.2</v>
      </c>
      <c r="AG7">
        <f t="shared" si="8"/>
        <v>0.54470588235294126</v>
      </c>
    </row>
    <row r="8" spans="1:33" x14ac:dyDescent="0.25">
      <c r="A8">
        <v>161</v>
      </c>
      <c r="B8">
        <f>IFERROR(VLOOKUP(A8,Capacity!$A$3:$D$532,4,), "0")</f>
        <v>17.649467226800002</v>
      </c>
      <c r="C8" s="4">
        <f>IFERROR(VLOOKUP(A8,Capacity!$A$3:$F$532,6,), "0")</f>
        <v>0.26500000000000001</v>
      </c>
      <c r="D8">
        <v>160</v>
      </c>
      <c r="E8">
        <f>IFERROR(VLOOKUP(D8,Capacity!$A$3:$D$532,4,), "0")</f>
        <v>27.017696360000006</v>
      </c>
      <c r="F8" s="4">
        <f>IFERROR(VLOOKUP(D8,Capacity!$A$3:$F$532,6,), "0")</f>
        <v>0.2</v>
      </c>
      <c r="H8" t="str">
        <f>IFERROR(VLOOKUP(G8,Capacity!$A$3:$D$532,4,), "0")</f>
        <v>0</v>
      </c>
      <c r="I8" s="4" t="str">
        <f>IFERROR(VLOOKUP(G8,Capacity!$A$3:$F$532,6,), "0")</f>
        <v>0</v>
      </c>
      <c r="K8" t="str">
        <f>IFERROR(VLOOKUP(J8,Capacity!$A$3:$D$532,4,), "0")</f>
        <v>0</v>
      </c>
      <c r="L8" s="4" t="str">
        <f>IFERROR(VLOOKUP(J8,Capacity!$A$3:$F$532,6,), "0")</f>
        <v>0</v>
      </c>
      <c r="M8" s="5">
        <f t="shared" si="0"/>
        <v>27.017696360000006</v>
      </c>
      <c r="N8" s="5">
        <f t="shared" si="1"/>
        <v>0.2</v>
      </c>
      <c r="O8">
        <v>156</v>
      </c>
      <c r="P8">
        <f>IFERROR(VLOOKUP(O8,Capacity!$A$3:$D$532,4,), "0")</f>
        <v>388.77208425000003</v>
      </c>
      <c r="Q8" s="4">
        <f>IFERROR(VLOOKUP(O8,Capacity!$A$3:$F$532,6,), "0")</f>
        <v>0.75</v>
      </c>
      <c r="R8" s="5">
        <f t="shared" si="4"/>
        <v>388.77208425000003</v>
      </c>
      <c r="S8" s="5">
        <f t="shared" si="5"/>
        <v>0.75</v>
      </c>
      <c r="U8">
        <v>161</v>
      </c>
      <c r="V8">
        <v>2</v>
      </c>
      <c r="W8">
        <v>2</v>
      </c>
      <c r="X8">
        <v>1</v>
      </c>
      <c r="AB8">
        <f t="shared" si="2"/>
        <v>6.9494949494949498E-2</v>
      </c>
      <c r="AC8">
        <f t="shared" si="3"/>
        <v>1.5307938768244929</v>
      </c>
      <c r="AD8">
        <f t="shared" si="6"/>
        <v>0.26666666666666666</v>
      </c>
      <c r="AE8">
        <f t="shared" si="7"/>
        <v>0.75471698113207553</v>
      </c>
      <c r="AG8">
        <f t="shared" si="8"/>
        <v>6.6477026776327997E-2</v>
      </c>
    </row>
    <row r="9" spans="1:33" x14ac:dyDescent="0.25">
      <c r="A9">
        <v>155</v>
      </c>
      <c r="B9">
        <f>IFERROR(VLOOKUP(A9,Capacity!$A$3:$D$532,4,), "0")</f>
        <v>371.10062587500005</v>
      </c>
      <c r="C9" s="4">
        <f>IFERROR(VLOOKUP(A9,Capacity!$A$3:$F$532,6,), "0")</f>
        <v>0.75</v>
      </c>
      <c r="D9">
        <v>154</v>
      </c>
      <c r="E9">
        <f>IFERROR(VLOOKUP(D9,Capacity!$A$3:$D$532,4,), "0")</f>
        <v>388.77208425000003</v>
      </c>
      <c r="F9" s="4">
        <f>IFERROR(VLOOKUP(D9,Capacity!$A$3:$F$532,6,), "0")</f>
        <v>0.75</v>
      </c>
      <c r="H9" t="str">
        <f>IFERROR(VLOOKUP(G9,Capacity!$A$3:$D$532,4,), "0")</f>
        <v>0</v>
      </c>
      <c r="I9" s="4" t="str">
        <f>IFERROR(VLOOKUP(G9,Capacity!$A$3:$F$532,6,), "0")</f>
        <v>0</v>
      </c>
      <c r="K9" t="str">
        <f>IFERROR(VLOOKUP(J9,Capacity!$A$3:$D$532,4,), "0")</f>
        <v>0</v>
      </c>
      <c r="L9" s="4" t="str">
        <f>IFERROR(VLOOKUP(J9,Capacity!$A$3:$F$532,6,), "0")</f>
        <v>0</v>
      </c>
      <c r="M9" s="5">
        <f t="shared" si="0"/>
        <v>388.77208425000003</v>
      </c>
      <c r="N9" s="5">
        <f t="shared" si="1"/>
        <v>0.75</v>
      </c>
      <c r="O9">
        <v>156</v>
      </c>
      <c r="P9">
        <f>IFERROR(VLOOKUP(O9,Capacity!$A$3:$D$532,4,), "0")</f>
        <v>388.77208425000003</v>
      </c>
      <c r="Q9" s="4">
        <f>IFERROR(VLOOKUP(O9,Capacity!$A$3:$F$532,6,), "0")</f>
        <v>0.75</v>
      </c>
      <c r="R9" s="5">
        <f t="shared" si="4"/>
        <v>388.77208425000003</v>
      </c>
      <c r="S9" s="5">
        <f t="shared" si="5"/>
        <v>0.75</v>
      </c>
      <c r="U9">
        <v>155</v>
      </c>
      <c r="V9">
        <v>1</v>
      </c>
      <c r="W9">
        <v>1</v>
      </c>
      <c r="X9">
        <v>1</v>
      </c>
      <c r="AB9">
        <f t="shared" si="2"/>
        <v>1</v>
      </c>
      <c r="AC9">
        <f t="shared" si="3"/>
        <v>1.0476190476190477</v>
      </c>
      <c r="AD9">
        <f t="shared" si="6"/>
        <v>1</v>
      </c>
      <c r="AE9">
        <f t="shared" si="7"/>
        <v>1</v>
      </c>
      <c r="AG9">
        <f t="shared" si="8"/>
        <v>0.5116279069767441</v>
      </c>
    </row>
    <row r="10" spans="1:33" x14ac:dyDescent="0.25">
      <c r="A10">
        <v>169</v>
      </c>
      <c r="B10">
        <f>IFERROR(VLOOKUP(A10,Capacity!$A$3:$D$532,4,), "0")</f>
        <v>42.725659360000009</v>
      </c>
      <c r="C10" s="4">
        <f>IFERROR(VLOOKUP(A10,Capacity!$A$3:$F$532,6,), "0")</f>
        <v>0.4</v>
      </c>
      <c r="D10">
        <v>167</v>
      </c>
      <c r="E10">
        <f>IFERROR(VLOOKUP(D10,Capacity!$A$3:$D$532,4,), "0")</f>
        <v>175.30086708000002</v>
      </c>
      <c r="F10" s="4">
        <f>IFERROR(VLOOKUP(D10,Capacity!$A$3:$F$532,6,), "0")</f>
        <v>0.6</v>
      </c>
      <c r="G10">
        <v>177</v>
      </c>
      <c r="H10">
        <f>IFERROR(VLOOKUP(G10,Capacity!$A$3:$D$532,4,), "0")</f>
        <v>282.743334</v>
      </c>
      <c r="I10" s="4">
        <f>IFERROR(VLOOKUP(G10,Capacity!$A$3:$F$532,6,), "0")</f>
        <v>0.75</v>
      </c>
      <c r="K10" t="str">
        <f>IFERROR(VLOOKUP(J10,Capacity!$A$3:$D$532,4,), "0")</f>
        <v>0</v>
      </c>
      <c r="L10" s="4" t="str">
        <f>IFERROR(VLOOKUP(J10,Capacity!$A$3:$F$532,6,), "0")</f>
        <v>0</v>
      </c>
      <c r="M10" s="5">
        <f t="shared" si="0"/>
        <v>458.04420107999999</v>
      </c>
      <c r="N10" s="5">
        <f t="shared" si="1"/>
        <v>1.35</v>
      </c>
      <c r="O10">
        <v>163</v>
      </c>
      <c r="P10">
        <f>IFERROR(VLOOKUP(O10,Capacity!$A$3:$D$532,4,), "0")</f>
        <v>42.725659360000009</v>
      </c>
      <c r="Q10" s="4">
        <f>IFERROR(VLOOKUP(O10,Capacity!$A$3:$F$532,6,), "0")</f>
        <v>0.4</v>
      </c>
      <c r="R10" s="5">
        <f t="shared" si="4"/>
        <v>42.725659360000009</v>
      </c>
      <c r="S10" s="5">
        <f t="shared" si="5"/>
        <v>0.4</v>
      </c>
      <c r="U10">
        <v>169</v>
      </c>
      <c r="V10">
        <v>3</v>
      </c>
      <c r="W10">
        <v>3</v>
      </c>
      <c r="X10">
        <v>1</v>
      </c>
      <c r="AB10">
        <f t="shared" si="2"/>
        <v>10.720588235294116</v>
      </c>
      <c r="AC10">
        <f t="shared" si="3"/>
        <v>10.720588235294116</v>
      </c>
      <c r="AD10">
        <f t="shared" si="6"/>
        <v>3.375</v>
      </c>
      <c r="AE10">
        <f t="shared" si="7"/>
        <v>3.375</v>
      </c>
      <c r="AG10">
        <f t="shared" si="8"/>
        <v>5.360294117647058</v>
      </c>
    </row>
    <row r="11" spans="1:33" x14ac:dyDescent="0.25">
      <c r="A11">
        <v>162</v>
      </c>
      <c r="B11">
        <f>IFERROR(VLOOKUP(A11,Capacity!$A$3:$D$532,4,), "0")</f>
        <v>16.355916473749996</v>
      </c>
      <c r="C11" s="4">
        <f>IFERROR(VLOOKUP(A11,Capacity!$A$3:$F$532,6,), "0")</f>
        <v>0.17499999999999999</v>
      </c>
      <c r="D11">
        <v>450</v>
      </c>
      <c r="E11">
        <f>IFERROR(VLOOKUP(D11,Capacity!$A$3:$D$532,4,), "0")</f>
        <v>6.734789136249999</v>
      </c>
      <c r="F11" s="4">
        <f>IFERROR(VLOOKUP(D11,Capacity!$A$3:$F$532,6,), "0")</f>
        <v>0.17499999999999999</v>
      </c>
      <c r="H11" t="str">
        <f>IFERROR(VLOOKUP(G11,Capacity!$A$3:$D$532,4,), "0")</f>
        <v>0</v>
      </c>
      <c r="I11" s="4" t="str">
        <f>IFERROR(VLOOKUP(G11,Capacity!$A$3:$F$532,6,), "0")</f>
        <v>0</v>
      </c>
      <c r="K11" t="str">
        <f>IFERROR(VLOOKUP(J11,Capacity!$A$3:$D$532,4,), "0")</f>
        <v>0</v>
      </c>
      <c r="L11" s="4" t="str">
        <f>IFERROR(VLOOKUP(J11,Capacity!$A$3:$F$532,6,), "0")</f>
        <v>0</v>
      </c>
      <c r="M11" s="5">
        <f t="shared" si="0"/>
        <v>6.734789136249999</v>
      </c>
      <c r="N11" s="5">
        <f t="shared" si="1"/>
        <v>0.17499999999999999</v>
      </c>
      <c r="O11">
        <v>163</v>
      </c>
      <c r="P11">
        <f>IFERROR(VLOOKUP(O11,Capacity!$A$3:$D$532,4,), "0")</f>
        <v>42.725659360000009</v>
      </c>
      <c r="Q11" s="4">
        <f>IFERROR(VLOOKUP(O11,Capacity!$A$3:$F$532,6,), "0")</f>
        <v>0.4</v>
      </c>
      <c r="R11" s="5">
        <f t="shared" si="4"/>
        <v>42.725659360000009</v>
      </c>
      <c r="S11" s="5">
        <f t="shared" si="5"/>
        <v>0.4</v>
      </c>
      <c r="U11">
        <v>162</v>
      </c>
      <c r="V11">
        <v>2</v>
      </c>
      <c r="W11">
        <v>2</v>
      </c>
      <c r="X11">
        <v>1</v>
      </c>
      <c r="AB11">
        <f t="shared" si="2"/>
        <v>0.15762867647058817</v>
      </c>
      <c r="AC11">
        <f t="shared" si="3"/>
        <v>0.41176470588235298</v>
      </c>
      <c r="AD11">
        <f t="shared" si="6"/>
        <v>0.43749999999999994</v>
      </c>
      <c r="AE11">
        <f t="shared" si="7"/>
        <v>1</v>
      </c>
      <c r="AG11">
        <f t="shared" si="8"/>
        <v>0.1139913592555666</v>
      </c>
    </row>
    <row r="12" spans="1:33" x14ac:dyDescent="0.25">
      <c r="A12">
        <v>148</v>
      </c>
      <c r="B12">
        <f>IFERROR(VLOOKUP(A12,Capacity!$A$3:$D$532,4,), "0")</f>
        <v>23.876103760000007</v>
      </c>
      <c r="C12" s="4">
        <f>IFERROR(VLOOKUP(A12,Capacity!$A$3:$F$532,6,), "0")</f>
        <v>0.2</v>
      </c>
      <c r="D12">
        <v>147</v>
      </c>
      <c r="E12">
        <f>IFERROR(VLOOKUP(D12,Capacity!$A$3:$D$532,4,), "0")</f>
        <v>23.876103760000007</v>
      </c>
      <c r="F12" s="4">
        <f>IFERROR(VLOOKUP(D12,Capacity!$A$3:$F$532,6,), "0")</f>
        <v>0.2</v>
      </c>
      <c r="H12" t="str">
        <f>IFERROR(VLOOKUP(G12,Capacity!$A$3:$D$532,4,), "0")</f>
        <v>0</v>
      </c>
      <c r="I12" s="4" t="str">
        <f>IFERROR(VLOOKUP(G12,Capacity!$A$3:$F$532,6,), "0")</f>
        <v>0</v>
      </c>
      <c r="K12" t="str">
        <f>IFERROR(VLOOKUP(J12,Capacity!$A$3:$D$532,4,), "0")</f>
        <v>0</v>
      </c>
      <c r="L12" s="4" t="str">
        <f>IFERROR(VLOOKUP(J12,Capacity!$A$3:$F$532,6,), "0")</f>
        <v>0</v>
      </c>
      <c r="M12" s="5">
        <f t="shared" si="0"/>
        <v>23.876103760000007</v>
      </c>
      <c r="N12" s="5">
        <f t="shared" si="1"/>
        <v>0.2</v>
      </c>
      <c r="O12">
        <v>149</v>
      </c>
      <c r="P12">
        <f>IFERROR(VLOOKUP(O12,Capacity!$A$3:$D$532,4,), "0")</f>
        <v>267.035371</v>
      </c>
      <c r="Q12" s="4">
        <f>IFERROR(VLOOKUP(O12,Capacity!$A$3:$F$532,6,), "0")</f>
        <v>1</v>
      </c>
      <c r="R12" s="5">
        <f t="shared" si="4"/>
        <v>267.035371</v>
      </c>
      <c r="S12" s="5">
        <f t="shared" si="5"/>
        <v>1</v>
      </c>
      <c r="U12">
        <v>148</v>
      </c>
      <c r="V12">
        <v>1</v>
      </c>
      <c r="W12">
        <v>1</v>
      </c>
      <c r="X12">
        <v>1</v>
      </c>
      <c r="AB12">
        <f t="shared" si="2"/>
        <v>8.9411764705882385E-2</v>
      </c>
      <c r="AC12">
        <f t="shared" si="3"/>
        <v>1</v>
      </c>
      <c r="AD12">
        <f t="shared" si="6"/>
        <v>0.2</v>
      </c>
      <c r="AE12">
        <f t="shared" si="7"/>
        <v>1</v>
      </c>
      <c r="AG12">
        <f t="shared" si="8"/>
        <v>8.2073434125269989E-2</v>
      </c>
    </row>
    <row r="13" spans="1:33" x14ac:dyDescent="0.25">
      <c r="A13">
        <v>144</v>
      </c>
      <c r="B13">
        <f>IFERROR(VLOOKUP(A13,Capacity!$A$3:$D$532,4,), "0")</f>
        <v>267.035371</v>
      </c>
      <c r="C13" s="4">
        <f>IFERROR(VLOOKUP(A13,Capacity!$A$3:$F$532,6,), "0")</f>
        <v>1</v>
      </c>
      <c r="D13">
        <v>143</v>
      </c>
      <c r="E13">
        <f>IFERROR(VLOOKUP(D13,Capacity!$A$3:$D$532,4,), "0")</f>
        <v>17.799085574374995</v>
      </c>
      <c r="F13" s="4">
        <f>IFERROR(VLOOKUP(D13,Capacity!$A$3:$F$532,6,), "0")</f>
        <v>0.17499999999999999</v>
      </c>
      <c r="G13">
        <v>137</v>
      </c>
      <c r="H13">
        <f>IFERROR(VLOOKUP(G13,Capacity!$A$3:$D$532,4,), "0")</f>
        <v>267.035371</v>
      </c>
      <c r="I13" s="4">
        <f>IFERROR(VLOOKUP(G13,Capacity!$A$3:$F$532,6,), "0")</f>
        <v>1</v>
      </c>
      <c r="K13" t="str">
        <f>IFERROR(VLOOKUP(J13,Capacity!$A$3:$D$532,4,), "0")</f>
        <v>0</v>
      </c>
      <c r="L13" s="4" t="str">
        <f>IFERROR(VLOOKUP(J13,Capacity!$A$3:$F$532,6,), "0")</f>
        <v>0</v>
      </c>
      <c r="M13" s="5">
        <f t="shared" si="0"/>
        <v>284.834456574375</v>
      </c>
      <c r="N13" s="5">
        <f t="shared" si="1"/>
        <v>1.175</v>
      </c>
      <c r="O13">
        <v>149</v>
      </c>
      <c r="P13">
        <f>IFERROR(VLOOKUP(O13,Capacity!$A$3:$D$532,4,), "0")</f>
        <v>267.035371</v>
      </c>
      <c r="Q13" s="4">
        <f>IFERROR(VLOOKUP(O13,Capacity!$A$3:$F$532,6,), "0")</f>
        <v>1</v>
      </c>
      <c r="R13" s="5">
        <f t="shared" si="4"/>
        <v>267.035371</v>
      </c>
      <c r="S13" s="5">
        <f t="shared" si="5"/>
        <v>1</v>
      </c>
      <c r="U13">
        <v>144</v>
      </c>
      <c r="V13">
        <v>2</v>
      </c>
      <c r="W13">
        <v>2</v>
      </c>
      <c r="X13">
        <v>1</v>
      </c>
      <c r="AB13">
        <f t="shared" si="2"/>
        <v>1.0666544117647059</v>
      </c>
      <c r="AC13">
        <f t="shared" si="3"/>
        <v>1.0666544117647059</v>
      </c>
      <c r="AD13">
        <f t="shared" si="6"/>
        <v>1.175</v>
      </c>
      <c r="AE13">
        <f t="shared" si="7"/>
        <v>1.175</v>
      </c>
      <c r="AG13">
        <f t="shared" si="8"/>
        <v>0.53332720588235294</v>
      </c>
    </row>
    <row r="14" spans="1:33" x14ac:dyDescent="0.25">
      <c r="A14">
        <v>151</v>
      </c>
      <c r="B14">
        <f>IFERROR(VLOOKUP(A14,Capacity!$A$3:$D$532,4,), "0")</f>
        <v>25.132740800000008</v>
      </c>
      <c r="C14" s="4">
        <f>IFERROR(VLOOKUP(A14,Capacity!$A$3:$F$532,6,), "0")</f>
        <v>0.2</v>
      </c>
      <c r="D14">
        <v>150</v>
      </c>
      <c r="E14">
        <f>IFERROR(VLOOKUP(D14,Capacity!$A$3:$D$532,4,), "0")</f>
        <v>19.242254674999998</v>
      </c>
      <c r="F14" s="4">
        <f>IFERROR(VLOOKUP(D14,Capacity!$A$3:$F$532,6,), "0")</f>
        <v>0.17499999999999999</v>
      </c>
      <c r="H14" t="str">
        <f>IFERROR(VLOOKUP(G14,Capacity!$A$3:$D$532,4,), "0")</f>
        <v>0</v>
      </c>
      <c r="I14" s="4" t="str">
        <f>IFERROR(VLOOKUP(G14,Capacity!$A$3:$F$532,6,), "0")</f>
        <v>0</v>
      </c>
      <c r="K14" t="str">
        <f>IFERROR(VLOOKUP(J14,Capacity!$A$3:$D$532,4,), "0")</f>
        <v>0</v>
      </c>
      <c r="L14" s="4" t="str">
        <f>IFERROR(VLOOKUP(J14,Capacity!$A$3:$F$532,6,), "0")</f>
        <v>0</v>
      </c>
      <c r="M14" s="5">
        <f t="shared" si="0"/>
        <v>19.242254674999998</v>
      </c>
      <c r="N14" s="5">
        <f t="shared" si="1"/>
        <v>0.17499999999999999</v>
      </c>
      <c r="O14">
        <v>152</v>
      </c>
      <c r="P14">
        <f>IFERROR(VLOOKUP(O14,Capacity!$A$3:$D$532,4,), "0")</f>
        <v>25.132740800000008</v>
      </c>
      <c r="Q14" s="4">
        <f>IFERROR(VLOOKUP(O14,Capacity!$A$3:$F$532,6,), "0")</f>
        <v>0.2</v>
      </c>
      <c r="R14" s="5">
        <f t="shared" si="4"/>
        <v>25.132740800000008</v>
      </c>
      <c r="S14" s="5">
        <f t="shared" si="5"/>
        <v>0.2</v>
      </c>
      <c r="U14">
        <v>151</v>
      </c>
      <c r="V14">
        <v>1</v>
      </c>
      <c r="W14">
        <v>1</v>
      </c>
      <c r="X14">
        <v>1</v>
      </c>
      <c r="AB14">
        <f t="shared" si="2"/>
        <v>0.76562499999999967</v>
      </c>
      <c r="AC14">
        <f t="shared" si="3"/>
        <v>0.76562499999999967</v>
      </c>
      <c r="AD14">
        <f t="shared" si="6"/>
        <v>0.87499999999999989</v>
      </c>
      <c r="AE14">
        <f t="shared" si="7"/>
        <v>0.87499999999999989</v>
      </c>
      <c r="AG14">
        <f t="shared" si="8"/>
        <v>0.38281249999999983</v>
      </c>
    </row>
    <row r="15" spans="1:33" x14ac:dyDescent="0.25">
      <c r="A15">
        <v>154</v>
      </c>
      <c r="B15">
        <f>IFERROR(VLOOKUP(A15,Capacity!$A$3:$D$532,4,), "0")</f>
        <v>388.77208425000003</v>
      </c>
      <c r="C15" s="4">
        <f>IFERROR(VLOOKUP(A15,Capacity!$A$3:$F$532,6,), "0")</f>
        <v>0.75</v>
      </c>
      <c r="D15">
        <v>87</v>
      </c>
      <c r="E15">
        <f>IFERROR(VLOOKUP(D15,Capacity!$A$3:$D$532,4,), "0")</f>
        <v>388.77208425000003</v>
      </c>
      <c r="F15" s="4">
        <f>IFERROR(VLOOKUP(D15,Capacity!$A$3:$F$532,6,), "0")</f>
        <v>0.75</v>
      </c>
      <c r="H15" t="str">
        <f>IFERROR(VLOOKUP(G15,Capacity!$A$3:$D$532,4,), "0")</f>
        <v>0</v>
      </c>
      <c r="I15" s="4" t="str">
        <f>IFERROR(VLOOKUP(G15,Capacity!$A$3:$F$532,6,), "0")</f>
        <v>0</v>
      </c>
      <c r="K15" t="str">
        <f>IFERROR(VLOOKUP(J15,Capacity!$A$3:$D$532,4,), "0")</f>
        <v>0</v>
      </c>
      <c r="L15" s="4" t="str">
        <f>IFERROR(VLOOKUP(J15,Capacity!$A$3:$F$532,6,), "0")</f>
        <v>0</v>
      </c>
      <c r="M15" s="5">
        <f t="shared" si="0"/>
        <v>388.77208425000003</v>
      </c>
      <c r="N15" s="5">
        <f t="shared" si="1"/>
        <v>0.75</v>
      </c>
      <c r="O15">
        <v>155</v>
      </c>
      <c r="P15">
        <f>IFERROR(VLOOKUP(O15,Capacity!$A$3:$D$532,4,), "0")</f>
        <v>371.10062587500005</v>
      </c>
      <c r="Q15" s="4">
        <f>IFERROR(VLOOKUP(O15,Capacity!$A$3:$F$532,6,), "0")</f>
        <v>0.75</v>
      </c>
      <c r="R15" s="5">
        <f t="shared" si="4"/>
        <v>371.10062587500005</v>
      </c>
      <c r="S15" s="5">
        <f t="shared" si="5"/>
        <v>0.75</v>
      </c>
      <c r="U15">
        <v>154</v>
      </c>
      <c r="V15">
        <v>1</v>
      </c>
      <c r="W15">
        <v>1</v>
      </c>
      <c r="X15">
        <v>1</v>
      </c>
      <c r="AB15">
        <f t="shared" si="2"/>
        <v>1.0476190476190477</v>
      </c>
      <c r="AC15">
        <f t="shared" si="3"/>
        <v>1</v>
      </c>
      <c r="AD15">
        <f t="shared" si="6"/>
        <v>1</v>
      </c>
      <c r="AE15">
        <f t="shared" si="7"/>
        <v>1</v>
      </c>
      <c r="AG15">
        <f t="shared" si="8"/>
        <v>0.5116279069767441</v>
      </c>
    </row>
    <row r="16" spans="1:33" x14ac:dyDescent="0.25">
      <c r="A16">
        <v>160</v>
      </c>
      <c r="B16">
        <f>IFERROR(VLOOKUP(A16,Capacity!$A$3:$D$532,4,), "0")</f>
        <v>27.017696360000006</v>
      </c>
      <c r="C16" s="4">
        <f>IFERROR(VLOOKUP(A16,Capacity!$A$3:$F$532,6,), "0")</f>
        <v>0.2</v>
      </c>
      <c r="D16">
        <v>449</v>
      </c>
      <c r="E16">
        <f>IFERROR(VLOOKUP(D16,Capacity!$A$3:$D$532,4,), "0")</f>
        <v>20.685423775624997</v>
      </c>
      <c r="F16" s="4">
        <f>IFERROR(VLOOKUP(D16,Capacity!$A$3:$F$532,6,), "0")</f>
        <v>0.17499999999999999</v>
      </c>
      <c r="H16" t="str">
        <f>IFERROR(VLOOKUP(G16,Capacity!$A$3:$D$532,4,), "0")</f>
        <v>0</v>
      </c>
      <c r="I16" s="4" t="str">
        <f>IFERROR(VLOOKUP(G16,Capacity!$A$3:$F$532,6,), "0")</f>
        <v>0</v>
      </c>
      <c r="K16" t="str">
        <f>IFERROR(VLOOKUP(J16,Capacity!$A$3:$D$532,4,), "0")</f>
        <v>0</v>
      </c>
      <c r="L16" s="4" t="str">
        <f>IFERROR(VLOOKUP(J16,Capacity!$A$3:$F$532,6,), "0")</f>
        <v>0</v>
      </c>
      <c r="M16" s="5">
        <f t="shared" si="0"/>
        <v>20.685423775624997</v>
      </c>
      <c r="N16" s="5">
        <f t="shared" si="1"/>
        <v>0.17499999999999999</v>
      </c>
      <c r="O16">
        <v>161</v>
      </c>
      <c r="P16">
        <f>IFERROR(VLOOKUP(O16,Capacity!$A$3:$D$532,4,), "0")</f>
        <v>17.649467226800002</v>
      </c>
      <c r="Q16" s="4">
        <f>IFERROR(VLOOKUP(O16,Capacity!$A$3:$F$532,6,), "0")</f>
        <v>0.26500000000000001</v>
      </c>
      <c r="R16" s="5">
        <f t="shared" si="4"/>
        <v>17.649467226800002</v>
      </c>
      <c r="S16" s="5">
        <f t="shared" si="5"/>
        <v>0.26500000000000001</v>
      </c>
      <c r="U16">
        <v>160</v>
      </c>
      <c r="V16">
        <v>2</v>
      </c>
      <c r="W16">
        <v>2</v>
      </c>
      <c r="X16">
        <v>1</v>
      </c>
      <c r="AB16">
        <f t="shared" si="2"/>
        <v>1.172014061943752</v>
      </c>
      <c r="AC16">
        <f t="shared" si="3"/>
        <v>0.76562499999999978</v>
      </c>
      <c r="AD16">
        <f t="shared" si="6"/>
        <v>0.660377358490566</v>
      </c>
      <c r="AE16">
        <f t="shared" si="7"/>
        <v>0.87499999999999989</v>
      </c>
      <c r="AG16">
        <f t="shared" si="8"/>
        <v>0.46310135040090011</v>
      </c>
    </row>
    <row r="17" spans="1:33" x14ac:dyDescent="0.25">
      <c r="A17">
        <v>450</v>
      </c>
      <c r="B17">
        <f>IFERROR(VLOOKUP(A17,Capacity!$A$3:$D$532,4,), "0")</f>
        <v>6.734789136249999</v>
      </c>
      <c r="C17" s="4">
        <f>IFERROR(VLOOKUP(A17,Capacity!$A$3:$F$532,6,), "0")</f>
        <v>0.17499999999999999</v>
      </c>
      <c r="E17" t="str">
        <f>IFERROR(VLOOKUP(D17,Capacity!$A$3:$D$532,4,), "0")</f>
        <v>0</v>
      </c>
      <c r="F17" s="4" t="str">
        <f>IFERROR(VLOOKUP(D17,Capacity!$A$3:$F$532,6,), "0")</f>
        <v>0</v>
      </c>
      <c r="H17" t="str">
        <f>IFERROR(VLOOKUP(G17,Capacity!$A$3:$D$532,4,), "0")</f>
        <v>0</v>
      </c>
      <c r="I17" s="4" t="str">
        <f>IFERROR(VLOOKUP(G17,Capacity!$A$3:$F$532,6,), "0")</f>
        <v>0</v>
      </c>
      <c r="K17" t="str">
        <f>IFERROR(VLOOKUP(J17,Capacity!$A$3:$D$532,4,), "0")</f>
        <v>0</v>
      </c>
      <c r="L17" s="4" t="str">
        <f>IFERROR(VLOOKUP(J17,Capacity!$A$3:$F$532,6,), "0")</f>
        <v>0</v>
      </c>
      <c r="M17" s="5">
        <f t="shared" si="0"/>
        <v>0</v>
      </c>
      <c r="N17" s="5">
        <f t="shared" si="1"/>
        <v>0</v>
      </c>
      <c r="O17">
        <v>162</v>
      </c>
      <c r="P17">
        <f>IFERROR(VLOOKUP(O17,Capacity!$A$3:$D$532,4,), "0")</f>
        <v>16.355916473749996</v>
      </c>
      <c r="Q17" s="4">
        <f>IFERROR(VLOOKUP(O17,Capacity!$A$3:$F$532,6,), "0")</f>
        <v>0.17499999999999999</v>
      </c>
      <c r="R17" s="5">
        <f t="shared" si="4"/>
        <v>16.355916473749996</v>
      </c>
      <c r="S17" s="5">
        <f t="shared" si="5"/>
        <v>0.17499999999999999</v>
      </c>
      <c r="U17">
        <v>450</v>
      </c>
      <c r="V17">
        <v>0</v>
      </c>
      <c r="W17">
        <v>0</v>
      </c>
      <c r="X17">
        <v>1</v>
      </c>
      <c r="AB17">
        <f t="shared" si="2"/>
        <v>0</v>
      </c>
      <c r="AC17">
        <f t="shared" si="3"/>
        <v>0</v>
      </c>
      <c r="AD17">
        <f t="shared" si="6"/>
        <v>0</v>
      </c>
      <c r="AE17">
        <f t="shared" si="7"/>
        <v>0</v>
      </c>
      <c r="AG17">
        <f t="shared" si="8"/>
        <v>0</v>
      </c>
    </row>
    <row r="18" spans="1:33" x14ac:dyDescent="0.25">
      <c r="A18">
        <v>177</v>
      </c>
      <c r="B18">
        <f>IFERROR(VLOOKUP(A18,Capacity!$A$3:$D$532,4,), "0")</f>
        <v>282.743334</v>
      </c>
      <c r="C18" s="4">
        <f>IFERROR(VLOOKUP(A18,Capacity!$A$3:$F$532,6,), "0")</f>
        <v>0.75</v>
      </c>
      <c r="D18">
        <v>176</v>
      </c>
      <c r="E18">
        <f>IFERROR(VLOOKUP(D18,Capacity!$A$3:$D$532,4,), "0")</f>
        <v>19.242254674999998</v>
      </c>
      <c r="F18" s="4">
        <f>IFERROR(VLOOKUP(D18,Capacity!$A$3:$F$532,6,), "0")</f>
        <v>0.17499999999999999</v>
      </c>
      <c r="G18">
        <v>183</v>
      </c>
      <c r="H18">
        <f>IFERROR(VLOOKUP(G18,Capacity!$A$3:$D$532,4,), "0")</f>
        <v>40.212385280000007</v>
      </c>
      <c r="I18" s="4">
        <f>IFERROR(VLOOKUP(G18,Capacity!$A$3:$F$532,6,), "0")</f>
        <v>0.4</v>
      </c>
      <c r="K18" t="str">
        <f>IFERROR(VLOOKUP(J18,Capacity!$A$3:$D$532,4,), "0")</f>
        <v>0</v>
      </c>
      <c r="L18" s="4" t="str">
        <f>IFERROR(VLOOKUP(J18,Capacity!$A$3:$F$532,6,), "0")</f>
        <v>0</v>
      </c>
      <c r="M18" s="5">
        <f t="shared" si="0"/>
        <v>59.454639955000005</v>
      </c>
      <c r="N18" s="5">
        <f t="shared" si="1"/>
        <v>0.57499999999999996</v>
      </c>
      <c r="O18">
        <v>169</v>
      </c>
      <c r="P18">
        <f>IFERROR(VLOOKUP(O18,Capacity!$A$3:$D$532,4,), "0")</f>
        <v>42.725659360000009</v>
      </c>
      <c r="Q18" s="4">
        <f>IFERROR(VLOOKUP(O18,Capacity!$A$3:$F$532,6,), "0")</f>
        <v>0.4</v>
      </c>
      <c r="R18" s="5">
        <f t="shared" si="4"/>
        <v>42.725659360000009</v>
      </c>
      <c r="S18" s="5">
        <f t="shared" si="5"/>
        <v>0.4</v>
      </c>
      <c r="U18">
        <v>177</v>
      </c>
      <c r="V18">
        <v>2</v>
      </c>
      <c r="W18">
        <v>2</v>
      </c>
      <c r="X18">
        <v>1</v>
      </c>
      <c r="AB18">
        <f t="shared" si="2"/>
        <v>1.3915441176470587</v>
      </c>
      <c r="AC18">
        <f t="shared" si="3"/>
        <v>0.21027777777777779</v>
      </c>
      <c r="AD18">
        <f t="shared" si="6"/>
        <v>1.4374999999999998</v>
      </c>
      <c r="AE18">
        <f t="shared" si="7"/>
        <v>0.76666666666666661</v>
      </c>
      <c r="AG18">
        <f t="shared" si="8"/>
        <v>0.18267374517374518</v>
      </c>
    </row>
    <row r="19" spans="1:33" x14ac:dyDescent="0.25">
      <c r="A19">
        <v>167</v>
      </c>
      <c r="B19">
        <f>IFERROR(VLOOKUP(A19,Capacity!$A$3:$D$532,4,), "0")</f>
        <v>175.30086708000002</v>
      </c>
      <c r="C19" s="4">
        <f>IFERROR(VLOOKUP(A19,Capacity!$A$3:$F$532,6,), "0")</f>
        <v>0.6</v>
      </c>
      <c r="D19">
        <v>451</v>
      </c>
      <c r="E19">
        <f>IFERROR(VLOOKUP(D19,Capacity!$A$3:$D$532,4,), "0")</f>
        <v>8.6590146037499984</v>
      </c>
      <c r="F19" s="4">
        <f>IFERROR(VLOOKUP(D19,Capacity!$A$3:$F$532,6,), "0")</f>
        <v>0.17499999999999999</v>
      </c>
      <c r="G19">
        <v>166</v>
      </c>
      <c r="H19">
        <f>IFERROR(VLOOKUP(G19,Capacity!$A$3:$D$532,4,), "0")</f>
        <v>47.432943172025006</v>
      </c>
      <c r="I19" s="4">
        <f>IFERROR(VLOOKUP(G19,Capacity!$A$3:$F$532,6,), "0")</f>
        <v>0.26500000000000001</v>
      </c>
      <c r="K19" t="str">
        <f>IFERROR(VLOOKUP(J19,Capacity!$A$3:$D$532,4,), "0")</f>
        <v>0</v>
      </c>
      <c r="L19" s="4" t="str">
        <f>IFERROR(VLOOKUP(J19,Capacity!$A$3:$F$532,6,), "0")</f>
        <v>0</v>
      </c>
      <c r="M19" s="5">
        <f t="shared" si="0"/>
        <v>56.091957775775001</v>
      </c>
      <c r="N19" s="5">
        <f t="shared" si="1"/>
        <v>0.44</v>
      </c>
      <c r="O19">
        <v>169</v>
      </c>
      <c r="P19">
        <f>IFERROR(VLOOKUP(O19,Capacity!$A$3:$D$532,4,), "0")</f>
        <v>42.725659360000009</v>
      </c>
      <c r="Q19" s="4">
        <f>IFERROR(VLOOKUP(O19,Capacity!$A$3:$F$532,6,), "0")</f>
        <v>0.4</v>
      </c>
      <c r="R19" s="5">
        <f t="shared" si="4"/>
        <v>42.725659360000009</v>
      </c>
      <c r="S19" s="5">
        <f t="shared" si="5"/>
        <v>0.4</v>
      </c>
      <c r="U19">
        <v>167</v>
      </c>
      <c r="V19">
        <v>3</v>
      </c>
      <c r="W19">
        <v>3</v>
      </c>
      <c r="X19">
        <v>1</v>
      </c>
      <c r="AB19">
        <f t="shared" si="2"/>
        <v>1.3128400735294115</v>
      </c>
      <c r="AC19">
        <f t="shared" si="3"/>
        <v>0.31997535842293906</v>
      </c>
      <c r="AD19">
        <f t="shared" si="6"/>
        <v>1.0999999999999999</v>
      </c>
      <c r="AE19">
        <f t="shared" si="7"/>
        <v>0.73333333333333339</v>
      </c>
      <c r="AG19">
        <f t="shared" si="8"/>
        <v>0.25727125360230546</v>
      </c>
    </row>
    <row r="20" spans="1:33" x14ac:dyDescent="0.25">
      <c r="A20">
        <v>143</v>
      </c>
      <c r="B20">
        <f>IFERROR(VLOOKUP(A20,Capacity!$A$3:$D$532,4,), "0")</f>
        <v>17.799085574374995</v>
      </c>
      <c r="C20" s="4">
        <f>IFERROR(VLOOKUP(A20,Capacity!$A$3:$F$532,6,), "0")</f>
        <v>0.17499999999999999</v>
      </c>
      <c r="D20">
        <v>142</v>
      </c>
      <c r="E20">
        <f>IFERROR(VLOOKUP(D20,Capacity!$A$3:$D$532,4,), "0")</f>
        <v>17.799085574374995</v>
      </c>
      <c r="F20" s="4">
        <f>IFERROR(VLOOKUP(D20,Capacity!$A$3:$F$532,6,), "0")</f>
        <v>0.17499999999999999</v>
      </c>
      <c r="H20" t="str">
        <f>IFERROR(VLOOKUP(G20,Capacity!$A$3:$D$532,4,), "0")</f>
        <v>0</v>
      </c>
      <c r="I20" s="4" t="str">
        <f>IFERROR(VLOOKUP(G20,Capacity!$A$3:$F$532,6,), "0")</f>
        <v>0</v>
      </c>
      <c r="K20" t="str">
        <f>IFERROR(VLOOKUP(J20,Capacity!$A$3:$D$532,4,), "0")</f>
        <v>0</v>
      </c>
      <c r="L20" s="4" t="str">
        <f>IFERROR(VLOOKUP(J20,Capacity!$A$3:$F$532,6,), "0")</f>
        <v>0</v>
      </c>
      <c r="M20" s="5">
        <f t="shared" si="0"/>
        <v>17.799085574374995</v>
      </c>
      <c r="N20" s="5">
        <f t="shared" si="1"/>
        <v>0.17499999999999999</v>
      </c>
      <c r="O20">
        <v>144</v>
      </c>
      <c r="P20">
        <f>IFERROR(VLOOKUP(O20,Capacity!$A$3:$D$532,4,), "0")</f>
        <v>267.035371</v>
      </c>
      <c r="Q20" s="4">
        <f>IFERROR(VLOOKUP(O20,Capacity!$A$3:$F$532,6,), "0")</f>
        <v>1</v>
      </c>
      <c r="R20" s="5">
        <f t="shared" si="4"/>
        <v>267.035371</v>
      </c>
      <c r="S20" s="5">
        <f t="shared" si="5"/>
        <v>1</v>
      </c>
      <c r="U20">
        <v>143</v>
      </c>
      <c r="V20">
        <v>1</v>
      </c>
      <c r="W20">
        <v>1</v>
      </c>
      <c r="X20">
        <v>1</v>
      </c>
      <c r="AB20">
        <f t="shared" si="2"/>
        <v>6.6654411764705865E-2</v>
      </c>
      <c r="AC20">
        <f t="shared" si="3"/>
        <v>1</v>
      </c>
      <c r="AD20">
        <f t="shared" si="6"/>
        <v>0.17499999999999999</v>
      </c>
      <c r="AE20">
        <f t="shared" si="7"/>
        <v>1</v>
      </c>
      <c r="AG20">
        <f t="shared" si="8"/>
        <v>6.2489228966325423E-2</v>
      </c>
    </row>
    <row r="21" spans="1:33" x14ac:dyDescent="0.25">
      <c r="A21">
        <v>137</v>
      </c>
      <c r="B21">
        <f>IFERROR(VLOOKUP(A21,Capacity!$A$3:$D$532,4,), "0")</f>
        <v>267.035371</v>
      </c>
      <c r="C21" s="4">
        <f>IFERROR(VLOOKUP(A21,Capacity!$A$3:$F$532,6,), "0")</f>
        <v>1</v>
      </c>
      <c r="D21">
        <v>138</v>
      </c>
      <c r="E21">
        <f>IFERROR(VLOOKUP(D21,Capacity!$A$3:$D$532,4,), "0")</f>
        <v>48.066366779999996</v>
      </c>
      <c r="F21" s="4">
        <f>IFERROR(VLOOKUP(D21,Capacity!$A$3:$F$532,6,), "0")</f>
        <v>0.3</v>
      </c>
      <c r="G21">
        <v>136</v>
      </c>
      <c r="H21">
        <f>IFERROR(VLOOKUP(G21,Capacity!$A$3:$D$532,4,), "0")</f>
        <v>150.2073961875</v>
      </c>
      <c r="I21" s="4">
        <f>IFERROR(VLOOKUP(G21,Capacity!$A$3:$F$532,6,), "0")</f>
        <v>0.75</v>
      </c>
      <c r="K21" t="str">
        <f>IFERROR(VLOOKUP(J21,Capacity!$A$3:$D$532,4,), "0")</f>
        <v>0</v>
      </c>
      <c r="L21" s="4" t="str">
        <f>IFERROR(VLOOKUP(J21,Capacity!$A$3:$F$532,6,), "0")</f>
        <v>0</v>
      </c>
      <c r="M21" s="5">
        <f t="shared" si="0"/>
        <v>198.27376296749998</v>
      </c>
      <c r="N21" s="5">
        <f t="shared" si="1"/>
        <v>1.05</v>
      </c>
      <c r="O21">
        <v>144</v>
      </c>
      <c r="P21">
        <f>IFERROR(VLOOKUP(O21,Capacity!$A$3:$D$532,4,), "0")</f>
        <v>267.035371</v>
      </c>
      <c r="Q21" s="4">
        <f>IFERROR(VLOOKUP(O21,Capacity!$A$3:$F$532,6,), "0")</f>
        <v>1</v>
      </c>
      <c r="R21" s="5">
        <f t="shared" si="4"/>
        <v>267.035371</v>
      </c>
      <c r="S21" s="5">
        <f t="shared" si="5"/>
        <v>1</v>
      </c>
      <c r="U21">
        <v>137</v>
      </c>
      <c r="V21">
        <v>3</v>
      </c>
      <c r="W21">
        <v>3</v>
      </c>
      <c r="X21">
        <v>1</v>
      </c>
      <c r="AB21">
        <f t="shared" si="2"/>
        <v>0.74249999999999994</v>
      </c>
      <c r="AC21">
        <f t="shared" si="3"/>
        <v>0.74249999999999994</v>
      </c>
      <c r="AD21">
        <f t="shared" si="6"/>
        <v>1.05</v>
      </c>
      <c r="AE21">
        <f t="shared" si="7"/>
        <v>1.05</v>
      </c>
      <c r="AG21">
        <f t="shared" si="8"/>
        <v>0.37124999999999997</v>
      </c>
    </row>
    <row r="22" spans="1:33" x14ac:dyDescent="0.25">
      <c r="A22">
        <v>147</v>
      </c>
      <c r="B22">
        <f>IFERROR(VLOOKUP(A22,Capacity!$A$3:$D$532,4,), "0")</f>
        <v>23.876103760000007</v>
      </c>
      <c r="C22" s="4">
        <f>IFERROR(VLOOKUP(A22,Capacity!$A$3:$F$532,6,), "0")</f>
        <v>0.2</v>
      </c>
      <c r="D22">
        <v>145</v>
      </c>
      <c r="E22">
        <f>IFERROR(VLOOKUP(D22,Capacity!$A$3:$D$532,4,), "0")</f>
        <v>23.876103760000007</v>
      </c>
      <c r="F22" s="4">
        <f>IFERROR(VLOOKUP(D22,Capacity!$A$3:$F$532,6,), "0")</f>
        <v>0.2</v>
      </c>
      <c r="H22" t="str">
        <f>IFERROR(VLOOKUP(G22,Capacity!$A$3:$D$532,4,), "0")</f>
        <v>0</v>
      </c>
      <c r="I22" s="4" t="str">
        <f>IFERROR(VLOOKUP(G22,Capacity!$A$3:$F$532,6,), "0")</f>
        <v>0</v>
      </c>
      <c r="K22" t="str">
        <f>IFERROR(VLOOKUP(J22,Capacity!$A$3:$D$532,4,), "0")</f>
        <v>0</v>
      </c>
      <c r="L22" s="4" t="str">
        <f>IFERROR(VLOOKUP(J22,Capacity!$A$3:$F$532,6,), "0")</f>
        <v>0</v>
      </c>
      <c r="M22" s="5">
        <f t="shared" si="0"/>
        <v>23.876103760000007</v>
      </c>
      <c r="N22" s="5">
        <f t="shared" si="1"/>
        <v>0.2</v>
      </c>
      <c r="O22">
        <v>148</v>
      </c>
      <c r="P22">
        <f>IFERROR(VLOOKUP(O22,Capacity!$A$3:$D$532,4,), "0")</f>
        <v>23.876103760000007</v>
      </c>
      <c r="Q22" s="4">
        <f>IFERROR(VLOOKUP(O22,Capacity!$A$3:$F$532,6,), "0")</f>
        <v>0.2</v>
      </c>
      <c r="R22" s="5">
        <f t="shared" si="4"/>
        <v>23.876103760000007</v>
      </c>
      <c r="S22" s="5">
        <f t="shared" si="5"/>
        <v>0.2</v>
      </c>
      <c r="U22">
        <v>147</v>
      </c>
      <c r="V22">
        <v>2</v>
      </c>
      <c r="W22">
        <v>2</v>
      </c>
      <c r="X22">
        <v>1</v>
      </c>
      <c r="AB22">
        <f t="shared" si="2"/>
        <v>1</v>
      </c>
      <c r="AC22">
        <f t="shared" si="3"/>
        <v>1</v>
      </c>
      <c r="AD22">
        <f t="shared" si="6"/>
        <v>1</v>
      </c>
      <c r="AE22">
        <f t="shared" si="7"/>
        <v>1</v>
      </c>
      <c r="AG22">
        <f t="shared" si="8"/>
        <v>0.5</v>
      </c>
    </row>
    <row r="23" spans="1:33" x14ac:dyDescent="0.25">
      <c r="A23">
        <v>150</v>
      </c>
      <c r="B23">
        <f>IFERROR(VLOOKUP(A23,Capacity!$A$3:$D$532,4,), "0")</f>
        <v>19.242254674999998</v>
      </c>
      <c r="C23" s="4">
        <f>IFERROR(VLOOKUP(A23,Capacity!$A$3:$F$532,6,), "0")</f>
        <v>0.17499999999999999</v>
      </c>
      <c r="D23">
        <v>446</v>
      </c>
      <c r="E23">
        <f>IFERROR(VLOOKUP(D23,Capacity!$A$3:$D$532,4,), "0")</f>
        <v>40.212385280000007</v>
      </c>
      <c r="F23" s="4">
        <f>IFERROR(VLOOKUP(D23,Capacity!$A$3:$F$532,6,), "0")</f>
        <v>0.4</v>
      </c>
      <c r="G23">
        <v>88</v>
      </c>
      <c r="H23">
        <f>IFERROR(VLOOKUP(G23,Capacity!$A$3:$D$532,4,), "0")</f>
        <v>172.78759300000002</v>
      </c>
      <c r="I23" s="4">
        <f>IFERROR(VLOOKUP(G23,Capacity!$A$3:$F$532,6,), "0")</f>
        <v>0.5</v>
      </c>
      <c r="K23" t="str">
        <f>IFERROR(VLOOKUP(J23,Capacity!$A$3:$D$532,4,), "0")</f>
        <v>0</v>
      </c>
      <c r="L23" s="4" t="str">
        <f>IFERROR(VLOOKUP(J23,Capacity!$A$3:$F$532,6,), "0")</f>
        <v>0</v>
      </c>
      <c r="M23" s="5">
        <f t="shared" si="0"/>
        <v>212.99997828000002</v>
      </c>
      <c r="N23" s="5">
        <f t="shared" si="1"/>
        <v>0.9</v>
      </c>
      <c r="O23">
        <v>151</v>
      </c>
      <c r="P23">
        <f>IFERROR(VLOOKUP(O23,Capacity!$A$3:$D$532,4,), "0")</f>
        <v>25.132740800000008</v>
      </c>
      <c r="Q23" s="4">
        <f>IFERROR(VLOOKUP(O23,Capacity!$A$3:$F$532,6,), "0")</f>
        <v>0.2</v>
      </c>
      <c r="R23" s="5">
        <f t="shared" si="4"/>
        <v>25.132740800000008</v>
      </c>
      <c r="S23" s="5">
        <f t="shared" si="5"/>
        <v>0.2</v>
      </c>
      <c r="U23">
        <v>150</v>
      </c>
      <c r="V23">
        <v>3</v>
      </c>
      <c r="W23">
        <v>3</v>
      </c>
      <c r="X23">
        <v>1</v>
      </c>
      <c r="AB23">
        <f t="shared" si="2"/>
        <v>8.4749999999999979</v>
      </c>
      <c r="AC23">
        <f t="shared" si="3"/>
        <v>11.069387755102044</v>
      </c>
      <c r="AD23">
        <f t="shared" si="6"/>
        <v>4.5</v>
      </c>
      <c r="AE23">
        <f t="shared" si="7"/>
        <v>5.1428571428571432</v>
      </c>
      <c r="AG23">
        <f t="shared" si="8"/>
        <v>4.8</v>
      </c>
    </row>
    <row r="24" spans="1:33" x14ac:dyDescent="0.25">
      <c r="A24">
        <v>448</v>
      </c>
      <c r="B24">
        <f>IFERROR(VLOOKUP(A24,Capacity!$A$3:$D$532,4,), "0")</f>
        <v>7.6969018699999987</v>
      </c>
      <c r="C24" s="4">
        <f>IFERROR(VLOOKUP(A24,Capacity!$A$3:$F$532,6,), "0")</f>
        <v>0.17499999999999999</v>
      </c>
      <c r="E24" t="str">
        <f>IFERROR(VLOOKUP(D24,Capacity!$A$3:$D$532,4,), "0")</f>
        <v>0</v>
      </c>
      <c r="F24" s="4" t="str">
        <f>IFERROR(VLOOKUP(D24,Capacity!$A$3:$F$532,6,), "0")</f>
        <v>0</v>
      </c>
      <c r="H24" t="str">
        <f>IFERROR(VLOOKUP(G24,Capacity!$A$3:$D$532,4,), "0")</f>
        <v>0</v>
      </c>
      <c r="I24" s="4" t="str">
        <f>IFERROR(VLOOKUP(G24,Capacity!$A$3:$F$532,6,), "0")</f>
        <v>0</v>
      </c>
      <c r="K24" t="str">
        <f>IFERROR(VLOOKUP(J24,Capacity!$A$3:$D$532,4,), "0")</f>
        <v>0</v>
      </c>
      <c r="L24" s="4" t="str">
        <f>IFERROR(VLOOKUP(J24,Capacity!$A$3:$F$532,6,), "0")</f>
        <v>0</v>
      </c>
      <c r="M24" s="5">
        <f t="shared" si="0"/>
        <v>0</v>
      </c>
      <c r="N24" s="5">
        <f t="shared" si="1"/>
        <v>0</v>
      </c>
      <c r="O24">
        <v>154</v>
      </c>
      <c r="P24">
        <f>IFERROR(VLOOKUP(O24,Capacity!$A$3:$D$532,4,), "0")</f>
        <v>388.77208425000003</v>
      </c>
      <c r="Q24" s="4">
        <f>IFERROR(VLOOKUP(O24,Capacity!$A$3:$F$532,6,), "0")</f>
        <v>0.75</v>
      </c>
      <c r="R24" s="5">
        <f t="shared" si="4"/>
        <v>388.77208425000003</v>
      </c>
      <c r="S24" s="5">
        <f t="shared" si="5"/>
        <v>0.75</v>
      </c>
      <c r="U24">
        <v>448</v>
      </c>
      <c r="V24">
        <v>0</v>
      </c>
      <c r="W24">
        <v>0</v>
      </c>
      <c r="X24">
        <v>1</v>
      </c>
      <c r="AB24">
        <f t="shared" si="2"/>
        <v>0</v>
      </c>
      <c r="AC24">
        <f t="shared" si="3"/>
        <v>0</v>
      </c>
      <c r="AD24">
        <f t="shared" si="6"/>
        <v>0</v>
      </c>
      <c r="AE24">
        <f t="shared" si="7"/>
        <v>0</v>
      </c>
      <c r="AG24">
        <f t="shared" si="8"/>
        <v>0</v>
      </c>
    </row>
    <row r="25" spans="1:33" x14ac:dyDescent="0.25">
      <c r="A25">
        <v>159</v>
      </c>
      <c r="B25">
        <f>IFERROR(VLOOKUP(A25,Capacity!$A$3:$D$532,4,), "0")</f>
        <v>22.619466719999998</v>
      </c>
      <c r="C25" s="4">
        <f>IFERROR(VLOOKUP(A25,Capacity!$A$3:$F$532,6,), "0")</f>
        <v>0.3</v>
      </c>
      <c r="D25">
        <v>419</v>
      </c>
      <c r="E25">
        <f>IFERROR(VLOOKUP(D25,Capacity!$A$3:$D$532,4,), "0")</f>
        <v>21.166480142499999</v>
      </c>
      <c r="F25" s="4">
        <f>IFERROR(VLOOKUP(D25,Capacity!$A$3:$F$532,6,), "0")</f>
        <v>0.17499999999999999</v>
      </c>
      <c r="G25">
        <v>164</v>
      </c>
      <c r="H25">
        <f>IFERROR(VLOOKUP(G25,Capacity!$A$3:$D$532,4,), "0")</f>
        <v>22.619466719999998</v>
      </c>
      <c r="I25" s="4">
        <f>IFERROR(VLOOKUP(G25,Capacity!$A$3:$F$532,6,), "0")</f>
        <v>0.3</v>
      </c>
      <c r="K25" t="str">
        <f>IFERROR(VLOOKUP(J25,Capacity!$A$3:$D$532,4,), "0")</f>
        <v>0</v>
      </c>
      <c r="L25" s="4" t="str">
        <f>IFERROR(VLOOKUP(J25,Capacity!$A$3:$F$532,6,), "0")</f>
        <v>0</v>
      </c>
      <c r="M25" s="5">
        <f t="shared" si="0"/>
        <v>43.785946862499998</v>
      </c>
      <c r="N25" s="5">
        <f t="shared" si="1"/>
        <v>0.47499999999999998</v>
      </c>
      <c r="O25">
        <v>154</v>
      </c>
      <c r="P25">
        <f>IFERROR(VLOOKUP(O25,Capacity!$A$3:$D$532,4,), "0")</f>
        <v>388.77208425000003</v>
      </c>
      <c r="Q25" s="4">
        <f>IFERROR(VLOOKUP(O25,Capacity!$A$3:$F$532,6,), "0")</f>
        <v>0.75</v>
      </c>
      <c r="R25" s="5">
        <f t="shared" si="4"/>
        <v>388.77208425000003</v>
      </c>
      <c r="S25" s="5">
        <f t="shared" si="5"/>
        <v>0.75</v>
      </c>
      <c r="U25">
        <v>159</v>
      </c>
      <c r="V25">
        <v>2</v>
      </c>
      <c r="W25">
        <v>2</v>
      </c>
      <c r="X25">
        <v>1</v>
      </c>
      <c r="AB25">
        <f t="shared" si="2"/>
        <v>0.11262626262626262</v>
      </c>
      <c r="AC25">
        <f t="shared" si="3"/>
        <v>1.9357638888888888</v>
      </c>
      <c r="AD25">
        <f t="shared" si="6"/>
        <v>0.6333333333333333</v>
      </c>
      <c r="AE25">
        <f t="shared" si="7"/>
        <v>1.5833333333333333</v>
      </c>
      <c r="AG25">
        <f t="shared" si="8"/>
        <v>0.10643375334096983</v>
      </c>
    </row>
    <row r="26" spans="1:33" x14ac:dyDescent="0.25">
      <c r="A26">
        <v>87</v>
      </c>
      <c r="B26">
        <f>IFERROR(VLOOKUP(A26,Capacity!$A$3:$D$532,4,), "0")</f>
        <v>388.77208425000003</v>
      </c>
      <c r="C26" s="4">
        <f>IFERROR(VLOOKUP(A26,Capacity!$A$3:$F$532,6,), "0")</f>
        <v>0.75</v>
      </c>
      <c r="D26">
        <v>48</v>
      </c>
      <c r="E26">
        <f>IFERROR(VLOOKUP(D26,Capacity!$A$3:$D$532,4,), "0")</f>
        <v>397.6078134375</v>
      </c>
      <c r="F26" s="4">
        <f>IFERROR(VLOOKUP(D26,Capacity!$A$3:$F$532,6,), "0")</f>
        <v>0.75</v>
      </c>
      <c r="G26">
        <v>86</v>
      </c>
      <c r="H26">
        <f>IFERROR(VLOOKUP(G26,Capacity!$A$3:$D$532,4,), "0")</f>
        <v>90.477866879999993</v>
      </c>
      <c r="I26" s="4">
        <f>IFERROR(VLOOKUP(G26,Capacity!$A$3:$F$532,6,), "0")</f>
        <v>0.6</v>
      </c>
      <c r="K26" t="str">
        <f>IFERROR(VLOOKUP(J26,Capacity!$A$3:$D$532,4,), "0")</f>
        <v>0</v>
      </c>
      <c r="L26" s="4" t="str">
        <f>IFERROR(VLOOKUP(J26,Capacity!$A$3:$F$532,6,), "0")</f>
        <v>0</v>
      </c>
      <c r="M26" s="5">
        <f t="shared" si="0"/>
        <v>488.08568031749996</v>
      </c>
      <c r="N26" s="5">
        <f t="shared" si="1"/>
        <v>1.35</v>
      </c>
      <c r="O26">
        <v>154</v>
      </c>
      <c r="P26">
        <f>IFERROR(VLOOKUP(O26,Capacity!$A$3:$D$532,4,), "0")</f>
        <v>388.77208425000003</v>
      </c>
      <c r="Q26" s="4">
        <f>IFERROR(VLOOKUP(O26,Capacity!$A$3:$F$532,6,), "0")</f>
        <v>0.75</v>
      </c>
      <c r="R26" s="5">
        <f t="shared" si="4"/>
        <v>388.77208425000003</v>
      </c>
      <c r="S26" s="5">
        <f t="shared" si="5"/>
        <v>0.75</v>
      </c>
      <c r="U26">
        <v>87</v>
      </c>
      <c r="V26">
        <v>3</v>
      </c>
      <c r="W26">
        <v>3</v>
      </c>
      <c r="X26">
        <v>1</v>
      </c>
      <c r="AB26">
        <f t="shared" si="2"/>
        <v>1.2554545454545452</v>
      </c>
      <c r="AC26">
        <f t="shared" si="3"/>
        <v>1.2554545454545452</v>
      </c>
      <c r="AD26">
        <f t="shared" si="6"/>
        <v>1.8</v>
      </c>
      <c r="AE26">
        <f t="shared" si="7"/>
        <v>1.8</v>
      </c>
      <c r="AG26">
        <f t="shared" si="8"/>
        <v>0.62772727272727258</v>
      </c>
    </row>
    <row r="27" spans="1:33" x14ac:dyDescent="0.25">
      <c r="A27">
        <v>449</v>
      </c>
      <c r="B27">
        <f>IFERROR(VLOOKUP(A27,Capacity!$A$3:$D$532,4,), "0")</f>
        <v>20.685423775624997</v>
      </c>
      <c r="C27" s="4">
        <f>IFERROR(VLOOKUP(A27,Capacity!$A$3:$F$532,6,), "0")</f>
        <v>0.17499999999999999</v>
      </c>
      <c r="E27" t="str">
        <f>IFERROR(VLOOKUP(D27,Capacity!$A$3:$D$532,4,), "0")</f>
        <v>0</v>
      </c>
      <c r="F27" s="4" t="str">
        <f>IFERROR(VLOOKUP(D27,Capacity!$A$3:$F$532,6,), "0")</f>
        <v>0</v>
      </c>
      <c r="H27" t="str">
        <f>IFERROR(VLOOKUP(G27,Capacity!$A$3:$D$532,4,), "0")</f>
        <v>0</v>
      </c>
      <c r="I27" s="4" t="str">
        <f>IFERROR(VLOOKUP(G27,Capacity!$A$3:$F$532,6,), "0")</f>
        <v>0</v>
      </c>
      <c r="K27" t="str">
        <f>IFERROR(VLOOKUP(J27,Capacity!$A$3:$D$532,4,), "0")</f>
        <v>0</v>
      </c>
      <c r="L27" s="4" t="str">
        <f>IFERROR(VLOOKUP(J27,Capacity!$A$3:$F$532,6,), "0")</f>
        <v>0</v>
      </c>
      <c r="M27" s="5">
        <f t="shared" si="0"/>
        <v>0</v>
      </c>
      <c r="N27" s="5">
        <f t="shared" si="1"/>
        <v>0</v>
      </c>
      <c r="O27">
        <v>160</v>
      </c>
      <c r="P27">
        <f>IFERROR(VLOOKUP(O27,Capacity!$A$3:$D$532,4,), "0")</f>
        <v>27.017696360000006</v>
      </c>
      <c r="Q27" s="4">
        <f>IFERROR(VLOOKUP(O27,Capacity!$A$3:$F$532,6,), "0")</f>
        <v>0.2</v>
      </c>
      <c r="R27" s="5">
        <f t="shared" si="4"/>
        <v>27.017696360000006</v>
      </c>
      <c r="S27" s="5">
        <f t="shared" si="5"/>
        <v>0.2</v>
      </c>
      <c r="U27">
        <v>449</v>
      </c>
      <c r="V27">
        <v>0</v>
      </c>
      <c r="W27">
        <v>0</v>
      </c>
      <c r="X27">
        <v>1</v>
      </c>
      <c r="AB27">
        <f t="shared" si="2"/>
        <v>0</v>
      </c>
      <c r="AC27">
        <f t="shared" si="3"/>
        <v>0</v>
      </c>
      <c r="AD27">
        <f t="shared" si="6"/>
        <v>0</v>
      </c>
      <c r="AE27">
        <f t="shared" si="7"/>
        <v>0</v>
      </c>
      <c r="AG27">
        <f t="shared" si="8"/>
        <v>0</v>
      </c>
    </row>
    <row r="28" spans="1:33" x14ac:dyDescent="0.25">
      <c r="A28">
        <v>451</v>
      </c>
      <c r="B28">
        <f>IFERROR(VLOOKUP(A28,Capacity!$A$3:$D$532,4,), "0")</f>
        <v>8.6590146037499984</v>
      </c>
      <c r="C28" s="4">
        <f>IFERROR(VLOOKUP(A28,Capacity!$A$3:$F$532,6,), "0")</f>
        <v>0.17499999999999999</v>
      </c>
      <c r="E28" t="str">
        <f>IFERROR(VLOOKUP(D28,Capacity!$A$3:$D$532,4,), "0")</f>
        <v>0</v>
      </c>
      <c r="F28" s="4" t="str">
        <f>IFERROR(VLOOKUP(D28,Capacity!$A$3:$F$532,6,), "0")</f>
        <v>0</v>
      </c>
      <c r="H28" t="str">
        <f>IFERROR(VLOOKUP(G28,Capacity!$A$3:$D$532,4,), "0")</f>
        <v>0</v>
      </c>
      <c r="I28" s="4" t="str">
        <f>IFERROR(VLOOKUP(G28,Capacity!$A$3:$F$532,6,), "0")</f>
        <v>0</v>
      </c>
      <c r="K28" t="str">
        <f>IFERROR(VLOOKUP(J28,Capacity!$A$3:$D$532,4,), "0")</f>
        <v>0</v>
      </c>
      <c r="L28" s="4" t="str">
        <f>IFERROR(VLOOKUP(J28,Capacity!$A$3:$F$532,6,), "0")</f>
        <v>0</v>
      </c>
      <c r="M28" s="5">
        <f t="shared" si="0"/>
        <v>0</v>
      </c>
      <c r="N28" s="5">
        <f t="shared" si="1"/>
        <v>0</v>
      </c>
      <c r="O28">
        <v>167</v>
      </c>
      <c r="P28">
        <f>IFERROR(VLOOKUP(O28,Capacity!$A$3:$D$532,4,), "0")</f>
        <v>175.30086708000002</v>
      </c>
      <c r="Q28" s="4">
        <f>IFERROR(VLOOKUP(O28,Capacity!$A$3:$F$532,6,), "0")</f>
        <v>0.6</v>
      </c>
      <c r="R28" s="5">
        <f t="shared" si="4"/>
        <v>175.30086708000002</v>
      </c>
      <c r="S28" s="5">
        <f t="shared" si="5"/>
        <v>0.6</v>
      </c>
      <c r="U28">
        <v>451</v>
      </c>
      <c r="V28">
        <v>0</v>
      </c>
      <c r="W28">
        <v>0</v>
      </c>
      <c r="X28">
        <v>1</v>
      </c>
      <c r="AB28">
        <f t="shared" si="2"/>
        <v>0</v>
      </c>
      <c r="AC28">
        <f t="shared" si="3"/>
        <v>0</v>
      </c>
      <c r="AD28">
        <f t="shared" si="6"/>
        <v>0</v>
      </c>
      <c r="AE28">
        <f t="shared" si="7"/>
        <v>0</v>
      </c>
      <c r="AG28">
        <f t="shared" si="8"/>
        <v>0</v>
      </c>
    </row>
    <row r="29" spans="1:33" x14ac:dyDescent="0.25">
      <c r="A29">
        <v>166</v>
      </c>
      <c r="B29">
        <f>IFERROR(VLOOKUP(A29,Capacity!$A$3:$D$532,4,), "0")</f>
        <v>47.432943172025006</v>
      </c>
      <c r="C29" s="4">
        <f>IFERROR(VLOOKUP(A29,Capacity!$A$3:$F$532,6,), "0")</f>
        <v>0.26500000000000001</v>
      </c>
      <c r="D29">
        <v>165</v>
      </c>
      <c r="E29">
        <f>IFERROR(VLOOKUP(D29,Capacity!$A$3:$D$532,4,), "0")</f>
        <v>15.874860106874999</v>
      </c>
      <c r="F29" s="4">
        <f>IFERROR(VLOOKUP(D29,Capacity!$A$3:$F$532,6,), "0")</f>
        <v>0.17499999999999999</v>
      </c>
      <c r="G29">
        <v>172</v>
      </c>
      <c r="H29">
        <f>IFERROR(VLOOKUP(G29,Capacity!$A$3:$D$532,4,), "0")</f>
        <v>22.619466719999998</v>
      </c>
      <c r="I29" s="4">
        <f>IFERROR(VLOOKUP(G29,Capacity!$A$3:$F$532,6,), "0")</f>
        <v>0.3</v>
      </c>
      <c r="K29" t="str">
        <f>IFERROR(VLOOKUP(J29,Capacity!$A$3:$D$532,4,), "0")</f>
        <v>0</v>
      </c>
      <c r="L29" s="4" t="str">
        <f>IFERROR(VLOOKUP(J29,Capacity!$A$3:$F$532,6,), "0")</f>
        <v>0</v>
      </c>
      <c r="M29" s="5">
        <f t="shared" si="0"/>
        <v>38.494326826874996</v>
      </c>
      <c r="N29" s="5">
        <f t="shared" si="1"/>
        <v>0.47499999999999998</v>
      </c>
      <c r="O29">
        <v>167</v>
      </c>
      <c r="P29">
        <f>IFERROR(VLOOKUP(O29,Capacity!$A$3:$D$532,4,), "0")</f>
        <v>175.30086708000002</v>
      </c>
      <c r="Q29" s="4">
        <f>IFERROR(VLOOKUP(O29,Capacity!$A$3:$F$532,6,), "0")</f>
        <v>0.6</v>
      </c>
      <c r="R29" s="5">
        <f t="shared" si="4"/>
        <v>175.30086708000002</v>
      </c>
      <c r="S29" s="5">
        <f t="shared" si="5"/>
        <v>0.6</v>
      </c>
      <c r="U29">
        <v>166</v>
      </c>
      <c r="V29">
        <v>2</v>
      </c>
      <c r="W29">
        <v>2</v>
      </c>
      <c r="X29">
        <v>1</v>
      </c>
      <c r="AB29">
        <f t="shared" si="2"/>
        <v>0.21959005376344082</v>
      </c>
      <c r="AC29">
        <f t="shared" si="3"/>
        <v>0.81155256774321727</v>
      </c>
      <c r="AD29">
        <f t="shared" si="6"/>
        <v>0.79166666666666663</v>
      </c>
      <c r="AE29">
        <f t="shared" si="7"/>
        <v>1.7924528301886791</v>
      </c>
      <c r="AG29">
        <f t="shared" si="8"/>
        <v>0.17282659863501804</v>
      </c>
    </row>
    <row r="30" spans="1:33" x14ac:dyDescent="0.25">
      <c r="A30">
        <v>183</v>
      </c>
      <c r="B30">
        <f>IFERROR(VLOOKUP(A30,Capacity!$A$3:$D$532,4,), "0")</f>
        <v>40.212385280000007</v>
      </c>
      <c r="C30" s="4">
        <f>IFERROR(VLOOKUP(A30,Capacity!$A$3:$F$532,6,), "0")</f>
        <v>0.4</v>
      </c>
      <c r="D30">
        <v>188</v>
      </c>
      <c r="E30">
        <f>IFERROR(VLOOKUP(D30,Capacity!$A$3:$D$532,4,), "0")</f>
        <v>40.212385280000007</v>
      </c>
      <c r="F30" s="4">
        <f>IFERROR(VLOOKUP(D30,Capacity!$A$3:$F$532,6,), "0")</f>
        <v>0.4</v>
      </c>
      <c r="G30">
        <v>182</v>
      </c>
      <c r="H30">
        <f>IFERROR(VLOOKUP(G30,Capacity!$A$3:$D$532,4,), "0")</f>
        <v>19.242254674999998</v>
      </c>
      <c r="I30" s="4">
        <f>IFERROR(VLOOKUP(G30,Capacity!$A$3:$F$532,6,), "0")</f>
        <v>0.17499999999999999</v>
      </c>
      <c r="K30" t="str">
        <f>IFERROR(VLOOKUP(J30,Capacity!$A$3:$D$532,4,), "0")</f>
        <v>0</v>
      </c>
      <c r="L30" s="4" t="str">
        <f>IFERROR(VLOOKUP(J30,Capacity!$A$3:$F$532,6,), "0")</f>
        <v>0</v>
      </c>
      <c r="M30" s="5">
        <f t="shared" si="0"/>
        <v>59.454639955000005</v>
      </c>
      <c r="N30" s="5">
        <f t="shared" si="1"/>
        <v>0.57499999999999996</v>
      </c>
      <c r="O30">
        <v>177</v>
      </c>
      <c r="P30">
        <f>IFERROR(VLOOKUP(O30,Capacity!$A$3:$D$532,4,), "0")</f>
        <v>282.743334</v>
      </c>
      <c r="Q30" s="4">
        <f>IFERROR(VLOOKUP(O30,Capacity!$A$3:$F$532,6,), "0")</f>
        <v>0.75</v>
      </c>
      <c r="R30" s="5">
        <f t="shared" si="4"/>
        <v>282.743334</v>
      </c>
      <c r="S30" s="5">
        <f t="shared" si="5"/>
        <v>0.75</v>
      </c>
      <c r="U30">
        <v>183</v>
      </c>
      <c r="V30">
        <v>3</v>
      </c>
      <c r="W30">
        <v>3</v>
      </c>
      <c r="X30">
        <v>1</v>
      </c>
      <c r="AB30">
        <f t="shared" si="2"/>
        <v>0.21027777777777779</v>
      </c>
      <c r="AC30">
        <f t="shared" si="3"/>
        <v>1.4785156249999998</v>
      </c>
      <c r="AD30">
        <f t="shared" si="6"/>
        <v>0.76666666666666661</v>
      </c>
      <c r="AE30">
        <f t="shared" si="7"/>
        <v>1.4374999999999998</v>
      </c>
      <c r="AG30">
        <f t="shared" si="8"/>
        <v>0.1840953307392996</v>
      </c>
    </row>
    <row r="31" spans="1:33" x14ac:dyDescent="0.25">
      <c r="A31">
        <v>176</v>
      </c>
      <c r="B31">
        <f>IFERROR(VLOOKUP(A31,Capacity!$A$3:$D$532,4,), "0")</f>
        <v>19.242254674999998</v>
      </c>
      <c r="C31" s="4">
        <f>IFERROR(VLOOKUP(A31,Capacity!$A$3:$F$532,6,), "0")</f>
        <v>0.17499999999999999</v>
      </c>
      <c r="D31">
        <v>456</v>
      </c>
      <c r="E31">
        <f>IFERROR(VLOOKUP(D31,Capacity!$A$3:$D$532,4,), "0")</f>
        <v>19.242254674999998</v>
      </c>
      <c r="F31" s="4">
        <f>IFERROR(VLOOKUP(D31,Capacity!$A$3:$F$532,6,), "0")</f>
        <v>0.17499999999999999</v>
      </c>
      <c r="H31" t="str">
        <f>IFERROR(VLOOKUP(G31,Capacity!$A$3:$D$532,4,), "0")</f>
        <v>0</v>
      </c>
      <c r="I31" s="4" t="str">
        <f>IFERROR(VLOOKUP(G31,Capacity!$A$3:$F$532,6,), "0")</f>
        <v>0</v>
      </c>
      <c r="K31" t="str">
        <f>IFERROR(VLOOKUP(J31,Capacity!$A$3:$D$532,4,), "0")</f>
        <v>0</v>
      </c>
      <c r="L31" s="4" t="str">
        <f>IFERROR(VLOOKUP(J31,Capacity!$A$3:$F$532,6,), "0")</f>
        <v>0</v>
      </c>
      <c r="M31" s="5">
        <f t="shared" si="0"/>
        <v>19.242254674999998</v>
      </c>
      <c r="N31" s="5">
        <f t="shared" si="1"/>
        <v>0.17499999999999999</v>
      </c>
      <c r="O31">
        <v>177</v>
      </c>
      <c r="P31">
        <f>IFERROR(VLOOKUP(O31,Capacity!$A$3:$D$532,4,), "0")</f>
        <v>282.743334</v>
      </c>
      <c r="Q31" s="4">
        <f>IFERROR(VLOOKUP(O31,Capacity!$A$3:$F$532,6,), "0")</f>
        <v>0.75</v>
      </c>
      <c r="R31" s="5">
        <f t="shared" si="4"/>
        <v>282.743334</v>
      </c>
      <c r="S31" s="5">
        <f t="shared" si="5"/>
        <v>0.75</v>
      </c>
      <c r="U31">
        <v>176</v>
      </c>
      <c r="V31">
        <v>2</v>
      </c>
      <c r="W31">
        <v>2</v>
      </c>
      <c r="X31">
        <v>1</v>
      </c>
      <c r="AB31">
        <f t="shared" si="2"/>
        <v>6.805555555555555E-2</v>
      </c>
      <c r="AC31">
        <f t="shared" si="3"/>
        <v>1</v>
      </c>
      <c r="AD31">
        <f t="shared" si="6"/>
        <v>0.23333333333333331</v>
      </c>
      <c r="AE31">
        <f t="shared" si="7"/>
        <v>1</v>
      </c>
      <c r="AG31">
        <f t="shared" si="8"/>
        <v>6.3719115734720402E-2</v>
      </c>
    </row>
    <row r="32" spans="1:33" x14ac:dyDescent="0.25">
      <c r="A32">
        <v>138</v>
      </c>
      <c r="B32">
        <f>IFERROR(VLOOKUP(A32,Capacity!$A$3:$D$532,4,), "0")</f>
        <v>48.066366779999996</v>
      </c>
      <c r="C32" s="4">
        <f>IFERROR(VLOOKUP(A32,Capacity!$A$3:$F$532,6,), "0")</f>
        <v>0.3</v>
      </c>
      <c r="D32">
        <v>139</v>
      </c>
      <c r="E32">
        <f>IFERROR(VLOOKUP(D32,Capacity!$A$3:$D$532,4,), "0")</f>
        <v>48.066366779999996</v>
      </c>
      <c r="F32" s="4">
        <f>IFERROR(VLOOKUP(D32,Capacity!$A$3:$F$532,6,), "0")</f>
        <v>0.3</v>
      </c>
      <c r="H32" t="str">
        <f>IFERROR(VLOOKUP(G32,Capacity!$A$3:$D$532,4,), "0")</f>
        <v>0</v>
      </c>
      <c r="I32" s="4" t="str">
        <f>IFERROR(VLOOKUP(G32,Capacity!$A$3:$F$532,6,), "0")</f>
        <v>0</v>
      </c>
      <c r="K32" t="str">
        <f>IFERROR(VLOOKUP(J32,Capacity!$A$3:$D$532,4,), "0")</f>
        <v>0</v>
      </c>
      <c r="L32" s="4" t="str">
        <f>IFERROR(VLOOKUP(J32,Capacity!$A$3:$F$532,6,), "0")</f>
        <v>0</v>
      </c>
      <c r="M32" s="5">
        <f t="shared" si="0"/>
        <v>48.066366779999996</v>
      </c>
      <c r="N32" s="5">
        <f t="shared" si="1"/>
        <v>0.3</v>
      </c>
      <c r="O32">
        <v>137</v>
      </c>
      <c r="P32">
        <f>IFERROR(VLOOKUP(O32,Capacity!$A$3:$D$532,4,), "0")</f>
        <v>267.035371</v>
      </c>
      <c r="Q32" s="4">
        <f>IFERROR(VLOOKUP(O32,Capacity!$A$3:$F$532,6,), "0")</f>
        <v>1</v>
      </c>
      <c r="R32" s="5">
        <f t="shared" si="4"/>
        <v>267.035371</v>
      </c>
      <c r="S32" s="5">
        <f t="shared" si="5"/>
        <v>1</v>
      </c>
      <c r="U32">
        <v>138</v>
      </c>
      <c r="V32">
        <v>2</v>
      </c>
      <c r="W32">
        <v>2</v>
      </c>
      <c r="X32">
        <v>1</v>
      </c>
      <c r="AB32">
        <f t="shared" si="2"/>
        <v>0.18</v>
      </c>
      <c r="AC32">
        <f t="shared" si="3"/>
        <v>1</v>
      </c>
      <c r="AD32">
        <f t="shared" si="6"/>
        <v>0.3</v>
      </c>
      <c r="AE32">
        <f t="shared" si="7"/>
        <v>1</v>
      </c>
      <c r="AG32">
        <f>$M32/($R32+$B32)</f>
        <v>0.15254237288135591</v>
      </c>
    </row>
    <row r="33" spans="1:33" x14ac:dyDescent="0.25">
      <c r="A33">
        <v>136</v>
      </c>
      <c r="B33">
        <f>IFERROR(VLOOKUP(A33,Capacity!$A$3:$D$532,4,), "0")</f>
        <v>150.2073961875</v>
      </c>
      <c r="C33" s="4">
        <f>IFERROR(VLOOKUP(A33,Capacity!$A$3:$F$532,6,), "0")</f>
        <v>0.75</v>
      </c>
      <c r="D33">
        <v>134</v>
      </c>
      <c r="E33">
        <f>IFERROR(VLOOKUP(D33,Capacity!$A$3:$D$532,4,), "0")</f>
        <v>273.90760481250004</v>
      </c>
      <c r="F33" s="4">
        <f>IFERROR(VLOOKUP(D33,Capacity!$A$3:$F$532,6,), "0")</f>
        <v>0.75</v>
      </c>
      <c r="G33">
        <v>128</v>
      </c>
      <c r="H33">
        <f>IFERROR(VLOOKUP(G33,Capacity!$A$3:$D$532,4,), "0")</f>
        <v>31.101766740000002</v>
      </c>
      <c r="I33" s="4">
        <f>IFERROR(VLOOKUP(G33,Capacity!$A$3:$F$532,6,), "0")</f>
        <v>0.3</v>
      </c>
      <c r="J33">
        <v>276</v>
      </c>
      <c r="K33">
        <f>IFERROR(VLOOKUP(J33,Capacity!$A$3:$D$532,4,), "0")</f>
        <v>24.052818343749998</v>
      </c>
      <c r="L33" s="4">
        <f>IFERROR(VLOOKUP(J33,Capacity!$A$3:$F$532,6,), "0")</f>
        <v>0.17499999999999999</v>
      </c>
      <c r="M33" s="5">
        <f t="shared" si="0"/>
        <v>329.06218989625006</v>
      </c>
      <c r="N33" s="5">
        <f t="shared" si="1"/>
        <v>1.2250000000000001</v>
      </c>
      <c r="O33">
        <v>137</v>
      </c>
      <c r="P33">
        <f>IFERROR(VLOOKUP(O33,Capacity!$A$3:$D$532,4,), "0")</f>
        <v>267.035371</v>
      </c>
      <c r="Q33" s="4">
        <f>IFERROR(VLOOKUP(O33,Capacity!$A$3:$F$532,6,), "0")</f>
        <v>1</v>
      </c>
      <c r="R33" s="5">
        <f t="shared" si="4"/>
        <v>267.035371</v>
      </c>
      <c r="S33" s="5">
        <f t="shared" si="5"/>
        <v>1</v>
      </c>
      <c r="U33">
        <v>136</v>
      </c>
      <c r="V33">
        <v>3</v>
      </c>
      <c r="W33">
        <v>3</v>
      </c>
      <c r="X33">
        <v>1</v>
      </c>
      <c r="AB33">
        <f t="shared" si="2"/>
        <v>1.232279411764706</v>
      </c>
      <c r="AC33">
        <f t="shared" si="3"/>
        <v>2.1907189542483665</v>
      </c>
      <c r="AD33">
        <f t="shared" si="6"/>
        <v>1.2250000000000001</v>
      </c>
      <c r="AE33">
        <f t="shared" si="7"/>
        <v>1.6333333333333335</v>
      </c>
      <c r="AG33">
        <f t="shared" si="8"/>
        <v>0.78865882352941186</v>
      </c>
    </row>
    <row r="34" spans="1:33" x14ac:dyDescent="0.25">
      <c r="A34">
        <v>142</v>
      </c>
      <c r="B34">
        <f>IFERROR(VLOOKUP(A34,Capacity!$A$3:$D$532,4,), "0")</f>
        <v>17.799085574374995</v>
      </c>
      <c r="C34" s="4">
        <f>IFERROR(VLOOKUP(A34,Capacity!$A$3:$F$532,6,), "0")</f>
        <v>0.17499999999999999</v>
      </c>
      <c r="D34">
        <v>141</v>
      </c>
      <c r="E34">
        <f>IFERROR(VLOOKUP(D34,Capacity!$A$3:$D$532,4,), "0")</f>
        <v>17.799085574374995</v>
      </c>
      <c r="F34" s="4">
        <f>IFERROR(VLOOKUP(D34,Capacity!$A$3:$F$532,6,), "0")</f>
        <v>0.17499999999999999</v>
      </c>
      <c r="H34" t="str">
        <f>IFERROR(VLOOKUP(G34,Capacity!$A$3:$D$532,4,), "0")</f>
        <v>0</v>
      </c>
      <c r="I34" s="4" t="str">
        <f>IFERROR(VLOOKUP(G34,Capacity!$A$3:$F$532,6,), "0")</f>
        <v>0</v>
      </c>
      <c r="K34" t="str">
        <f>IFERROR(VLOOKUP(J34,Capacity!$A$3:$D$532,4,), "0")</f>
        <v>0</v>
      </c>
      <c r="L34" s="4" t="str">
        <f>IFERROR(VLOOKUP(J34,Capacity!$A$3:$F$532,6,), "0")</f>
        <v>0</v>
      </c>
      <c r="M34" s="5">
        <f t="shared" si="0"/>
        <v>17.799085574374995</v>
      </c>
      <c r="N34" s="5">
        <f t="shared" si="1"/>
        <v>0.17499999999999999</v>
      </c>
      <c r="O34">
        <v>143</v>
      </c>
      <c r="P34">
        <f>IFERROR(VLOOKUP(O34,Capacity!$A$3:$D$532,4,), "0")</f>
        <v>17.799085574374995</v>
      </c>
      <c r="Q34" s="4">
        <f>IFERROR(VLOOKUP(O34,Capacity!$A$3:$F$532,6,), "0")</f>
        <v>0.17499999999999999</v>
      </c>
      <c r="R34" s="5">
        <f t="shared" si="4"/>
        <v>17.799085574374995</v>
      </c>
      <c r="S34" s="5">
        <f t="shared" si="5"/>
        <v>0.17499999999999999</v>
      </c>
      <c r="U34">
        <v>142</v>
      </c>
      <c r="V34">
        <v>2</v>
      </c>
      <c r="W34">
        <v>2</v>
      </c>
      <c r="X34">
        <v>1</v>
      </c>
      <c r="AB34">
        <f t="shared" si="2"/>
        <v>1</v>
      </c>
      <c r="AC34">
        <f t="shared" si="3"/>
        <v>1</v>
      </c>
      <c r="AD34">
        <f t="shared" si="6"/>
        <v>1</v>
      </c>
      <c r="AE34">
        <f t="shared" si="7"/>
        <v>1</v>
      </c>
      <c r="AG34">
        <f t="shared" si="8"/>
        <v>0.5</v>
      </c>
    </row>
    <row r="35" spans="1:33" x14ac:dyDescent="0.25">
      <c r="A35">
        <v>145</v>
      </c>
      <c r="B35">
        <f>IFERROR(VLOOKUP(A35,Capacity!$A$3:$D$532,4,), "0")</f>
        <v>23.876103760000007</v>
      </c>
      <c r="C35" s="4">
        <f>IFERROR(VLOOKUP(A35,Capacity!$A$3:$F$532,6,), "0")</f>
        <v>0.2</v>
      </c>
      <c r="D35">
        <v>445</v>
      </c>
      <c r="E35">
        <f>IFERROR(VLOOKUP(D35,Capacity!$A$3:$D$532,4,), "0")</f>
        <v>7.6969018699999987</v>
      </c>
      <c r="F35" s="4">
        <f>IFERROR(VLOOKUP(D35,Capacity!$A$3:$F$532,6,), "0")</f>
        <v>0.17499999999999999</v>
      </c>
      <c r="G35">
        <v>89</v>
      </c>
      <c r="H35">
        <f>IFERROR(VLOOKUP(G35,Capacity!$A$3:$D$532,4,), "0")</f>
        <v>27.646014880000006</v>
      </c>
      <c r="I35" s="4">
        <f>IFERROR(VLOOKUP(G35,Capacity!$A$3:$F$532,6,), "0")</f>
        <v>0.2</v>
      </c>
      <c r="K35" t="str">
        <f>IFERROR(VLOOKUP(J35,Capacity!$A$3:$D$532,4,), "0")</f>
        <v>0</v>
      </c>
      <c r="L35" s="4" t="str">
        <f>IFERROR(VLOOKUP(J35,Capacity!$A$3:$F$532,6,), "0")</f>
        <v>0</v>
      </c>
      <c r="M35" s="5">
        <f t="shared" si="0"/>
        <v>35.342916750000008</v>
      </c>
      <c r="N35" s="5">
        <f t="shared" si="1"/>
        <v>0.375</v>
      </c>
      <c r="O35">
        <v>147</v>
      </c>
      <c r="P35">
        <f>IFERROR(VLOOKUP(O35,Capacity!$A$3:$D$532,4,), "0")</f>
        <v>23.876103760000007</v>
      </c>
      <c r="Q35" s="4">
        <f>IFERROR(VLOOKUP(O35,Capacity!$A$3:$F$532,6,), "0")</f>
        <v>0.2</v>
      </c>
      <c r="R35" s="5">
        <f t="shared" si="4"/>
        <v>23.876103760000007</v>
      </c>
      <c r="S35" s="5">
        <f t="shared" si="5"/>
        <v>0.2</v>
      </c>
      <c r="U35">
        <v>145</v>
      </c>
      <c r="V35">
        <v>3</v>
      </c>
      <c r="W35">
        <v>3</v>
      </c>
      <c r="X35">
        <v>1</v>
      </c>
      <c r="AB35">
        <f t="shared" si="2"/>
        <v>1.4802631578947367</v>
      </c>
      <c r="AC35">
        <f t="shared" si="3"/>
        <v>1.4802631578947367</v>
      </c>
      <c r="AD35">
        <f t="shared" si="6"/>
        <v>1.875</v>
      </c>
      <c r="AE35">
        <f t="shared" si="7"/>
        <v>1.875</v>
      </c>
      <c r="AG35">
        <f t="shared" si="8"/>
        <v>0.74013157894736836</v>
      </c>
    </row>
    <row r="36" spans="1:33" x14ac:dyDescent="0.25">
      <c r="A36">
        <v>446</v>
      </c>
      <c r="B36">
        <f>IFERROR(VLOOKUP(A36,Capacity!$A$3:$D$532,4,), "0")</f>
        <v>40.212385280000007</v>
      </c>
      <c r="C36" s="4">
        <f>IFERROR(VLOOKUP(A36,Capacity!$A$3:$F$532,6,), "0")</f>
        <v>0.4</v>
      </c>
      <c r="E36" t="str">
        <f>IFERROR(VLOOKUP(D36,Capacity!$A$3:$D$532,4,), "0")</f>
        <v>0</v>
      </c>
      <c r="F36" s="4" t="str">
        <f>IFERROR(VLOOKUP(D36,Capacity!$A$3:$F$532,6,), "0")</f>
        <v>0</v>
      </c>
      <c r="H36" t="str">
        <f>IFERROR(VLOOKUP(G36,Capacity!$A$3:$D$532,4,), "0")</f>
        <v>0</v>
      </c>
      <c r="I36" s="4" t="str">
        <f>IFERROR(VLOOKUP(G36,Capacity!$A$3:$F$532,6,), "0")</f>
        <v>0</v>
      </c>
      <c r="K36" t="str">
        <f>IFERROR(VLOOKUP(J36,Capacity!$A$3:$D$532,4,), "0")</f>
        <v>0</v>
      </c>
      <c r="L36" s="4" t="str">
        <f>IFERROR(VLOOKUP(J36,Capacity!$A$3:$F$532,6,), "0")</f>
        <v>0</v>
      </c>
      <c r="M36" s="5">
        <f t="shared" si="0"/>
        <v>0</v>
      </c>
      <c r="N36" s="5">
        <f t="shared" si="1"/>
        <v>0</v>
      </c>
      <c r="O36">
        <v>150</v>
      </c>
      <c r="P36">
        <f>IFERROR(VLOOKUP(O36,Capacity!$A$3:$D$532,4,), "0")</f>
        <v>19.242254674999998</v>
      </c>
      <c r="Q36" s="4">
        <f>IFERROR(VLOOKUP(O36,Capacity!$A$3:$F$532,6,), "0")</f>
        <v>0.17499999999999999</v>
      </c>
      <c r="R36" s="5">
        <f t="shared" si="4"/>
        <v>19.242254674999998</v>
      </c>
      <c r="S36" s="5">
        <f t="shared" si="5"/>
        <v>0.17499999999999999</v>
      </c>
      <c r="U36">
        <v>446</v>
      </c>
      <c r="V36">
        <v>0</v>
      </c>
      <c r="W36">
        <v>0</v>
      </c>
      <c r="X36">
        <v>1</v>
      </c>
      <c r="AB36">
        <f t="shared" si="2"/>
        <v>0</v>
      </c>
      <c r="AC36">
        <f t="shared" si="3"/>
        <v>0</v>
      </c>
      <c r="AD36">
        <f t="shared" si="6"/>
        <v>0</v>
      </c>
      <c r="AE36">
        <f t="shared" si="7"/>
        <v>0</v>
      </c>
      <c r="AG36">
        <f t="shared" si="8"/>
        <v>0</v>
      </c>
    </row>
    <row r="37" spans="1:33" x14ac:dyDescent="0.25">
      <c r="A37">
        <v>88</v>
      </c>
      <c r="B37">
        <f>IFERROR(VLOOKUP(A37,Capacity!$A$3:$D$532,4,), "0")</f>
        <v>172.78759300000002</v>
      </c>
      <c r="C37" s="4">
        <f>IFERROR(VLOOKUP(A37,Capacity!$A$3:$F$532,6,), "0")</f>
        <v>0.5</v>
      </c>
      <c r="D37">
        <v>420</v>
      </c>
      <c r="E37">
        <f>IFERROR(VLOOKUP(D37,Capacity!$A$3:$D$532,4,), "0")</f>
        <v>7.6969018699999987</v>
      </c>
      <c r="F37" s="4">
        <f>IFERROR(VLOOKUP(D37,Capacity!$A$3:$F$532,6,), "0")</f>
        <v>0.17499999999999999</v>
      </c>
      <c r="G37">
        <v>49</v>
      </c>
      <c r="H37">
        <f>IFERROR(VLOOKUP(G37,Capacity!$A$3:$D$532,4,), "0")</f>
        <v>21.647536509374998</v>
      </c>
      <c r="I37" s="4">
        <f>IFERROR(VLOOKUP(G37,Capacity!$A$3:$F$532,6,), "0")</f>
        <v>0.17499999999999999</v>
      </c>
      <c r="K37" t="str">
        <f>IFERROR(VLOOKUP(J37,Capacity!$A$3:$D$532,4,), "0")</f>
        <v>0</v>
      </c>
      <c r="L37" s="4" t="str">
        <f>IFERROR(VLOOKUP(J37,Capacity!$A$3:$F$532,6,), "0")</f>
        <v>0</v>
      </c>
      <c r="M37" s="5">
        <f t="shared" si="0"/>
        <v>29.344438379374996</v>
      </c>
      <c r="N37" s="5">
        <f t="shared" si="1"/>
        <v>0.35</v>
      </c>
      <c r="O37">
        <v>150</v>
      </c>
      <c r="P37">
        <f>IFERROR(VLOOKUP(O37,Capacity!$A$3:$D$532,4,), "0")</f>
        <v>19.242254674999998</v>
      </c>
      <c r="Q37" s="4">
        <f>IFERROR(VLOOKUP(O37,Capacity!$A$3:$F$532,6,), "0")</f>
        <v>0.17499999999999999</v>
      </c>
      <c r="R37" s="5">
        <f t="shared" si="4"/>
        <v>19.242254674999998</v>
      </c>
      <c r="S37" s="5">
        <f t="shared" si="5"/>
        <v>0.17499999999999999</v>
      </c>
      <c r="U37">
        <v>88</v>
      </c>
      <c r="V37">
        <v>2</v>
      </c>
      <c r="W37">
        <v>2</v>
      </c>
      <c r="X37">
        <v>1</v>
      </c>
      <c r="AB37">
        <f t="shared" si="2"/>
        <v>1.5249999999999999</v>
      </c>
      <c r="AC37">
        <f t="shared" si="3"/>
        <v>0.16982954545454543</v>
      </c>
      <c r="AD37">
        <f t="shared" si="6"/>
        <v>2</v>
      </c>
      <c r="AE37">
        <f t="shared" si="7"/>
        <v>0.7</v>
      </c>
      <c r="AG37">
        <f t="shared" si="8"/>
        <v>0.15281186094069527</v>
      </c>
    </row>
    <row r="38" spans="1:33" x14ac:dyDescent="0.25">
      <c r="A38">
        <v>86</v>
      </c>
      <c r="B38">
        <f>IFERROR(VLOOKUP(A38,Capacity!$A$3:$D$532,4,), "0")</f>
        <v>90.477866879999993</v>
      </c>
      <c r="C38" s="4">
        <f>IFERROR(VLOOKUP(A38,Capacity!$A$3:$F$532,6,), "0")</f>
        <v>0.6</v>
      </c>
      <c r="D38">
        <v>85</v>
      </c>
      <c r="E38">
        <f>IFERROR(VLOOKUP(D38,Capacity!$A$3:$D$532,4,), "0")</f>
        <v>90.477866879999993</v>
      </c>
      <c r="F38" s="4">
        <f>IFERROR(VLOOKUP(D38,Capacity!$A$3:$F$532,6,), "0")</f>
        <v>0.6</v>
      </c>
      <c r="H38" t="str">
        <f>IFERROR(VLOOKUP(G38,Capacity!$A$3:$D$532,4,), "0")</f>
        <v>0</v>
      </c>
      <c r="I38" s="4" t="str">
        <f>IFERROR(VLOOKUP(G38,Capacity!$A$3:$F$532,6,), "0")</f>
        <v>0</v>
      </c>
      <c r="K38" t="str">
        <f>IFERROR(VLOOKUP(J38,Capacity!$A$3:$D$532,4,), "0")</f>
        <v>0</v>
      </c>
      <c r="L38" s="4" t="str">
        <f>IFERROR(VLOOKUP(J38,Capacity!$A$3:$F$532,6,), "0")</f>
        <v>0</v>
      </c>
      <c r="M38" s="5">
        <f t="shared" si="0"/>
        <v>90.477866879999993</v>
      </c>
      <c r="N38" s="5">
        <f t="shared" si="1"/>
        <v>0.6</v>
      </c>
      <c r="O38">
        <v>87</v>
      </c>
      <c r="P38">
        <f>IFERROR(VLOOKUP(O38,Capacity!$A$3:$D$532,4,), "0")</f>
        <v>388.77208425000003</v>
      </c>
      <c r="Q38" s="4">
        <f>IFERROR(VLOOKUP(O38,Capacity!$A$3:$F$532,6,), "0")</f>
        <v>0.75</v>
      </c>
      <c r="R38" s="5">
        <f t="shared" si="4"/>
        <v>388.77208425000003</v>
      </c>
      <c r="S38" s="5">
        <f t="shared" si="5"/>
        <v>0.75</v>
      </c>
      <c r="U38">
        <v>86</v>
      </c>
      <c r="V38">
        <v>2</v>
      </c>
      <c r="W38">
        <v>2</v>
      </c>
      <c r="X38">
        <v>1</v>
      </c>
      <c r="AB38">
        <f t="shared" si="2"/>
        <v>0.2327272727272727</v>
      </c>
      <c r="AC38">
        <f t="shared" si="3"/>
        <v>1</v>
      </c>
      <c r="AD38">
        <f t="shared" si="6"/>
        <v>0.79999999999999993</v>
      </c>
      <c r="AE38">
        <f t="shared" si="7"/>
        <v>1</v>
      </c>
      <c r="AG38">
        <f t="shared" si="8"/>
        <v>0.1887905604719764</v>
      </c>
    </row>
    <row r="39" spans="1:33" x14ac:dyDescent="0.25">
      <c r="A39">
        <v>48</v>
      </c>
      <c r="B39">
        <f>IFERROR(VLOOKUP(A39,Capacity!$A$3:$D$532,4,), "0")</f>
        <v>397.6078134375</v>
      </c>
      <c r="C39" s="4">
        <f>IFERROR(VLOOKUP(A39,Capacity!$A$3:$F$532,6,), "0")</f>
        <v>0.75</v>
      </c>
      <c r="D39">
        <v>23</v>
      </c>
      <c r="E39">
        <f>IFERROR(VLOOKUP(D39,Capacity!$A$3:$D$532,4,), "0")</f>
        <v>125.66370400000002</v>
      </c>
      <c r="F39" s="4">
        <f>IFERROR(VLOOKUP(D39,Capacity!$A$3:$F$532,6,), "0")</f>
        <v>0.4</v>
      </c>
      <c r="H39" t="str">
        <f>IFERROR(VLOOKUP(G39,Capacity!$A$3:$D$532,4,), "0")</f>
        <v>0</v>
      </c>
      <c r="I39" s="4" t="str">
        <f>IFERROR(VLOOKUP(G39,Capacity!$A$3:$F$532,6,), "0")</f>
        <v>0</v>
      </c>
      <c r="K39" t="str">
        <f>IFERROR(VLOOKUP(J39,Capacity!$A$3:$D$532,4,), "0")</f>
        <v>0</v>
      </c>
      <c r="L39" s="4" t="str">
        <f>IFERROR(VLOOKUP(J39,Capacity!$A$3:$F$532,6,), "0")</f>
        <v>0</v>
      </c>
      <c r="M39" s="5">
        <f t="shared" si="0"/>
        <v>125.66370400000002</v>
      </c>
      <c r="N39" s="5">
        <f t="shared" si="1"/>
        <v>0.4</v>
      </c>
      <c r="O39">
        <v>87</v>
      </c>
      <c r="P39">
        <f>IFERROR(VLOOKUP(O39,Capacity!$A$3:$D$532,4,), "0")</f>
        <v>388.77208425000003</v>
      </c>
      <c r="Q39" s="4">
        <f>IFERROR(VLOOKUP(O39,Capacity!$A$3:$F$532,6,), "0")</f>
        <v>0.75</v>
      </c>
      <c r="R39" s="5">
        <f t="shared" si="4"/>
        <v>388.77208425000003</v>
      </c>
      <c r="S39" s="5">
        <f t="shared" si="5"/>
        <v>0.75</v>
      </c>
      <c r="U39">
        <v>48</v>
      </c>
      <c r="V39">
        <v>1</v>
      </c>
      <c r="W39">
        <v>1</v>
      </c>
      <c r="X39">
        <v>1</v>
      </c>
      <c r="AB39">
        <f t="shared" si="2"/>
        <v>0.32323232323232326</v>
      </c>
      <c r="AC39">
        <f t="shared" si="3"/>
        <v>0.31604938271604943</v>
      </c>
      <c r="AD39">
        <f t="shared" si="6"/>
        <v>0.53333333333333333</v>
      </c>
      <c r="AE39">
        <f t="shared" si="7"/>
        <v>0.53333333333333333</v>
      </c>
      <c r="AG39">
        <f t="shared" si="8"/>
        <v>0.15980024968789017</v>
      </c>
    </row>
    <row r="40" spans="1:33" x14ac:dyDescent="0.25">
      <c r="A40">
        <v>419</v>
      </c>
      <c r="B40">
        <f>IFERROR(VLOOKUP(A40,Capacity!$A$3:$D$532,4,), "0")</f>
        <v>21.166480142499999</v>
      </c>
      <c r="C40" s="4">
        <f>IFERROR(VLOOKUP(A40,Capacity!$A$3:$F$532,6,), "0")</f>
        <v>0.17499999999999999</v>
      </c>
      <c r="E40" t="str">
        <f>IFERROR(VLOOKUP(D40,Capacity!$A$3:$D$532,4,), "0")</f>
        <v>0</v>
      </c>
      <c r="F40" s="4" t="str">
        <f>IFERROR(VLOOKUP(D40,Capacity!$A$3:$F$532,6,), "0")</f>
        <v>0</v>
      </c>
      <c r="H40" t="str">
        <f>IFERROR(VLOOKUP(G40,Capacity!$A$3:$D$532,4,), "0")</f>
        <v>0</v>
      </c>
      <c r="I40" s="4" t="str">
        <f>IFERROR(VLOOKUP(G40,Capacity!$A$3:$F$532,6,), "0")</f>
        <v>0</v>
      </c>
      <c r="K40" t="str">
        <f>IFERROR(VLOOKUP(J40,Capacity!$A$3:$D$532,4,), "0")</f>
        <v>0</v>
      </c>
      <c r="L40" s="4" t="str">
        <f>IFERROR(VLOOKUP(J40,Capacity!$A$3:$F$532,6,), "0")</f>
        <v>0</v>
      </c>
      <c r="M40" s="5">
        <f t="shared" si="0"/>
        <v>0</v>
      </c>
      <c r="N40" s="5">
        <f t="shared" si="1"/>
        <v>0</v>
      </c>
      <c r="O40">
        <v>159</v>
      </c>
      <c r="P40">
        <f>IFERROR(VLOOKUP(O40,Capacity!$A$3:$D$532,4,), "0")</f>
        <v>22.619466719999998</v>
      </c>
      <c r="Q40" s="4">
        <f>IFERROR(VLOOKUP(O40,Capacity!$A$3:$F$532,6,), "0")</f>
        <v>0.3</v>
      </c>
      <c r="R40" s="5">
        <f t="shared" si="4"/>
        <v>22.619466719999998</v>
      </c>
      <c r="S40" s="5">
        <f t="shared" si="5"/>
        <v>0.3</v>
      </c>
      <c r="U40">
        <v>419</v>
      </c>
      <c r="V40">
        <v>0</v>
      </c>
      <c r="W40">
        <v>0</v>
      </c>
      <c r="X40">
        <v>1</v>
      </c>
      <c r="AB40">
        <f t="shared" si="2"/>
        <v>0</v>
      </c>
      <c r="AC40">
        <f t="shared" si="3"/>
        <v>0</v>
      </c>
      <c r="AD40">
        <f t="shared" si="6"/>
        <v>0</v>
      </c>
      <c r="AE40">
        <f t="shared" si="7"/>
        <v>0</v>
      </c>
      <c r="AG40">
        <f t="shared" si="8"/>
        <v>0</v>
      </c>
    </row>
    <row r="41" spans="1:33" x14ac:dyDescent="0.25">
      <c r="A41">
        <v>164</v>
      </c>
      <c r="B41">
        <f>IFERROR(VLOOKUP(A41,Capacity!$A$3:$D$532,4,), "0")</f>
        <v>22.619466719999998</v>
      </c>
      <c r="C41" s="4">
        <f>IFERROR(VLOOKUP(A41,Capacity!$A$3:$F$532,6,), "0")</f>
        <v>0.3</v>
      </c>
      <c r="D41">
        <v>417</v>
      </c>
      <c r="E41">
        <f>IFERROR(VLOOKUP(D41,Capacity!$A$3:$D$532,4,), "0")</f>
        <v>21.166480142499999</v>
      </c>
      <c r="F41" s="4">
        <f>IFERROR(VLOOKUP(D41,Capacity!$A$3:$F$532,6,), "0")</f>
        <v>0.17499999999999999</v>
      </c>
      <c r="G41">
        <v>170</v>
      </c>
      <c r="H41">
        <f>IFERROR(VLOOKUP(G41,Capacity!$A$3:$D$532,4,), "0")</f>
        <v>22.619466719999998</v>
      </c>
      <c r="I41" s="4">
        <f>IFERROR(VLOOKUP(G41,Capacity!$A$3:$F$532,6,), "0")</f>
        <v>0.3</v>
      </c>
      <c r="K41" t="str">
        <f>IFERROR(VLOOKUP(J41,Capacity!$A$3:$D$532,4,), "0")</f>
        <v>0</v>
      </c>
      <c r="L41" s="4" t="str">
        <f>IFERROR(VLOOKUP(J41,Capacity!$A$3:$F$532,6,), "0")</f>
        <v>0</v>
      </c>
      <c r="M41" s="5">
        <f t="shared" si="0"/>
        <v>43.785946862499998</v>
      </c>
      <c r="N41" s="5">
        <f t="shared" si="1"/>
        <v>0.47499999999999998</v>
      </c>
      <c r="O41">
        <v>159</v>
      </c>
      <c r="P41">
        <f>IFERROR(VLOOKUP(O41,Capacity!$A$3:$D$532,4,), "0")</f>
        <v>22.619466719999998</v>
      </c>
      <c r="Q41" s="4">
        <f>IFERROR(VLOOKUP(O41,Capacity!$A$3:$F$532,6,), "0")</f>
        <v>0.3</v>
      </c>
      <c r="R41" s="5">
        <f t="shared" si="4"/>
        <v>22.619466719999998</v>
      </c>
      <c r="S41" s="5">
        <f t="shared" si="5"/>
        <v>0.3</v>
      </c>
      <c r="U41">
        <v>164</v>
      </c>
      <c r="V41">
        <v>3</v>
      </c>
      <c r="W41">
        <v>3</v>
      </c>
      <c r="X41">
        <v>1</v>
      </c>
      <c r="AB41">
        <f t="shared" si="2"/>
        <v>1.9357638888888888</v>
      </c>
      <c r="AC41">
        <f t="shared" si="3"/>
        <v>1.9357638888888888</v>
      </c>
      <c r="AD41">
        <f t="shared" si="6"/>
        <v>1.5833333333333333</v>
      </c>
      <c r="AE41">
        <f t="shared" si="7"/>
        <v>1.5833333333333333</v>
      </c>
      <c r="AG41">
        <f t="shared" si="8"/>
        <v>0.96788194444444442</v>
      </c>
    </row>
    <row r="42" spans="1:33" x14ac:dyDescent="0.25">
      <c r="A42">
        <v>172</v>
      </c>
      <c r="B42">
        <f>IFERROR(VLOOKUP(A42,Capacity!$A$3:$D$532,4,), "0")</f>
        <v>22.619466719999998</v>
      </c>
      <c r="C42" s="4">
        <f>IFERROR(VLOOKUP(A42,Capacity!$A$3:$F$532,6,), "0")</f>
        <v>0.3</v>
      </c>
      <c r="D42">
        <v>171</v>
      </c>
      <c r="E42">
        <f>IFERROR(VLOOKUP(D42,Capacity!$A$3:$D$532,4,), "0")</f>
        <v>291.57906318750003</v>
      </c>
      <c r="F42" s="4">
        <f>IFERROR(VLOOKUP(D42,Capacity!$A$3:$F$532,6,), "0")</f>
        <v>0.75</v>
      </c>
      <c r="G42">
        <v>175</v>
      </c>
      <c r="H42">
        <f>IFERROR(VLOOKUP(G42,Capacity!$A$3:$D$532,4,), "0")</f>
        <v>17.649467226800002</v>
      </c>
      <c r="I42" s="4">
        <f>IFERROR(VLOOKUP(G42,Capacity!$A$3:$F$532,6,), "0")</f>
        <v>0.26500000000000001</v>
      </c>
      <c r="K42" t="str">
        <f>IFERROR(VLOOKUP(J42,Capacity!$A$3:$D$532,4,), "0")</f>
        <v>0</v>
      </c>
      <c r="L42" s="4" t="str">
        <f>IFERROR(VLOOKUP(J42,Capacity!$A$3:$F$532,6,), "0")</f>
        <v>0</v>
      </c>
      <c r="M42" s="5">
        <f t="shared" si="0"/>
        <v>309.22853041430005</v>
      </c>
      <c r="N42" s="5">
        <f t="shared" si="1"/>
        <v>1.0150000000000001</v>
      </c>
      <c r="O42">
        <v>166</v>
      </c>
      <c r="P42">
        <f>IFERROR(VLOOKUP(O42,Capacity!$A$3:$D$532,4,), "0")</f>
        <v>47.432943172025006</v>
      </c>
      <c r="Q42" s="4">
        <f>IFERROR(VLOOKUP(O42,Capacity!$A$3:$F$532,6,), "0")</f>
        <v>0.26500000000000001</v>
      </c>
      <c r="R42" s="5">
        <f t="shared" si="4"/>
        <v>47.432943172025006</v>
      </c>
      <c r="S42" s="5">
        <f t="shared" si="5"/>
        <v>0.26500000000000001</v>
      </c>
      <c r="U42">
        <v>172</v>
      </c>
      <c r="V42">
        <v>2</v>
      </c>
      <c r="W42">
        <v>2</v>
      </c>
      <c r="X42">
        <v>1</v>
      </c>
      <c r="AB42">
        <f t="shared" si="2"/>
        <v>6.5192777368425414</v>
      </c>
      <c r="AC42">
        <f t="shared" si="3"/>
        <v>13.670902777777782</v>
      </c>
      <c r="AD42">
        <f t="shared" si="6"/>
        <v>3.8301886792452833</v>
      </c>
      <c r="AE42">
        <f t="shared" si="7"/>
        <v>3.3833333333333337</v>
      </c>
      <c r="AG42">
        <f t="shared" si="8"/>
        <v>4.4142454326828755</v>
      </c>
    </row>
    <row r="43" spans="1:33" x14ac:dyDescent="0.25">
      <c r="A43">
        <v>165</v>
      </c>
      <c r="B43">
        <f>IFERROR(VLOOKUP(A43,Capacity!$A$3:$D$532,4,), "0")</f>
        <v>15.874860106874999</v>
      </c>
      <c r="C43" s="4">
        <f>IFERROR(VLOOKUP(A43,Capacity!$A$3:$F$532,6,), "0")</f>
        <v>0.17499999999999999</v>
      </c>
      <c r="D43">
        <v>452</v>
      </c>
      <c r="E43">
        <f>IFERROR(VLOOKUP(D43,Capacity!$A$3:$D$532,4,), "0")</f>
        <v>15.874860106874999</v>
      </c>
      <c r="F43" s="4">
        <f>IFERROR(VLOOKUP(D43,Capacity!$A$3:$F$532,6,), "0")</f>
        <v>0.17499999999999999</v>
      </c>
      <c r="H43" t="str">
        <f>IFERROR(VLOOKUP(G43,Capacity!$A$3:$D$532,4,), "0")</f>
        <v>0</v>
      </c>
      <c r="I43" s="4" t="str">
        <f>IFERROR(VLOOKUP(G43,Capacity!$A$3:$F$532,6,), "0")</f>
        <v>0</v>
      </c>
      <c r="K43" t="str">
        <f>IFERROR(VLOOKUP(J43,Capacity!$A$3:$D$532,4,), "0")</f>
        <v>0</v>
      </c>
      <c r="L43" s="4" t="str">
        <f>IFERROR(VLOOKUP(J43,Capacity!$A$3:$F$532,6,), "0")</f>
        <v>0</v>
      </c>
      <c r="M43" s="5">
        <f t="shared" si="0"/>
        <v>15.874860106874999</v>
      </c>
      <c r="N43" s="5">
        <f t="shared" si="1"/>
        <v>0.17499999999999999</v>
      </c>
      <c r="O43">
        <v>166</v>
      </c>
      <c r="P43">
        <f>IFERROR(VLOOKUP(O43,Capacity!$A$3:$D$532,4,), "0")</f>
        <v>47.432943172025006</v>
      </c>
      <c r="Q43" s="4">
        <f>IFERROR(VLOOKUP(O43,Capacity!$A$3:$F$532,6,), "0")</f>
        <v>0.26500000000000001</v>
      </c>
      <c r="R43" s="5">
        <f t="shared" si="4"/>
        <v>47.432943172025006</v>
      </c>
      <c r="S43" s="5">
        <f t="shared" si="5"/>
        <v>0.26500000000000001</v>
      </c>
      <c r="U43">
        <v>165</v>
      </c>
      <c r="V43">
        <v>2</v>
      </c>
      <c r="W43">
        <v>2</v>
      </c>
      <c r="X43">
        <v>1</v>
      </c>
      <c r="AB43">
        <f t="shared" si="2"/>
        <v>0.33468005662861067</v>
      </c>
      <c r="AC43">
        <f t="shared" si="3"/>
        <v>1</v>
      </c>
      <c r="AD43">
        <f t="shared" si="6"/>
        <v>0.660377358490566</v>
      </c>
      <c r="AE43">
        <f t="shared" si="7"/>
        <v>1</v>
      </c>
      <c r="AG43">
        <f t="shared" si="8"/>
        <v>0.25075676748629133</v>
      </c>
    </row>
    <row r="44" spans="1:33" x14ac:dyDescent="0.25">
      <c r="A44">
        <v>456</v>
      </c>
      <c r="B44">
        <f>IFERROR(VLOOKUP(A44,Capacity!$A$3:$D$532,4,), "0")</f>
        <v>19.242254674999998</v>
      </c>
      <c r="C44" s="4">
        <f>IFERROR(VLOOKUP(A44,Capacity!$A$3:$F$532,6,), "0")</f>
        <v>0.17499999999999999</v>
      </c>
      <c r="E44" t="str">
        <f>IFERROR(VLOOKUP(D44,Capacity!$A$3:$D$532,4,), "0")</f>
        <v>0</v>
      </c>
      <c r="F44" s="4" t="str">
        <f>IFERROR(VLOOKUP(D44,Capacity!$A$3:$F$532,6,), "0")</f>
        <v>0</v>
      </c>
      <c r="H44" t="str">
        <f>IFERROR(VLOOKUP(G44,Capacity!$A$3:$D$532,4,), "0")</f>
        <v>0</v>
      </c>
      <c r="I44" s="4" t="str">
        <f>IFERROR(VLOOKUP(G44,Capacity!$A$3:$F$532,6,), "0")</f>
        <v>0</v>
      </c>
      <c r="K44" t="str">
        <f>IFERROR(VLOOKUP(J44,Capacity!$A$3:$D$532,4,), "0")</f>
        <v>0</v>
      </c>
      <c r="L44" s="4" t="str">
        <f>IFERROR(VLOOKUP(J44,Capacity!$A$3:$F$532,6,), "0")</f>
        <v>0</v>
      </c>
      <c r="M44" s="5">
        <f t="shared" si="0"/>
        <v>0</v>
      </c>
      <c r="N44" s="5">
        <f t="shared" si="1"/>
        <v>0</v>
      </c>
      <c r="O44">
        <v>176</v>
      </c>
      <c r="P44">
        <f>IFERROR(VLOOKUP(O44,Capacity!$A$3:$D$532,4,), "0")</f>
        <v>19.242254674999998</v>
      </c>
      <c r="Q44" s="4">
        <f>IFERROR(VLOOKUP(O44,Capacity!$A$3:$F$532,6,), "0")</f>
        <v>0.17499999999999999</v>
      </c>
      <c r="R44" s="5">
        <f t="shared" si="4"/>
        <v>19.242254674999998</v>
      </c>
      <c r="S44" s="5">
        <f t="shared" si="5"/>
        <v>0.17499999999999999</v>
      </c>
      <c r="U44">
        <v>456</v>
      </c>
      <c r="V44">
        <v>0</v>
      </c>
      <c r="W44">
        <v>0</v>
      </c>
      <c r="X44">
        <v>1</v>
      </c>
      <c r="AB44">
        <f t="shared" si="2"/>
        <v>0</v>
      </c>
      <c r="AC44">
        <f t="shared" si="3"/>
        <v>0</v>
      </c>
      <c r="AD44">
        <f t="shared" si="6"/>
        <v>0</v>
      </c>
      <c r="AE44">
        <f t="shared" si="7"/>
        <v>0</v>
      </c>
      <c r="AG44">
        <f t="shared" si="8"/>
        <v>0</v>
      </c>
    </row>
    <row r="45" spans="1:33" x14ac:dyDescent="0.25">
      <c r="A45">
        <v>188</v>
      </c>
      <c r="B45">
        <f>IFERROR(VLOOKUP(A45,Capacity!$A$3:$D$532,4,), "0")</f>
        <v>40.212385280000007</v>
      </c>
      <c r="C45" s="4">
        <f>IFERROR(VLOOKUP(A45,Capacity!$A$3:$F$532,6,), "0")</f>
        <v>0.4</v>
      </c>
      <c r="D45">
        <v>187</v>
      </c>
      <c r="E45">
        <f>IFERROR(VLOOKUP(D45,Capacity!$A$3:$D$532,4,), "0")</f>
        <v>100.53096320000003</v>
      </c>
      <c r="F45" s="4">
        <f>IFERROR(VLOOKUP(D45,Capacity!$A$3:$F$532,6,), "0")</f>
        <v>0.4</v>
      </c>
      <c r="G45">
        <v>195</v>
      </c>
      <c r="H45">
        <f>IFERROR(VLOOKUP(G45,Capacity!$A$3:$D$532,4,), "0")</f>
        <v>20.734511160000007</v>
      </c>
      <c r="I45" s="4">
        <f>IFERROR(VLOOKUP(G45,Capacity!$A$3:$F$532,6,), "0")</f>
        <v>0.2</v>
      </c>
      <c r="K45" t="str">
        <f>IFERROR(VLOOKUP(J45,Capacity!$A$3:$D$532,4,), "0")</f>
        <v>0</v>
      </c>
      <c r="L45" s="4" t="str">
        <f>IFERROR(VLOOKUP(J45,Capacity!$A$3:$F$532,6,), "0")</f>
        <v>0</v>
      </c>
      <c r="M45" s="5">
        <f t="shared" si="0"/>
        <v>121.26547436000004</v>
      </c>
      <c r="N45" s="5">
        <f t="shared" si="1"/>
        <v>0.60000000000000009</v>
      </c>
      <c r="O45">
        <v>183</v>
      </c>
      <c r="P45">
        <f>IFERROR(VLOOKUP(O45,Capacity!$A$3:$D$532,4,), "0")</f>
        <v>40.212385280000007</v>
      </c>
      <c r="Q45" s="4">
        <f>IFERROR(VLOOKUP(O45,Capacity!$A$3:$F$532,6,), "0")</f>
        <v>0.4</v>
      </c>
      <c r="R45" s="5">
        <f t="shared" si="4"/>
        <v>40.212385280000007</v>
      </c>
      <c r="S45" s="5">
        <f t="shared" si="5"/>
        <v>0.4</v>
      </c>
      <c r="U45">
        <v>188</v>
      </c>
      <c r="V45">
        <v>3</v>
      </c>
      <c r="W45">
        <v>3</v>
      </c>
      <c r="X45">
        <v>1</v>
      </c>
      <c r="AB45">
        <f t="shared" si="2"/>
        <v>3.0156250000000004</v>
      </c>
      <c r="AC45">
        <f t="shared" si="3"/>
        <v>3.0156250000000004</v>
      </c>
      <c r="AD45">
        <f t="shared" si="6"/>
        <v>1.5000000000000002</v>
      </c>
      <c r="AE45">
        <f t="shared" si="7"/>
        <v>1.5000000000000002</v>
      </c>
      <c r="AG45">
        <f t="shared" si="8"/>
        <v>1.5078125000000002</v>
      </c>
    </row>
    <row r="46" spans="1:33" x14ac:dyDescent="0.25">
      <c r="A46">
        <v>182</v>
      </c>
      <c r="B46">
        <f>IFERROR(VLOOKUP(A46,Capacity!$A$3:$D$532,4,), "0")</f>
        <v>19.242254674999998</v>
      </c>
      <c r="C46" s="4">
        <f>IFERROR(VLOOKUP(A46,Capacity!$A$3:$F$532,6,), "0")</f>
        <v>0.17499999999999999</v>
      </c>
      <c r="E46" t="str">
        <f>IFERROR(VLOOKUP(D46,Capacity!$A$3:$D$532,4,), "0")</f>
        <v>0</v>
      </c>
      <c r="F46" s="4" t="str">
        <f>IFERROR(VLOOKUP(D46,Capacity!$A$3:$F$532,6,), "0")</f>
        <v>0</v>
      </c>
      <c r="H46" t="str">
        <f>IFERROR(VLOOKUP(G46,Capacity!$A$3:$D$532,4,), "0")</f>
        <v>0</v>
      </c>
      <c r="I46" s="4" t="str">
        <f>IFERROR(VLOOKUP(G46,Capacity!$A$3:$F$532,6,), "0")</f>
        <v>0</v>
      </c>
      <c r="K46" t="str">
        <f>IFERROR(VLOOKUP(J46,Capacity!$A$3:$D$532,4,), "0")</f>
        <v>0</v>
      </c>
      <c r="L46" s="4" t="str">
        <f>IFERROR(VLOOKUP(J46,Capacity!$A$3:$F$532,6,), "0")</f>
        <v>0</v>
      </c>
      <c r="M46" s="5">
        <f t="shared" si="0"/>
        <v>0</v>
      </c>
      <c r="N46" s="5">
        <f t="shared" si="1"/>
        <v>0</v>
      </c>
      <c r="O46">
        <v>183</v>
      </c>
      <c r="P46">
        <f>IFERROR(VLOOKUP(O46,Capacity!$A$3:$D$532,4,), "0")</f>
        <v>40.212385280000007</v>
      </c>
      <c r="Q46" s="4">
        <f>IFERROR(VLOOKUP(O46,Capacity!$A$3:$F$532,6,), "0")</f>
        <v>0.4</v>
      </c>
      <c r="R46" s="5">
        <f t="shared" si="4"/>
        <v>40.212385280000007</v>
      </c>
      <c r="S46" s="5">
        <f t="shared" si="5"/>
        <v>0.4</v>
      </c>
      <c r="U46">
        <v>182</v>
      </c>
      <c r="V46">
        <v>1</v>
      </c>
      <c r="W46">
        <v>1</v>
      </c>
      <c r="X46">
        <v>1</v>
      </c>
      <c r="AB46">
        <f t="shared" si="2"/>
        <v>0</v>
      </c>
      <c r="AC46">
        <f t="shared" si="3"/>
        <v>0</v>
      </c>
      <c r="AD46">
        <f t="shared" si="6"/>
        <v>0</v>
      </c>
      <c r="AE46">
        <f t="shared" si="7"/>
        <v>0</v>
      </c>
      <c r="AG46">
        <f t="shared" si="8"/>
        <v>0</v>
      </c>
    </row>
    <row r="47" spans="1:33" x14ac:dyDescent="0.25">
      <c r="A47">
        <v>276</v>
      </c>
      <c r="B47">
        <f>IFERROR(VLOOKUP(A47,Capacity!$A$3:$D$532,4,), "0")</f>
        <v>24.052818343749998</v>
      </c>
      <c r="C47" s="4">
        <f>IFERROR(VLOOKUP(A47,Capacity!$A$3:$F$532,6,), "0")</f>
        <v>0.17499999999999999</v>
      </c>
      <c r="E47" t="str">
        <f>IFERROR(VLOOKUP(D47,Capacity!$A$3:$D$532,4,), "0")</f>
        <v>0</v>
      </c>
      <c r="F47" s="4" t="str">
        <f>IFERROR(VLOOKUP(D47,Capacity!$A$3:$F$532,6,), "0")</f>
        <v>0</v>
      </c>
      <c r="H47" t="str">
        <f>IFERROR(VLOOKUP(G47,Capacity!$A$3:$D$532,4,), "0")</f>
        <v>0</v>
      </c>
      <c r="I47" s="4" t="str">
        <f>IFERROR(VLOOKUP(G47,Capacity!$A$3:$F$532,6,), "0")</f>
        <v>0</v>
      </c>
      <c r="K47" t="str">
        <f>IFERROR(VLOOKUP(J47,Capacity!$A$3:$D$532,4,), "0")</f>
        <v>0</v>
      </c>
      <c r="L47" s="4" t="str">
        <f>IFERROR(VLOOKUP(J47,Capacity!$A$3:$F$532,6,), "0")</f>
        <v>0</v>
      </c>
      <c r="M47" s="5">
        <f t="shared" si="0"/>
        <v>0</v>
      </c>
      <c r="N47" s="5">
        <f t="shared" si="1"/>
        <v>0</v>
      </c>
      <c r="O47">
        <v>136</v>
      </c>
      <c r="P47">
        <f>IFERROR(VLOOKUP(O47,Capacity!$A$3:$D$532,4,), "0")</f>
        <v>150.2073961875</v>
      </c>
      <c r="Q47" s="4">
        <f>IFERROR(VLOOKUP(O47,Capacity!$A$3:$F$532,6,), "0")</f>
        <v>0.75</v>
      </c>
      <c r="R47" s="5">
        <f t="shared" si="4"/>
        <v>150.2073961875</v>
      </c>
      <c r="S47" s="5">
        <f t="shared" si="5"/>
        <v>0.75</v>
      </c>
      <c r="U47">
        <v>276</v>
      </c>
      <c r="V47">
        <v>1</v>
      </c>
      <c r="W47">
        <v>1</v>
      </c>
      <c r="X47">
        <v>1</v>
      </c>
      <c r="AB47">
        <f t="shared" si="2"/>
        <v>0</v>
      </c>
      <c r="AC47">
        <f t="shared" si="3"/>
        <v>0</v>
      </c>
      <c r="AD47">
        <f t="shared" si="6"/>
        <v>0</v>
      </c>
      <c r="AE47">
        <f t="shared" si="7"/>
        <v>0</v>
      </c>
      <c r="AG47">
        <f t="shared" si="8"/>
        <v>0</v>
      </c>
    </row>
    <row r="48" spans="1:33" x14ac:dyDescent="0.25">
      <c r="A48">
        <v>134</v>
      </c>
      <c r="B48">
        <f>IFERROR(VLOOKUP(A48,Capacity!$A$3:$D$532,4,), "0")</f>
        <v>273.90760481250004</v>
      </c>
      <c r="C48" s="4">
        <f>IFERROR(VLOOKUP(A48,Capacity!$A$3:$F$532,6,), "0")</f>
        <v>0.75</v>
      </c>
      <c r="D48">
        <v>133</v>
      </c>
      <c r="E48">
        <f>IFERROR(VLOOKUP(D48,Capacity!$A$3:$D$532,4,), "0")</f>
        <v>273.90760481250004</v>
      </c>
      <c r="F48" s="4">
        <f>IFERROR(VLOOKUP(D48,Capacity!$A$3:$F$532,6,), "0")</f>
        <v>0.75</v>
      </c>
      <c r="H48" t="str">
        <f>IFERROR(VLOOKUP(G48,Capacity!$A$3:$D$532,4,), "0")</f>
        <v>0</v>
      </c>
      <c r="I48" s="4" t="str">
        <f>IFERROR(VLOOKUP(G48,Capacity!$A$3:$F$532,6,), "0")</f>
        <v>0</v>
      </c>
      <c r="K48" t="str">
        <f>IFERROR(VLOOKUP(J48,Capacity!$A$3:$D$532,4,), "0")</f>
        <v>0</v>
      </c>
      <c r="L48" s="4" t="str">
        <f>IFERROR(VLOOKUP(J48,Capacity!$A$3:$F$532,6,), "0")</f>
        <v>0</v>
      </c>
      <c r="M48" s="5">
        <f t="shared" si="0"/>
        <v>273.90760481250004</v>
      </c>
      <c r="N48" s="5">
        <f t="shared" si="1"/>
        <v>0.75</v>
      </c>
      <c r="O48">
        <v>136</v>
      </c>
      <c r="P48">
        <f>IFERROR(VLOOKUP(O48,Capacity!$A$3:$D$532,4,), "0")</f>
        <v>150.2073961875</v>
      </c>
      <c r="Q48" s="4">
        <f>IFERROR(VLOOKUP(O48,Capacity!$A$3:$F$532,6,), "0")</f>
        <v>0.75</v>
      </c>
      <c r="R48" s="5">
        <f t="shared" si="4"/>
        <v>150.2073961875</v>
      </c>
      <c r="S48" s="5">
        <f t="shared" si="5"/>
        <v>0.75</v>
      </c>
      <c r="U48">
        <v>134</v>
      </c>
      <c r="V48">
        <v>2</v>
      </c>
      <c r="W48">
        <v>2</v>
      </c>
      <c r="X48">
        <v>1</v>
      </c>
      <c r="AB48">
        <f t="shared" si="2"/>
        <v>1.8235294117647063</v>
      </c>
      <c r="AC48">
        <f t="shared" si="3"/>
        <v>1</v>
      </c>
      <c r="AD48">
        <f t="shared" si="6"/>
        <v>1</v>
      </c>
      <c r="AE48">
        <f t="shared" si="7"/>
        <v>1</v>
      </c>
      <c r="AG48">
        <f t="shared" si="8"/>
        <v>0.64583333333333337</v>
      </c>
    </row>
    <row r="49" spans="1:33" x14ac:dyDescent="0.25">
      <c r="A49">
        <v>128</v>
      </c>
      <c r="B49">
        <f>IFERROR(VLOOKUP(A49,Capacity!$A$3:$D$532,4,), "0")</f>
        <v>31.101766740000002</v>
      </c>
      <c r="C49" s="4">
        <f>IFERROR(VLOOKUP(A49,Capacity!$A$3:$F$532,6,), "0")</f>
        <v>0.3</v>
      </c>
      <c r="D49">
        <v>127</v>
      </c>
      <c r="E49">
        <f>IFERROR(VLOOKUP(D49,Capacity!$A$3:$D$532,4,), "0")</f>
        <v>45.238933439999997</v>
      </c>
      <c r="F49" s="4">
        <f>IFERROR(VLOOKUP(D49,Capacity!$A$3:$F$532,6,), "0")</f>
        <v>0.3</v>
      </c>
      <c r="G49">
        <v>129</v>
      </c>
      <c r="H49">
        <f>IFERROR(VLOOKUP(G49,Capacity!$A$3:$D$532,4,), "0")</f>
        <v>15.393803739999997</v>
      </c>
      <c r="I49" s="4">
        <f>IFERROR(VLOOKUP(G49,Capacity!$A$3:$F$532,6,), "0")</f>
        <v>0.17499999999999999</v>
      </c>
      <c r="K49" t="str">
        <f>IFERROR(VLOOKUP(J49,Capacity!$A$3:$D$532,4,), "0")</f>
        <v>0</v>
      </c>
      <c r="L49" s="4" t="str">
        <f>IFERROR(VLOOKUP(J49,Capacity!$A$3:$F$532,6,), "0")</f>
        <v>0</v>
      </c>
      <c r="M49" s="5">
        <f t="shared" si="0"/>
        <v>60.632737179999992</v>
      </c>
      <c r="N49" s="5">
        <f t="shared" si="1"/>
        <v>0.47499999999999998</v>
      </c>
      <c r="O49">
        <v>136</v>
      </c>
      <c r="P49">
        <f>IFERROR(VLOOKUP(O49,Capacity!$A$3:$D$532,4,), "0")</f>
        <v>150.2073961875</v>
      </c>
      <c r="Q49" s="4">
        <f>IFERROR(VLOOKUP(O49,Capacity!$A$3:$F$532,6,), "0")</f>
        <v>0.75</v>
      </c>
      <c r="R49" s="5">
        <f t="shared" si="4"/>
        <v>150.2073961875</v>
      </c>
      <c r="S49" s="5">
        <f t="shared" si="5"/>
        <v>0.75</v>
      </c>
      <c r="U49">
        <v>128</v>
      </c>
      <c r="V49">
        <v>3</v>
      </c>
      <c r="W49">
        <v>3</v>
      </c>
      <c r="X49">
        <v>1</v>
      </c>
      <c r="AB49">
        <f t="shared" si="2"/>
        <v>0.40366013071895424</v>
      </c>
      <c r="AC49">
        <f t="shared" si="3"/>
        <v>1.9494949494949492</v>
      </c>
      <c r="AD49">
        <f t="shared" si="6"/>
        <v>0.6333333333333333</v>
      </c>
      <c r="AE49">
        <f t="shared" si="7"/>
        <v>1.5833333333333333</v>
      </c>
      <c r="AG49">
        <f t="shared" si="8"/>
        <v>0.3344162876326619</v>
      </c>
    </row>
    <row r="50" spans="1:33" x14ac:dyDescent="0.25">
      <c r="A50">
        <v>139</v>
      </c>
      <c r="B50">
        <f>IFERROR(VLOOKUP(A50,Capacity!$A$3:$D$532,4,), "0")</f>
        <v>48.066366779999996</v>
      </c>
      <c r="C50" s="4">
        <f>IFERROR(VLOOKUP(A50,Capacity!$A$3:$F$532,6,), "0")</f>
        <v>0.3</v>
      </c>
      <c r="D50">
        <v>140</v>
      </c>
      <c r="E50">
        <f>IFERROR(VLOOKUP(D50,Capacity!$A$3:$D$532,4,), "0")</f>
        <v>45.238933439999997</v>
      </c>
      <c r="F50" s="4">
        <f>IFERROR(VLOOKUP(D50,Capacity!$A$3:$F$532,6,), "0")</f>
        <v>0.3</v>
      </c>
      <c r="H50" t="str">
        <f>IFERROR(VLOOKUP(G50,Capacity!$A$3:$D$532,4,), "0")</f>
        <v>0</v>
      </c>
      <c r="I50" s="4" t="str">
        <f>IFERROR(VLOOKUP(G50,Capacity!$A$3:$F$532,6,), "0")</f>
        <v>0</v>
      </c>
      <c r="K50" t="str">
        <f>IFERROR(VLOOKUP(J50,Capacity!$A$3:$D$532,4,), "0")</f>
        <v>0</v>
      </c>
      <c r="L50" s="4" t="str">
        <f>IFERROR(VLOOKUP(J50,Capacity!$A$3:$F$532,6,), "0")</f>
        <v>0</v>
      </c>
      <c r="M50" s="5">
        <f t="shared" si="0"/>
        <v>45.238933439999997</v>
      </c>
      <c r="N50" s="5">
        <f t="shared" si="1"/>
        <v>0.3</v>
      </c>
      <c r="O50">
        <v>138</v>
      </c>
      <c r="P50">
        <f>IFERROR(VLOOKUP(O50,Capacity!$A$3:$D$532,4,), "0")</f>
        <v>48.066366779999996</v>
      </c>
      <c r="Q50" s="4">
        <f>IFERROR(VLOOKUP(O50,Capacity!$A$3:$F$532,6,), "0")</f>
        <v>0.3</v>
      </c>
      <c r="R50" s="5">
        <f t="shared" si="4"/>
        <v>48.066366779999996</v>
      </c>
      <c r="S50" s="5">
        <f t="shared" si="5"/>
        <v>0.3</v>
      </c>
      <c r="U50">
        <v>139</v>
      </c>
      <c r="V50">
        <v>2</v>
      </c>
      <c r="W50">
        <v>2</v>
      </c>
      <c r="X50">
        <v>1</v>
      </c>
      <c r="AB50">
        <f t="shared" si="2"/>
        <v>0.94117647058823528</v>
      </c>
      <c r="AC50">
        <f t="shared" si="3"/>
        <v>0.94117647058823528</v>
      </c>
      <c r="AD50">
        <f t="shared" si="6"/>
        <v>1</v>
      </c>
      <c r="AE50">
        <f t="shared" si="7"/>
        <v>1</v>
      </c>
      <c r="AG50">
        <f t="shared" si="8"/>
        <v>0.47058823529411764</v>
      </c>
    </row>
    <row r="51" spans="1:33" x14ac:dyDescent="0.25">
      <c r="A51">
        <v>141</v>
      </c>
      <c r="B51">
        <f>IFERROR(VLOOKUP(A51,Capacity!$A$3:$D$532,4,), "0")</f>
        <v>17.799085574374995</v>
      </c>
      <c r="C51" s="4">
        <f>IFERROR(VLOOKUP(A51,Capacity!$A$3:$F$532,6,), "0")</f>
        <v>0.17499999999999999</v>
      </c>
      <c r="D51">
        <v>444</v>
      </c>
      <c r="E51">
        <f>IFERROR(VLOOKUP(D51,Capacity!$A$3:$D$532,4,), "0")</f>
        <v>7.6969018699999987</v>
      </c>
      <c r="F51" s="4">
        <f>IFERROR(VLOOKUP(D51,Capacity!$A$3:$F$532,6,), "0")</f>
        <v>0.17499999999999999</v>
      </c>
      <c r="G51">
        <v>91</v>
      </c>
      <c r="H51">
        <f>IFERROR(VLOOKUP(G51,Capacity!$A$3:$D$532,4,), "0")</f>
        <v>21.166480142499999</v>
      </c>
      <c r="I51" s="4">
        <f>IFERROR(VLOOKUP(G51,Capacity!$A$3:$F$532,6,), "0")</f>
        <v>0.17499999999999999</v>
      </c>
      <c r="K51" t="str">
        <f>IFERROR(VLOOKUP(J51,Capacity!$A$3:$D$532,4,), "0")</f>
        <v>0</v>
      </c>
      <c r="L51" s="4" t="str">
        <f>IFERROR(VLOOKUP(J51,Capacity!$A$3:$F$532,6,), "0")</f>
        <v>0</v>
      </c>
      <c r="M51" s="5">
        <f t="shared" si="0"/>
        <v>28.863382012499997</v>
      </c>
      <c r="N51" s="5">
        <f t="shared" si="1"/>
        <v>0.35</v>
      </c>
      <c r="O51">
        <v>142</v>
      </c>
      <c r="P51">
        <f>IFERROR(VLOOKUP(O51,Capacity!$A$3:$D$532,4,), "0")</f>
        <v>17.799085574374995</v>
      </c>
      <c r="Q51" s="4">
        <f>IFERROR(VLOOKUP(O51,Capacity!$A$3:$F$532,6,), "0")</f>
        <v>0.17499999999999999</v>
      </c>
      <c r="R51" s="5">
        <f t="shared" si="4"/>
        <v>17.799085574374995</v>
      </c>
      <c r="S51" s="5">
        <f t="shared" si="5"/>
        <v>0.17499999999999999</v>
      </c>
      <c r="U51">
        <v>141</v>
      </c>
      <c r="V51">
        <v>3</v>
      </c>
      <c r="W51">
        <v>3</v>
      </c>
      <c r="X51">
        <v>1</v>
      </c>
      <c r="AB51">
        <f t="shared" si="2"/>
        <v>1.6216216216216219</v>
      </c>
      <c r="AC51">
        <f t="shared" si="3"/>
        <v>1.6216216216216219</v>
      </c>
      <c r="AD51">
        <f t="shared" si="6"/>
        <v>2</v>
      </c>
      <c r="AE51">
        <f t="shared" si="7"/>
        <v>2</v>
      </c>
      <c r="AG51">
        <f t="shared" si="8"/>
        <v>0.81081081081081097</v>
      </c>
    </row>
    <row r="52" spans="1:33" x14ac:dyDescent="0.25">
      <c r="A52">
        <v>445</v>
      </c>
      <c r="B52">
        <f>IFERROR(VLOOKUP(A52,Capacity!$A$3:$D$532,4,), "0")</f>
        <v>7.6969018699999987</v>
      </c>
      <c r="C52" s="4">
        <f>IFERROR(VLOOKUP(A52,Capacity!$A$3:$F$532,6,), "0")</f>
        <v>0.17499999999999999</v>
      </c>
      <c r="E52" t="str">
        <f>IFERROR(VLOOKUP(D52,Capacity!$A$3:$D$532,4,), "0")</f>
        <v>0</v>
      </c>
      <c r="F52" s="4" t="str">
        <f>IFERROR(VLOOKUP(D52,Capacity!$A$3:$F$532,6,), "0")</f>
        <v>0</v>
      </c>
      <c r="H52" t="str">
        <f>IFERROR(VLOOKUP(G52,Capacity!$A$3:$D$532,4,), "0")</f>
        <v>0</v>
      </c>
      <c r="I52" s="4" t="str">
        <f>IFERROR(VLOOKUP(G52,Capacity!$A$3:$F$532,6,), "0")</f>
        <v>0</v>
      </c>
      <c r="K52" t="str">
        <f>IFERROR(VLOOKUP(J52,Capacity!$A$3:$D$532,4,), "0")</f>
        <v>0</v>
      </c>
      <c r="L52" s="4" t="str">
        <f>IFERROR(VLOOKUP(J52,Capacity!$A$3:$F$532,6,), "0")</f>
        <v>0</v>
      </c>
      <c r="M52" s="5">
        <f t="shared" si="0"/>
        <v>0</v>
      </c>
      <c r="N52" s="5">
        <f t="shared" si="1"/>
        <v>0</v>
      </c>
      <c r="O52">
        <v>145</v>
      </c>
      <c r="P52">
        <f>IFERROR(VLOOKUP(O52,Capacity!$A$3:$D$532,4,), "0")</f>
        <v>23.876103760000007</v>
      </c>
      <c r="Q52" s="4">
        <f>IFERROR(VLOOKUP(O52,Capacity!$A$3:$F$532,6,), "0")</f>
        <v>0.2</v>
      </c>
      <c r="R52" s="5">
        <f t="shared" si="4"/>
        <v>23.876103760000007</v>
      </c>
      <c r="S52" s="5">
        <f t="shared" si="5"/>
        <v>0.2</v>
      </c>
      <c r="U52">
        <v>445</v>
      </c>
      <c r="V52">
        <v>0</v>
      </c>
      <c r="W52">
        <v>0</v>
      </c>
      <c r="X52">
        <v>1</v>
      </c>
      <c r="AB52">
        <f t="shared" si="2"/>
        <v>0</v>
      </c>
      <c r="AC52">
        <f t="shared" si="3"/>
        <v>0</v>
      </c>
      <c r="AD52">
        <f t="shared" si="6"/>
        <v>0</v>
      </c>
      <c r="AE52">
        <f t="shared" si="7"/>
        <v>0</v>
      </c>
      <c r="AG52">
        <f t="shared" si="8"/>
        <v>0</v>
      </c>
    </row>
    <row r="53" spans="1:33" x14ac:dyDescent="0.25">
      <c r="A53">
        <v>89</v>
      </c>
      <c r="B53">
        <f>IFERROR(VLOOKUP(A53,Capacity!$A$3:$D$532,4,), "0")</f>
        <v>27.646014880000006</v>
      </c>
      <c r="C53" s="4">
        <f>IFERROR(VLOOKUP(A53,Capacity!$A$3:$F$532,6,), "0")</f>
        <v>0.2</v>
      </c>
      <c r="D53">
        <v>421</v>
      </c>
      <c r="E53">
        <f>IFERROR(VLOOKUP(D53,Capacity!$A$3:$D$532,4,), "0")</f>
        <v>7.6969018699999987</v>
      </c>
      <c r="F53" s="4">
        <f>IFERROR(VLOOKUP(D53,Capacity!$A$3:$F$532,6,), "0")</f>
        <v>0.17499999999999999</v>
      </c>
      <c r="G53">
        <v>50</v>
      </c>
      <c r="H53">
        <f>IFERROR(VLOOKUP(G53,Capacity!$A$3:$D$532,4,), "0")</f>
        <v>28.274333400000007</v>
      </c>
      <c r="I53" s="4">
        <f>IFERROR(VLOOKUP(G53,Capacity!$A$3:$F$532,6,), "0")</f>
        <v>0.2</v>
      </c>
      <c r="K53" t="str">
        <f>IFERROR(VLOOKUP(J53,Capacity!$A$3:$D$532,4,), "0")</f>
        <v>0</v>
      </c>
      <c r="L53" s="4" t="str">
        <f>IFERROR(VLOOKUP(J53,Capacity!$A$3:$F$532,6,), "0")</f>
        <v>0</v>
      </c>
      <c r="M53" s="5">
        <f t="shared" si="0"/>
        <v>35.971235270000008</v>
      </c>
      <c r="N53" s="5">
        <f t="shared" si="1"/>
        <v>0.375</v>
      </c>
      <c r="O53">
        <v>145</v>
      </c>
      <c r="P53">
        <f>IFERROR(VLOOKUP(O53,Capacity!$A$3:$D$532,4,), "0")</f>
        <v>23.876103760000007</v>
      </c>
      <c r="Q53" s="4">
        <f>IFERROR(VLOOKUP(O53,Capacity!$A$3:$F$532,6,), "0")</f>
        <v>0.2</v>
      </c>
      <c r="R53" s="5">
        <f t="shared" si="4"/>
        <v>23.876103760000007</v>
      </c>
      <c r="S53" s="5">
        <f t="shared" si="5"/>
        <v>0.2</v>
      </c>
      <c r="U53">
        <v>89</v>
      </c>
      <c r="V53">
        <v>3</v>
      </c>
      <c r="W53">
        <v>3</v>
      </c>
      <c r="X53">
        <v>1</v>
      </c>
      <c r="AB53">
        <f t="shared" si="2"/>
        <v>1.506578947368421</v>
      </c>
      <c r="AC53">
        <f t="shared" si="3"/>
        <v>1.3011363636363635</v>
      </c>
      <c r="AD53">
        <f t="shared" si="6"/>
        <v>1.875</v>
      </c>
      <c r="AE53">
        <f t="shared" si="7"/>
        <v>1.875</v>
      </c>
      <c r="AG53">
        <f t="shared" si="8"/>
        <v>0.69817073170731703</v>
      </c>
    </row>
    <row r="54" spans="1:33" x14ac:dyDescent="0.25">
      <c r="A54">
        <v>420</v>
      </c>
      <c r="B54">
        <f>IFERROR(VLOOKUP(A54,Capacity!$A$3:$D$532,4,), "0")</f>
        <v>7.6969018699999987</v>
      </c>
      <c r="C54" s="4">
        <f>IFERROR(VLOOKUP(A54,Capacity!$A$3:$F$532,6,), "0")</f>
        <v>0.17499999999999999</v>
      </c>
      <c r="E54" t="str">
        <f>IFERROR(VLOOKUP(D54,Capacity!$A$3:$D$532,4,), "0")</f>
        <v>0</v>
      </c>
      <c r="F54" s="4" t="str">
        <f>IFERROR(VLOOKUP(D54,Capacity!$A$3:$F$532,6,), "0")</f>
        <v>0</v>
      </c>
      <c r="H54" t="str">
        <f>IFERROR(VLOOKUP(G54,Capacity!$A$3:$D$532,4,), "0")</f>
        <v>0</v>
      </c>
      <c r="I54" s="4" t="str">
        <f>IFERROR(VLOOKUP(G54,Capacity!$A$3:$F$532,6,), "0")</f>
        <v>0</v>
      </c>
      <c r="K54" t="str">
        <f>IFERROR(VLOOKUP(J54,Capacity!$A$3:$D$532,4,), "0")</f>
        <v>0</v>
      </c>
      <c r="L54" s="4" t="str">
        <f>IFERROR(VLOOKUP(J54,Capacity!$A$3:$F$532,6,), "0")</f>
        <v>0</v>
      </c>
      <c r="M54" s="5">
        <f t="shared" si="0"/>
        <v>0</v>
      </c>
      <c r="N54" s="5">
        <f t="shared" si="1"/>
        <v>0</v>
      </c>
      <c r="O54">
        <v>88</v>
      </c>
      <c r="P54">
        <f>IFERROR(VLOOKUP(O54,Capacity!$A$3:$D$532,4,), "0")</f>
        <v>172.78759300000002</v>
      </c>
      <c r="Q54" s="4">
        <f>IFERROR(VLOOKUP(O54,Capacity!$A$3:$F$532,6,), "0")</f>
        <v>0.5</v>
      </c>
      <c r="R54" s="5">
        <f t="shared" si="4"/>
        <v>172.78759300000002</v>
      </c>
      <c r="S54" s="5">
        <f t="shared" si="5"/>
        <v>0.5</v>
      </c>
      <c r="U54">
        <v>420</v>
      </c>
      <c r="V54">
        <v>0</v>
      </c>
      <c r="W54">
        <v>0</v>
      </c>
      <c r="X54">
        <v>1</v>
      </c>
      <c r="AB54">
        <f t="shared" si="2"/>
        <v>0</v>
      </c>
      <c r="AC54">
        <f t="shared" si="3"/>
        <v>0</v>
      </c>
      <c r="AD54">
        <f t="shared" si="6"/>
        <v>0</v>
      </c>
      <c r="AE54">
        <f t="shared" si="7"/>
        <v>0</v>
      </c>
      <c r="AG54">
        <f t="shared" si="8"/>
        <v>0</v>
      </c>
    </row>
    <row r="55" spans="1:33" x14ac:dyDescent="0.25">
      <c r="A55">
        <v>49</v>
      </c>
      <c r="B55">
        <f>IFERROR(VLOOKUP(A55,Capacity!$A$3:$D$532,4,), "0")</f>
        <v>21.647536509374998</v>
      </c>
      <c r="C55" s="4">
        <f>IFERROR(VLOOKUP(A55,Capacity!$A$3:$F$532,6,), "0")</f>
        <v>0.17499999999999999</v>
      </c>
      <c r="D55">
        <v>375</v>
      </c>
      <c r="E55">
        <f>IFERROR(VLOOKUP(D55,Capacity!$A$3:$D$532,4,), "0")</f>
        <v>7.6969018699999987</v>
      </c>
      <c r="F55" s="4">
        <f>IFERROR(VLOOKUP(D55,Capacity!$A$3:$F$532,6,), "0")</f>
        <v>0.17499999999999999</v>
      </c>
      <c r="G55">
        <v>22</v>
      </c>
      <c r="H55">
        <f>IFERROR(VLOOKUP(G55,Capacity!$A$3:$D$532,4,), "0")</f>
        <v>24.052818343749998</v>
      </c>
      <c r="I55" s="4">
        <f>IFERROR(VLOOKUP(G55,Capacity!$A$3:$F$532,6,), "0")</f>
        <v>0.17499999999999999</v>
      </c>
      <c r="K55" t="str">
        <f>IFERROR(VLOOKUP(J55,Capacity!$A$3:$D$532,4,), "0")</f>
        <v>0</v>
      </c>
      <c r="L55" s="4" t="str">
        <f>IFERROR(VLOOKUP(J55,Capacity!$A$3:$F$532,6,), "0")</f>
        <v>0</v>
      </c>
      <c r="M55" s="5">
        <f t="shared" si="0"/>
        <v>31.749720213749995</v>
      </c>
      <c r="N55" s="5">
        <f t="shared" si="1"/>
        <v>0.35</v>
      </c>
      <c r="O55">
        <v>88</v>
      </c>
      <c r="P55">
        <f>IFERROR(VLOOKUP(O55,Capacity!$A$3:$D$532,4,), "0")</f>
        <v>172.78759300000002</v>
      </c>
      <c r="Q55" s="4">
        <f>IFERROR(VLOOKUP(O55,Capacity!$A$3:$F$532,6,), "0")</f>
        <v>0.5</v>
      </c>
      <c r="R55" s="5">
        <f t="shared" si="4"/>
        <v>172.78759300000002</v>
      </c>
      <c r="S55" s="5">
        <f t="shared" si="5"/>
        <v>0.5</v>
      </c>
      <c r="U55">
        <v>49</v>
      </c>
      <c r="V55">
        <v>2</v>
      </c>
      <c r="W55">
        <v>2</v>
      </c>
      <c r="X55">
        <v>1</v>
      </c>
      <c r="AB55">
        <f t="shared" si="2"/>
        <v>0.18374999999999997</v>
      </c>
      <c r="AC55">
        <f t="shared" si="3"/>
        <v>1.4666666666666666</v>
      </c>
      <c r="AD55">
        <f t="shared" si="6"/>
        <v>0.7</v>
      </c>
      <c r="AE55">
        <f t="shared" si="7"/>
        <v>2</v>
      </c>
      <c r="AG55">
        <f t="shared" si="8"/>
        <v>0.16329209795506183</v>
      </c>
    </row>
    <row r="56" spans="1:33" x14ac:dyDescent="0.25">
      <c r="A56">
        <v>374</v>
      </c>
      <c r="B56">
        <f>IFERROR(VLOOKUP(A56,Capacity!$A$3:$D$532,4,), "0")</f>
        <v>7.6969018699999987</v>
      </c>
      <c r="C56" s="4">
        <f>IFERROR(VLOOKUP(A56,Capacity!$A$3:$F$532,6,), "0")</f>
        <v>0.17499999999999999</v>
      </c>
      <c r="E56" t="str">
        <f>IFERROR(VLOOKUP(D56,Capacity!$A$3:$D$532,4,), "0")</f>
        <v>0</v>
      </c>
      <c r="F56" s="4" t="str">
        <f>IFERROR(VLOOKUP(D56,Capacity!$A$3:$F$532,6,), "0")</f>
        <v>0</v>
      </c>
      <c r="H56" t="str">
        <f>IFERROR(VLOOKUP(G56,Capacity!$A$3:$D$532,4,), "0")</f>
        <v>0</v>
      </c>
      <c r="I56" s="4" t="str">
        <f>IFERROR(VLOOKUP(G56,Capacity!$A$3:$F$532,6,), "0")</f>
        <v>0</v>
      </c>
      <c r="K56" t="str">
        <f>IFERROR(VLOOKUP(J56,Capacity!$A$3:$D$532,4,), "0")</f>
        <v>0</v>
      </c>
      <c r="L56" s="4" t="str">
        <f>IFERROR(VLOOKUP(J56,Capacity!$A$3:$F$532,6,), "0")</f>
        <v>0</v>
      </c>
      <c r="M56" s="5">
        <f t="shared" si="0"/>
        <v>0</v>
      </c>
      <c r="N56" s="5">
        <f t="shared" si="1"/>
        <v>0</v>
      </c>
      <c r="O56">
        <v>48</v>
      </c>
      <c r="P56">
        <f>IFERROR(VLOOKUP(O56,Capacity!$A$3:$D$532,4,), "0")</f>
        <v>397.6078134375</v>
      </c>
      <c r="Q56" s="4">
        <f>IFERROR(VLOOKUP(O56,Capacity!$A$3:$F$532,6,), "0")</f>
        <v>0.75</v>
      </c>
      <c r="R56" s="5">
        <f t="shared" si="4"/>
        <v>397.6078134375</v>
      </c>
      <c r="S56" s="5">
        <f t="shared" si="5"/>
        <v>0.75</v>
      </c>
      <c r="U56">
        <v>374</v>
      </c>
      <c r="V56">
        <v>0</v>
      </c>
      <c r="W56">
        <v>0</v>
      </c>
      <c r="X56">
        <v>1</v>
      </c>
      <c r="AB56">
        <f t="shared" si="2"/>
        <v>0</v>
      </c>
      <c r="AC56">
        <f t="shared" si="3"/>
        <v>0</v>
      </c>
      <c r="AD56">
        <f t="shared" si="6"/>
        <v>0</v>
      </c>
      <c r="AE56">
        <f t="shared" si="7"/>
        <v>0</v>
      </c>
      <c r="AG56">
        <f t="shared" si="8"/>
        <v>0</v>
      </c>
    </row>
    <row r="57" spans="1:33" x14ac:dyDescent="0.25">
      <c r="A57">
        <v>47</v>
      </c>
      <c r="B57">
        <f>IFERROR(VLOOKUP(A57,Capacity!$A$3:$D$532,4,), "0")</f>
        <v>141.371667</v>
      </c>
      <c r="C57" s="4">
        <f>IFERROR(VLOOKUP(A57,Capacity!$A$3:$F$532,6,), "0")</f>
        <v>0.75</v>
      </c>
      <c r="D57">
        <v>25</v>
      </c>
      <c r="E57">
        <f>IFERROR(VLOOKUP(D57,Capacity!$A$3:$D$532,4,), "0")</f>
        <v>424.11500100000001</v>
      </c>
      <c r="F57" s="4">
        <f>IFERROR(VLOOKUP(D57,Capacity!$A$3:$F$532,6,), "0")</f>
        <v>0.75</v>
      </c>
      <c r="G57">
        <v>45</v>
      </c>
      <c r="H57">
        <f>IFERROR(VLOOKUP(G57,Capacity!$A$3:$D$532,4,), "0")</f>
        <v>40.212385280000007</v>
      </c>
      <c r="I57" s="4">
        <f>IFERROR(VLOOKUP(G57,Capacity!$A$3:$F$532,6,), "0")</f>
        <v>0.4</v>
      </c>
      <c r="J57">
        <v>418</v>
      </c>
      <c r="K57">
        <f>IFERROR(VLOOKUP(J57,Capacity!$A$3:$D$532,4,), "0")</f>
        <v>21.647536509374998</v>
      </c>
      <c r="L57" s="4">
        <f>IFERROR(VLOOKUP(J57,Capacity!$A$3:$F$532,6,), "0")</f>
        <v>0.17499999999999999</v>
      </c>
      <c r="M57" s="5">
        <f t="shared" si="0"/>
        <v>485.97492278937506</v>
      </c>
      <c r="N57" s="5">
        <f t="shared" si="1"/>
        <v>1.325</v>
      </c>
      <c r="O57">
        <v>48</v>
      </c>
      <c r="P57">
        <f>IFERROR(VLOOKUP(O57,Capacity!$A$3:$D$532,4,), "0")</f>
        <v>397.6078134375</v>
      </c>
      <c r="Q57" s="4">
        <f>IFERROR(VLOOKUP(O57,Capacity!$A$3:$F$532,6,), "0")</f>
        <v>0.75</v>
      </c>
      <c r="R57" s="5">
        <f t="shared" si="4"/>
        <v>397.6078134375</v>
      </c>
      <c r="S57" s="5">
        <f t="shared" si="5"/>
        <v>0.75</v>
      </c>
      <c r="U57">
        <v>47</v>
      </c>
      <c r="V57">
        <v>3</v>
      </c>
      <c r="W57">
        <v>3</v>
      </c>
      <c r="X57">
        <v>1</v>
      </c>
      <c r="AB57">
        <f t="shared" si="2"/>
        <v>1.222246913580247</v>
      </c>
      <c r="AC57">
        <f t="shared" si="3"/>
        <v>3.4375694444444447</v>
      </c>
      <c r="AD57">
        <f t="shared" si="6"/>
        <v>1.7666666666666666</v>
      </c>
      <c r="AE57">
        <f t="shared" si="7"/>
        <v>1.7666666666666666</v>
      </c>
      <c r="AG57">
        <f t="shared" si="8"/>
        <v>0.90165755919854296</v>
      </c>
    </row>
    <row r="58" spans="1:33" x14ac:dyDescent="0.25">
      <c r="A58">
        <v>23</v>
      </c>
      <c r="B58">
        <f>IFERROR(VLOOKUP(A58,Capacity!$A$3:$D$532,4,), "0")</f>
        <v>125.66370400000002</v>
      </c>
      <c r="C58" s="4">
        <f>IFERROR(VLOOKUP(A58,Capacity!$A$3:$F$532,6,), "0")</f>
        <v>0.4</v>
      </c>
      <c r="D58">
        <v>348</v>
      </c>
      <c r="E58">
        <f>IFERROR(VLOOKUP(D58,Capacity!$A$3:$D$532,4,), "0")</f>
        <v>108.07078544000002</v>
      </c>
      <c r="F58" s="4">
        <f>IFERROR(VLOOKUP(D58,Capacity!$A$3:$F$532,6,), "0")</f>
        <v>0.4</v>
      </c>
      <c r="G58">
        <v>365</v>
      </c>
      <c r="H58">
        <f>IFERROR(VLOOKUP(G58,Capacity!$A$3:$D$532,4,), "0")</f>
        <v>3.8484509349999994</v>
      </c>
      <c r="I58" s="4">
        <f>IFERROR(VLOOKUP(G58,Capacity!$A$3:$F$532,6,), "0")</f>
        <v>0.17499999999999999</v>
      </c>
      <c r="K58" t="str">
        <f>IFERROR(VLOOKUP(J58,Capacity!$A$3:$D$532,4,), "0")</f>
        <v>0</v>
      </c>
      <c r="L58" s="4" t="str">
        <f>IFERROR(VLOOKUP(J58,Capacity!$A$3:$F$532,6,), "0")</f>
        <v>0</v>
      </c>
      <c r="M58" s="5">
        <f t="shared" si="0"/>
        <v>111.91923637500003</v>
      </c>
      <c r="N58" s="5">
        <f t="shared" si="1"/>
        <v>0.57499999999999996</v>
      </c>
      <c r="O58">
        <v>48</v>
      </c>
      <c r="P58">
        <f>IFERROR(VLOOKUP(O58,Capacity!$A$3:$D$532,4,), "0")</f>
        <v>397.6078134375</v>
      </c>
      <c r="Q58" s="4">
        <f>IFERROR(VLOOKUP(O58,Capacity!$A$3:$F$532,6,), "0")</f>
        <v>0.75</v>
      </c>
      <c r="R58" s="5">
        <f t="shared" si="4"/>
        <v>397.6078134375</v>
      </c>
      <c r="S58" s="5">
        <f t="shared" si="5"/>
        <v>0.75</v>
      </c>
      <c r="U58">
        <v>23</v>
      </c>
      <c r="V58">
        <v>2</v>
      </c>
      <c r="W58">
        <v>2</v>
      </c>
      <c r="X58">
        <v>1</v>
      </c>
      <c r="AB58">
        <f t="shared" si="2"/>
        <v>0.28148148148148155</v>
      </c>
      <c r="AC58">
        <f t="shared" si="3"/>
        <v>0.890625</v>
      </c>
      <c r="AD58">
        <f t="shared" si="6"/>
        <v>0.76666666666666661</v>
      </c>
      <c r="AE58">
        <f t="shared" si="7"/>
        <v>1.4374999999999998</v>
      </c>
      <c r="AG58">
        <f t="shared" si="8"/>
        <v>0.21388367729831148</v>
      </c>
    </row>
    <row r="59" spans="1:33" x14ac:dyDescent="0.25">
      <c r="A59">
        <v>85</v>
      </c>
      <c r="B59">
        <f>IFERROR(VLOOKUP(A59,Capacity!$A$3:$D$532,4,), "0")</f>
        <v>90.477866879999993</v>
      </c>
      <c r="C59" s="4">
        <f>IFERROR(VLOOKUP(A59,Capacity!$A$3:$F$532,6,), "0")</f>
        <v>0.6</v>
      </c>
      <c r="D59">
        <v>84</v>
      </c>
      <c r="E59">
        <f>IFERROR(VLOOKUP(D59,Capacity!$A$3:$D$532,4,), "0")</f>
        <v>90.477866879999993</v>
      </c>
      <c r="F59" s="4">
        <f>IFERROR(VLOOKUP(D59,Capacity!$A$3:$F$532,6,), "0")</f>
        <v>0.6</v>
      </c>
      <c r="H59" t="str">
        <f>IFERROR(VLOOKUP(G59,Capacity!$A$3:$D$532,4,), "0")</f>
        <v>0</v>
      </c>
      <c r="I59" s="4" t="str">
        <f>IFERROR(VLOOKUP(G59,Capacity!$A$3:$F$532,6,), "0")</f>
        <v>0</v>
      </c>
      <c r="K59" t="str">
        <f>IFERROR(VLOOKUP(J59,Capacity!$A$3:$D$532,4,), "0")</f>
        <v>0</v>
      </c>
      <c r="L59" s="4" t="str">
        <f>IFERROR(VLOOKUP(J59,Capacity!$A$3:$F$532,6,), "0")</f>
        <v>0</v>
      </c>
      <c r="M59" s="5">
        <f t="shared" si="0"/>
        <v>90.477866879999993</v>
      </c>
      <c r="N59" s="5">
        <f t="shared" si="1"/>
        <v>0.6</v>
      </c>
      <c r="O59">
        <v>86</v>
      </c>
      <c r="P59">
        <f>IFERROR(VLOOKUP(O59,Capacity!$A$3:$D$532,4,), "0")</f>
        <v>90.477866879999993</v>
      </c>
      <c r="Q59" s="4">
        <f>IFERROR(VLOOKUP(O59,Capacity!$A$3:$F$532,6,), "0")</f>
        <v>0.6</v>
      </c>
      <c r="R59" s="5">
        <f t="shared" si="4"/>
        <v>90.477866879999993</v>
      </c>
      <c r="S59" s="5">
        <f t="shared" si="5"/>
        <v>0.6</v>
      </c>
      <c r="U59">
        <v>85</v>
      </c>
      <c r="V59">
        <v>1</v>
      </c>
      <c r="W59">
        <v>1</v>
      </c>
      <c r="X59">
        <v>1</v>
      </c>
      <c r="AB59">
        <f t="shared" si="2"/>
        <v>1</v>
      </c>
      <c r="AC59">
        <f t="shared" si="3"/>
        <v>1</v>
      </c>
      <c r="AD59">
        <f t="shared" si="6"/>
        <v>1</v>
      </c>
      <c r="AE59">
        <f t="shared" si="7"/>
        <v>1</v>
      </c>
      <c r="AG59">
        <f t="shared" si="8"/>
        <v>0.5</v>
      </c>
    </row>
    <row r="60" spans="1:33" x14ac:dyDescent="0.25">
      <c r="A60">
        <v>417</v>
      </c>
      <c r="B60">
        <f>IFERROR(VLOOKUP(A60,Capacity!$A$3:$D$532,4,), "0")</f>
        <v>21.166480142499999</v>
      </c>
      <c r="C60" s="4">
        <f>IFERROR(VLOOKUP(A60,Capacity!$A$3:$F$532,6,), "0")</f>
        <v>0.17499999999999999</v>
      </c>
      <c r="E60" t="str">
        <f>IFERROR(VLOOKUP(D60,Capacity!$A$3:$D$532,4,), "0")</f>
        <v>0</v>
      </c>
      <c r="F60" s="4" t="str">
        <f>IFERROR(VLOOKUP(D60,Capacity!$A$3:$F$532,6,), "0")</f>
        <v>0</v>
      </c>
      <c r="H60" t="str">
        <f>IFERROR(VLOOKUP(G60,Capacity!$A$3:$D$532,4,), "0")</f>
        <v>0</v>
      </c>
      <c r="I60" s="4" t="str">
        <f>IFERROR(VLOOKUP(G60,Capacity!$A$3:$F$532,6,), "0")</f>
        <v>0</v>
      </c>
      <c r="K60" t="str">
        <f>IFERROR(VLOOKUP(J60,Capacity!$A$3:$D$532,4,), "0")</f>
        <v>0</v>
      </c>
      <c r="L60" s="4" t="str">
        <f>IFERROR(VLOOKUP(J60,Capacity!$A$3:$F$532,6,), "0")</f>
        <v>0</v>
      </c>
      <c r="M60" s="5">
        <f t="shared" si="0"/>
        <v>0</v>
      </c>
      <c r="N60" s="5">
        <f t="shared" si="1"/>
        <v>0</v>
      </c>
      <c r="O60">
        <v>164</v>
      </c>
      <c r="P60">
        <f>IFERROR(VLOOKUP(O60,Capacity!$A$3:$D$532,4,), "0")</f>
        <v>22.619466719999998</v>
      </c>
      <c r="Q60" s="4">
        <f>IFERROR(VLOOKUP(O60,Capacity!$A$3:$F$532,6,), "0")</f>
        <v>0.3</v>
      </c>
      <c r="R60" s="5">
        <f t="shared" si="4"/>
        <v>22.619466719999998</v>
      </c>
      <c r="S60" s="5">
        <f t="shared" si="5"/>
        <v>0.3</v>
      </c>
      <c r="U60">
        <v>417</v>
      </c>
      <c r="V60">
        <v>0</v>
      </c>
      <c r="W60">
        <v>0</v>
      </c>
      <c r="X60">
        <v>1</v>
      </c>
      <c r="AB60">
        <f t="shared" si="2"/>
        <v>0</v>
      </c>
      <c r="AC60">
        <f t="shared" si="3"/>
        <v>0</v>
      </c>
      <c r="AD60">
        <f t="shared" si="6"/>
        <v>0</v>
      </c>
      <c r="AE60">
        <f t="shared" si="7"/>
        <v>0</v>
      </c>
      <c r="AG60">
        <f t="shared" si="8"/>
        <v>0</v>
      </c>
    </row>
    <row r="61" spans="1:33" x14ac:dyDescent="0.25">
      <c r="A61">
        <v>170</v>
      </c>
      <c r="B61">
        <f>IFERROR(VLOOKUP(A61,Capacity!$A$3:$D$532,4,), "0")</f>
        <v>22.619466719999998</v>
      </c>
      <c r="C61" s="4">
        <f>IFERROR(VLOOKUP(A61,Capacity!$A$3:$F$532,6,), "0")</f>
        <v>0.3</v>
      </c>
      <c r="D61">
        <v>415</v>
      </c>
      <c r="E61">
        <f>IFERROR(VLOOKUP(D61,Capacity!$A$3:$D$532,4,), "0")</f>
        <v>21.166480142499999</v>
      </c>
      <c r="F61" s="4">
        <f>IFERROR(VLOOKUP(D61,Capacity!$A$3:$F$532,6,), "0")</f>
        <v>0.17499999999999999</v>
      </c>
      <c r="G61">
        <v>173</v>
      </c>
      <c r="H61">
        <f>IFERROR(VLOOKUP(G61,Capacity!$A$3:$D$532,4,), "0")</f>
        <v>22.619466719999998</v>
      </c>
      <c r="I61" s="4">
        <f>IFERROR(VLOOKUP(G61,Capacity!$A$3:$F$532,6,), "0")</f>
        <v>0.3</v>
      </c>
      <c r="K61" t="str">
        <f>IFERROR(VLOOKUP(J61,Capacity!$A$3:$D$532,4,), "0")</f>
        <v>0</v>
      </c>
      <c r="L61" s="4" t="str">
        <f>IFERROR(VLOOKUP(J61,Capacity!$A$3:$F$532,6,), "0")</f>
        <v>0</v>
      </c>
      <c r="M61" s="5">
        <f t="shared" si="0"/>
        <v>43.785946862499998</v>
      </c>
      <c r="N61" s="5">
        <f t="shared" si="1"/>
        <v>0.47499999999999998</v>
      </c>
      <c r="O61">
        <v>164</v>
      </c>
      <c r="P61">
        <f>IFERROR(VLOOKUP(O61,Capacity!$A$3:$D$532,4,), "0")</f>
        <v>22.619466719999998</v>
      </c>
      <c r="Q61" s="4">
        <f>IFERROR(VLOOKUP(O61,Capacity!$A$3:$F$532,6,), "0")</f>
        <v>0.3</v>
      </c>
      <c r="R61" s="5">
        <f t="shared" si="4"/>
        <v>22.619466719999998</v>
      </c>
      <c r="S61" s="5">
        <f t="shared" si="5"/>
        <v>0.3</v>
      </c>
      <c r="U61">
        <v>170</v>
      </c>
      <c r="V61">
        <v>2</v>
      </c>
      <c r="W61">
        <v>2</v>
      </c>
      <c r="X61">
        <v>1</v>
      </c>
      <c r="AB61">
        <f t="shared" si="2"/>
        <v>1.9357638888888888</v>
      </c>
      <c r="AC61">
        <f t="shared" si="3"/>
        <v>1.9357638888888888</v>
      </c>
      <c r="AD61">
        <f t="shared" si="6"/>
        <v>1.5833333333333333</v>
      </c>
      <c r="AE61">
        <f t="shared" si="7"/>
        <v>1.5833333333333333</v>
      </c>
      <c r="AG61">
        <f t="shared" si="8"/>
        <v>0.96788194444444442</v>
      </c>
    </row>
    <row r="62" spans="1:33" x14ac:dyDescent="0.25">
      <c r="A62">
        <v>452</v>
      </c>
      <c r="B62">
        <f>IFERROR(VLOOKUP(A62,Capacity!$A$3:$D$532,4,), "0")</f>
        <v>15.874860106874999</v>
      </c>
      <c r="C62" s="4">
        <f>IFERROR(VLOOKUP(A62,Capacity!$A$3:$F$532,6,), "0")</f>
        <v>0.17499999999999999</v>
      </c>
      <c r="E62" t="str">
        <f>IFERROR(VLOOKUP(D62,Capacity!$A$3:$D$532,4,), "0")</f>
        <v>0</v>
      </c>
      <c r="F62" s="4" t="str">
        <f>IFERROR(VLOOKUP(D62,Capacity!$A$3:$F$532,6,), "0")</f>
        <v>0</v>
      </c>
      <c r="H62" t="str">
        <f>IFERROR(VLOOKUP(G62,Capacity!$A$3:$D$532,4,), "0")</f>
        <v>0</v>
      </c>
      <c r="I62" s="4" t="str">
        <f>IFERROR(VLOOKUP(G62,Capacity!$A$3:$F$532,6,), "0")</f>
        <v>0</v>
      </c>
      <c r="K62" t="str">
        <f>IFERROR(VLOOKUP(J62,Capacity!$A$3:$D$532,4,), "0")</f>
        <v>0</v>
      </c>
      <c r="L62" s="4" t="str">
        <f>IFERROR(VLOOKUP(J62,Capacity!$A$3:$F$532,6,), "0")</f>
        <v>0</v>
      </c>
      <c r="M62" s="5">
        <f t="shared" si="0"/>
        <v>0</v>
      </c>
      <c r="N62" s="5">
        <f t="shared" si="1"/>
        <v>0</v>
      </c>
      <c r="O62">
        <v>165</v>
      </c>
      <c r="P62">
        <f>IFERROR(VLOOKUP(O62,Capacity!$A$3:$D$532,4,), "0")</f>
        <v>15.874860106874999</v>
      </c>
      <c r="Q62" s="4">
        <f>IFERROR(VLOOKUP(O62,Capacity!$A$3:$F$532,6,), "0")</f>
        <v>0.17499999999999999</v>
      </c>
      <c r="R62" s="5">
        <f t="shared" si="4"/>
        <v>15.874860106874999</v>
      </c>
      <c r="S62" s="5">
        <f t="shared" si="5"/>
        <v>0.17499999999999999</v>
      </c>
      <c r="U62">
        <v>452</v>
      </c>
      <c r="V62">
        <v>0</v>
      </c>
      <c r="W62">
        <v>0</v>
      </c>
      <c r="X62">
        <v>1</v>
      </c>
      <c r="AB62">
        <f t="shared" si="2"/>
        <v>0</v>
      </c>
      <c r="AC62">
        <f t="shared" si="3"/>
        <v>0</v>
      </c>
      <c r="AD62">
        <f t="shared" si="6"/>
        <v>0</v>
      </c>
      <c r="AE62">
        <f t="shared" si="7"/>
        <v>0</v>
      </c>
      <c r="AG62">
        <f t="shared" si="8"/>
        <v>0</v>
      </c>
    </row>
    <row r="63" spans="1:33" x14ac:dyDescent="0.25">
      <c r="A63">
        <v>175</v>
      </c>
      <c r="B63">
        <f>IFERROR(VLOOKUP(A63,Capacity!$A$3:$D$532,4,), "0")</f>
        <v>17.649467226800002</v>
      </c>
      <c r="C63" s="4">
        <f>IFERROR(VLOOKUP(A63,Capacity!$A$3:$F$532,6,), "0")</f>
        <v>0.26500000000000001</v>
      </c>
      <c r="D63">
        <v>174</v>
      </c>
      <c r="E63">
        <f>IFERROR(VLOOKUP(D63,Capacity!$A$3:$D$532,4,), "0")</f>
        <v>15.874860106874999</v>
      </c>
      <c r="F63" s="4">
        <f>IFERROR(VLOOKUP(D63,Capacity!$A$3:$F$532,6,), "0")</f>
        <v>0.17499999999999999</v>
      </c>
      <c r="G63">
        <v>181</v>
      </c>
      <c r="H63">
        <f>IFERROR(VLOOKUP(G63,Capacity!$A$3:$D$532,4,), "0")</f>
        <v>7.6969018699999987</v>
      </c>
      <c r="I63" s="4">
        <f>IFERROR(VLOOKUP(G63,Capacity!$A$3:$F$532,6,), "0")</f>
        <v>0.17499999999999999</v>
      </c>
      <c r="K63" t="str">
        <f>IFERROR(VLOOKUP(J63,Capacity!$A$3:$D$532,4,), "0")</f>
        <v>0</v>
      </c>
      <c r="L63" s="4" t="str">
        <f>IFERROR(VLOOKUP(J63,Capacity!$A$3:$F$532,6,), "0")</f>
        <v>0</v>
      </c>
      <c r="M63" s="5">
        <f t="shared" si="0"/>
        <v>23.571761976874999</v>
      </c>
      <c r="N63" s="5">
        <f t="shared" si="1"/>
        <v>0.35</v>
      </c>
      <c r="O63">
        <v>172</v>
      </c>
      <c r="P63">
        <f>IFERROR(VLOOKUP(O63,Capacity!$A$3:$D$532,4,), "0")</f>
        <v>22.619466719999998</v>
      </c>
      <c r="Q63" s="4">
        <f>IFERROR(VLOOKUP(O63,Capacity!$A$3:$F$532,6,), "0")</f>
        <v>0.3</v>
      </c>
      <c r="R63" s="5">
        <f t="shared" si="4"/>
        <v>22.619466719999998</v>
      </c>
      <c r="S63" s="5">
        <f t="shared" si="5"/>
        <v>0.3</v>
      </c>
      <c r="U63">
        <v>175</v>
      </c>
      <c r="V63">
        <v>3</v>
      </c>
      <c r="W63">
        <v>3</v>
      </c>
      <c r="X63">
        <v>1</v>
      </c>
      <c r="AB63">
        <f t="shared" si="2"/>
        <v>1.0421006944444444</v>
      </c>
      <c r="AC63">
        <f t="shared" si="3"/>
        <v>1.3355509077963685</v>
      </c>
      <c r="AD63">
        <f t="shared" si="6"/>
        <v>1.1666666666666667</v>
      </c>
      <c r="AE63">
        <f t="shared" si="7"/>
        <v>1.320754716981132</v>
      </c>
      <c r="AG63">
        <f t="shared" si="8"/>
        <v>0.58535848026213133</v>
      </c>
    </row>
    <row r="64" spans="1:33" x14ac:dyDescent="0.25">
      <c r="A64">
        <v>171</v>
      </c>
      <c r="B64">
        <f>IFERROR(VLOOKUP(A64,Capacity!$A$3:$D$532,4,), "0")</f>
        <v>291.57906318750003</v>
      </c>
      <c r="C64" s="4">
        <f>IFERROR(VLOOKUP(A64,Capacity!$A$3:$F$532,6,), "0")</f>
        <v>0.75</v>
      </c>
      <c r="D64">
        <v>453</v>
      </c>
      <c r="E64">
        <f>IFERROR(VLOOKUP(D64,Capacity!$A$3:$D$532,4,), "0")</f>
        <v>15.874860106874999</v>
      </c>
      <c r="F64" s="4">
        <f>IFERROR(VLOOKUP(D64,Capacity!$A$3:$F$532,6,), "0")</f>
        <v>0.17499999999999999</v>
      </c>
      <c r="H64" t="str">
        <f>IFERROR(VLOOKUP(G64,Capacity!$A$3:$D$532,4,), "0")</f>
        <v>0</v>
      </c>
      <c r="I64" s="4" t="str">
        <f>IFERROR(VLOOKUP(G64,Capacity!$A$3:$F$532,6,), "0")</f>
        <v>0</v>
      </c>
      <c r="K64" t="str">
        <f>IFERROR(VLOOKUP(J64,Capacity!$A$3:$D$532,4,), "0")</f>
        <v>0</v>
      </c>
      <c r="L64" s="4" t="str">
        <f>IFERROR(VLOOKUP(J64,Capacity!$A$3:$F$532,6,), "0")</f>
        <v>0</v>
      </c>
      <c r="M64" s="5">
        <f t="shared" si="0"/>
        <v>15.874860106874999</v>
      </c>
      <c r="N64" s="5">
        <f t="shared" si="1"/>
        <v>0.17499999999999999</v>
      </c>
      <c r="O64">
        <v>172</v>
      </c>
      <c r="P64">
        <f>IFERROR(VLOOKUP(O64,Capacity!$A$3:$D$532,4,), "0")</f>
        <v>22.619466719999998</v>
      </c>
      <c r="Q64" s="4">
        <f>IFERROR(VLOOKUP(O64,Capacity!$A$3:$F$532,6,), "0")</f>
        <v>0.3</v>
      </c>
      <c r="R64" s="5">
        <f t="shared" si="4"/>
        <v>22.619466719999998</v>
      </c>
      <c r="S64" s="5">
        <f t="shared" si="5"/>
        <v>0.3</v>
      </c>
      <c r="U64">
        <v>171</v>
      </c>
      <c r="V64">
        <v>2</v>
      </c>
      <c r="W64">
        <v>2</v>
      </c>
      <c r="X64">
        <v>1</v>
      </c>
      <c r="AB64">
        <f t="shared" si="2"/>
        <v>0.70182291666666674</v>
      </c>
      <c r="AC64">
        <f t="shared" si="3"/>
        <v>5.4444444444444441E-2</v>
      </c>
      <c r="AD64">
        <f t="shared" si="6"/>
        <v>0.58333333333333337</v>
      </c>
      <c r="AE64">
        <f t="shared" si="7"/>
        <v>0.23333333333333331</v>
      </c>
      <c r="AG64">
        <f t="shared" si="8"/>
        <v>5.0524934383202096E-2</v>
      </c>
    </row>
    <row r="65" spans="1:33" x14ac:dyDescent="0.25">
      <c r="A65">
        <v>195</v>
      </c>
      <c r="B65">
        <f>IFERROR(VLOOKUP(A65,Capacity!$A$3:$D$532,4,), "0")</f>
        <v>20.734511160000007</v>
      </c>
      <c r="C65" s="4">
        <f>IFERROR(VLOOKUP(A65,Capacity!$A$3:$F$532,6,), "0")</f>
        <v>0.2</v>
      </c>
      <c r="D65">
        <v>464</v>
      </c>
      <c r="E65">
        <f>IFERROR(VLOOKUP(D65,Capacity!$A$3:$D$532,4,), "0")</f>
        <v>19.242254674999998</v>
      </c>
      <c r="F65" s="4">
        <f>IFERROR(VLOOKUP(D65,Capacity!$A$3:$F$532,6,), "0")</f>
        <v>0.17499999999999999</v>
      </c>
      <c r="G65">
        <v>216</v>
      </c>
      <c r="H65">
        <f>IFERROR(VLOOKUP(G65,Capacity!$A$3:$D$532,4,), "0")</f>
        <v>14.451325960000002</v>
      </c>
      <c r="I65" s="4">
        <f>IFERROR(VLOOKUP(G65,Capacity!$A$3:$F$532,6,), "0")</f>
        <v>0.2</v>
      </c>
      <c r="K65" t="str">
        <f>IFERROR(VLOOKUP(J65,Capacity!$A$3:$D$532,4,), "0")</f>
        <v>0</v>
      </c>
      <c r="L65" s="4" t="str">
        <f>IFERROR(VLOOKUP(J65,Capacity!$A$3:$F$532,6,), "0")</f>
        <v>0</v>
      </c>
      <c r="M65" s="5">
        <f t="shared" si="0"/>
        <v>33.693580635000004</v>
      </c>
      <c r="N65" s="5">
        <f t="shared" si="1"/>
        <v>0.375</v>
      </c>
      <c r="O65">
        <v>188</v>
      </c>
      <c r="P65">
        <f>IFERROR(VLOOKUP(O65,Capacity!$A$3:$D$532,4,), "0")</f>
        <v>40.212385280000007</v>
      </c>
      <c r="Q65" s="4">
        <f>IFERROR(VLOOKUP(O65,Capacity!$A$3:$F$532,6,), "0")</f>
        <v>0.4</v>
      </c>
      <c r="R65" s="5">
        <f t="shared" si="4"/>
        <v>40.212385280000007</v>
      </c>
      <c r="S65" s="5">
        <f t="shared" si="5"/>
        <v>0.4</v>
      </c>
      <c r="U65">
        <v>195</v>
      </c>
      <c r="V65">
        <v>3</v>
      </c>
      <c r="W65">
        <v>3</v>
      </c>
      <c r="X65">
        <v>1</v>
      </c>
      <c r="AB65">
        <f t="shared" si="2"/>
        <v>0.837890625</v>
      </c>
      <c r="AC65">
        <f t="shared" si="3"/>
        <v>1.6249999999999996</v>
      </c>
      <c r="AD65">
        <f t="shared" si="6"/>
        <v>0.9375</v>
      </c>
      <c r="AE65">
        <f t="shared" si="7"/>
        <v>1.875</v>
      </c>
      <c r="AG65">
        <f t="shared" si="8"/>
        <v>0.55283505154639168</v>
      </c>
    </row>
    <row r="66" spans="1:33" x14ac:dyDescent="0.25">
      <c r="A66">
        <v>187</v>
      </c>
      <c r="B66">
        <f>IFERROR(VLOOKUP(A66,Capacity!$A$3:$D$532,4,), "0")</f>
        <v>100.53096320000003</v>
      </c>
      <c r="C66" s="4">
        <f>IFERROR(VLOOKUP(A66,Capacity!$A$3:$F$532,6,), "0")</f>
        <v>0.4</v>
      </c>
      <c r="D66">
        <v>460</v>
      </c>
      <c r="E66">
        <f>IFERROR(VLOOKUP(D66,Capacity!$A$3:$D$532,4,), "0")</f>
        <v>19.242254674999998</v>
      </c>
      <c r="F66" s="4">
        <f>IFERROR(VLOOKUP(D66,Capacity!$A$3:$F$532,6,), "0")</f>
        <v>0.17499999999999999</v>
      </c>
      <c r="G66">
        <v>194</v>
      </c>
      <c r="H66">
        <f>IFERROR(VLOOKUP(G66,Capacity!$A$3:$D$532,4,), "0")</f>
        <v>80.424770560000013</v>
      </c>
      <c r="I66" s="4">
        <f>IFERROR(VLOOKUP(G66,Capacity!$A$3:$F$532,6,), "0")</f>
        <v>0.4</v>
      </c>
      <c r="K66" t="str">
        <f>IFERROR(VLOOKUP(J66,Capacity!$A$3:$D$532,4,), "0")</f>
        <v>0</v>
      </c>
      <c r="L66" s="4" t="str">
        <f>IFERROR(VLOOKUP(J66,Capacity!$A$3:$F$532,6,), "0")</f>
        <v>0</v>
      </c>
      <c r="M66" s="5">
        <f t="shared" ref="M66:M129" si="9">$E66+$H66+$K66</f>
        <v>99.667025235000011</v>
      </c>
      <c r="N66" s="5">
        <f t="shared" si="1"/>
        <v>0.57499999999999996</v>
      </c>
      <c r="O66">
        <v>188</v>
      </c>
      <c r="P66">
        <f>IFERROR(VLOOKUP(O66,Capacity!$A$3:$D$532,4,), "0")</f>
        <v>40.212385280000007</v>
      </c>
      <c r="Q66" s="4">
        <f>IFERROR(VLOOKUP(O66,Capacity!$A$3:$F$532,6,), "0")</f>
        <v>0.4</v>
      </c>
      <c r="R66" s="5">
        <f t="shared" si="4"/>
        <v>40.212385280000007</v>
      </c>
      <c r="S66" s="5">
        <f t="shared" si="5"/>
        <v>0.4</v>
      </c>
      <c r="U66">
        <v>187</v>
      </c>
      <c r="V66">
        <v>3</v>
      </c>
      <c r="W66">
        <v>3</v>
      </c>
      <c r="X66">
        <v>1</v>
      </c>
      <c r="AB66">
        <f t="shared" si="2"/>
        <v>2.478515625</v>
      </c>
      <c r="AC66">
        <f t="shared" si="3"/>
        <v>0.99140624999999982</v>
      </c>
      <c r="AD66">
        <f t="shared" si="6"/>
        <v>1.4374999999999998</v>
      </c>
      <c r="AE66">
        <f t="shared" si="7"/>
        <v>1.4374999999999998</v>
      </c>
      <c r="AG66">
        <f t="shared" si="8"/>
        <v>0.70814732142857129</v>
      </c>
    </row>
    <row r="67" spans="1:33" x14ac:dyDescent="0.25">
      <c r="A67">
        <v>129</v>
      </c>
      <c r="B67">
        <f>IFERROR(VLOOKUP(A67,Capacity!$A$3:$D$532,4,), "0")</f>
        <v>15.393803739999997</v>
      </c>
      <c r="C67" s="4">
        <f>IFERROR(VLOOKUP(A67,Capacity!$A$3:$F$532,6,), "0")</f>
        <v>0.17499999999999999</v>
      </c>
      <c r="D67">
        <v>439</v>
      </c>
      <c r="E67">
        <f>IFERROR(VLOOKUP(D67,Capacity!$A$3:$D$532,4,), "0")</f>
        <v>15.393803739999997</v>
      </c>
      <c r="F67" s="4">
        <f>IFERROR(VLOOKUP(D67,Capacity!$A$3:$F$532,6,), "0")</f>
        <v>0.17499999999999999</v>
      </c>
      <c r="G67">
        <v>131</v>
      </c>
      <c r="H67">
        <f>IFERROR(VLOOKUP(G67,Capacity!$A$3:$D$532,4,), "0")</f>
        <v>22.128592876249996</v>
      </c>
      <c r="I67" s="4">
        <f>IFERROR(VLOOKUP(G67,Capacity!$A$3:$F$532,6,), "0")</f>
        <v>0.17499999999999999</v>
      </c>
      <c r="K67" t="str">
        <f>IFERROR(VLOOKUP(J67,Capacity!$A$3:$D$532,4,), "0")</f>
        <v>0</v>
      </c>
      <c r="L67" s="4" t="str">
        <f>IFERROR(VLOOKUP(J67,Capacity!$A$3:$F$532,6,), "0")</f>
        <v>0</v>
      </c>
      <c r="M67" s="5">
        <f t="shared" si="9"/>
        <v>37.522396616249992</v>
      </c>
      <c r="N67" s="5">
        <f t="shared" ref="N67:N130" si="10">$F67+$I67+$L67</f>
        <v>0.35</v>
      </c>
      <c r="O67">
        <v>128</v>
      </c>
      <c r="P67">
        <f>IFERROR(VLOOKUP(O67,Capacity!$A$3:$D$532,4,), "0")</f>
        <v>31.101766740000002</v>
      </c>
      <c r="Q67" s="4">
        <f>IFERROR(VLOOKUP(O67,Capacity!$A$3:$F$532,6,), "0")</f>
        <v>0.3</v>
      </c>
      <c r="R67" s="5">
        <f t="shared" ref="R67:R130" si="11">$P67</f>
        <v>31.101766740000002</v>
      </c>
      <c r="S67" s="5">
        <f t="shared" si="5"/>
        <v>0.3</v>
      </c>
      <c r="U67">
        <v>129</v>
      </c>
      <c r="V67">
        <v>3</v>
      </c>
      <c r="W67">
        <v>3</v>
      </c>
      <c r="X67">
        <v>1</v>
      </c>
      <c r="AB67">
        <f t="shared" ref="AB67:AB130" si="12">($M67/$R67)</f>
        <v>1.2064393939393936</v>
      </c>
      <c r="AC67">
        <f t="shared" ref="AC67:AC130" si="13">($M67/$B67)</f>
        <v>2.4375</v>
      </c>
      <c r="AD67">
        <f t="shared" ref="AD67:AD130" si="14">($N67/$S67)</f>
        <v>1.1666666666666667</v>
      </c>
      <c r="AE67">
        <f t="shared" si="7"/>
        <v>2</v>
      </c>
      <c r="AG67">
        <f t="shared" si="8"/>
        <v>0.80701013513513498</v>
      </c>
    </row>
    <row r="68" spans="1:33" x14ac:dyDescent="0.25">
      <c r="A68">
        <v>127</v>
      </c>
      <c r="B68">
        <f>IFERROR(VLOOKUP(A68,Capacity!$A$3:$D$532,4,), "0")</f>
        <v>45.238933439999997</v>
      </c>
      <c r="C68" s="4">
        <f>IFERROR(VLOOKUP(A68,Capacity!$A$3:$F$532,6,), "0")</f>
        <v>0.3</v>
      </c>
      <c r="D68">
        <v>120</v>
      </c>
      <c r="E68">
        <f>IFERROR(VLOOKUP(D68,Capacity!$A$3:$D$532,4,), "0")</f>
        <v>10.681414840000002</v>
      </c>
      <c r="F68" s="4">
        <f>IFERROR(VLOOKUP(D68,Capacity!$A$3:$F$532,6,), "0")</f>
        <v>0.2</v>
      </c>
      <c r="G68">
        <v>126</v>
      </c>
      <c r="H68">
        <f>IFERROR(VLOOKUP(G68,Capacity!$A$3:$D$532,4,), "0")</f>
        <v>12.507465538749999</v>
      </c>
      <c r="I68" s="4">
        <f>IFERROR(VLOOKUP(G68,Capacity!$A$3:$F$532,6,), "0")</f>
        <v>0.17499999999999999</v>
      </c>
      <c r="K68" t="str">
        <f>IFERROR(VLOOKUP(J68,Capacity!$A$3:$D$532,4,), "0")</f>
        <v>0</v>
      </c>
      <c r="L68" s="4" t="str">
        <f>IFERROR(VLOOKUP(J68,Capacity!$A$3:$F$532,6,), "0")</f>
        <v>0</v>
      </c>
      <c r="M68" s="5">
        <f t="shared" si="9"/>
        <v>23.18888037875</v>
      </c>
      <c r="N68" s="5">
        <f t="shared" si="10"/>
        <v>0.375</v>
      </c>
      <c r="O68">
        <v>128</v>
      </c>
      <c r="P68">
        <f>IFERROR(VLOOKUP(O68,Capacity!$A$3:$D$532,4,), "0")</f>
        <v>31.101766740000002</v>
      </c>
      <c r="Q68" s="4">
        <f>IFERROR(VLOOKUP(O68,Capacity!$A$3:$F$532,6,), "0")</f>
        <v>0.3</v>
      </c>
      <c r="R68" s="5">
        <f t="shared" si="11"/>
        <v>31.101766740000002</v>
      </c>
      <c r="S68" s="5">
        <f t="shared" ref="S68:S131" si="15">$Q68</f>
        <v>0.3</v>
      </c>
      <c r="U68">
        <v>127</v>
      </c>
      <c r="V68">
        <v>2</v>
      </c>
      <c r="W68">
        <v>2</v>
      </c>
      <c r="X68">
        <v>1</v>
      </c>
      <c r="AB68">
        <f t="shared" si="12"/>
        <v>0.74558080808080807</v>
      </c>
      <c r="AC68">
        <f t="shared" si="13"/>
        <v>0.51258680555555558</v>
      </c>
      <c r="AD68">
        <f t="shared" si="14"/>
        <v>1.25</v>
      </c>
      <c r="AE68">
        <f t="shared" ref="AE68:AE131" si="16">($N68/$C68)</f>
        <v>1.25</v>
      </c>
      <c r="AG68">
        <f t="shared" ref="AG68:AG131" si="17">$M68/($R68+$B68)</f>
        <v>0.30375514403292181</v>
      </c>
    </row>
    <row r="69" spans="1:33" x14ac:dyDescent="0.25">
      <c r="A69">
        <v>133</v>
      </c>
      <c r="B69">
        <f>IFERROR(VLOOKUP(A69,Capacity!$A$3:$D$532,4,), "0")</f>
        <v>273.90760481250004</v>
      </c>
      <c r="C69" s="4">
        <f>IFERROR(VLOOKUP(A69,Capacity!$A$3:$F$532,6,), "0")</f>
        <v>0.75</v>
      </c>
      <c r="D69">
        <v>132</v>
      </c>
      <c r="E69">
        <f>IFERROR(VLOOKUP(D69,Capacity!$A$3:$D$532,4,), "0")</f>
        <v>175.30086708000002</v>
      </c>
      <c r="F69" s="4">
        <f>IFERROR(VLOOKUP(D69,Capacity!$A$3:$F$532,6,), "0")</f>
        <v>0.6</v>
      </c>
      <c r="H69" t="str">
        <f>IFERROR(VLOOKUP(G69,Capacity!$A$3:$D$532,4,), "0")</f>
        <v>0</v>
      </c>
      <c r="I69" s="4" t="str">
        <f>IFERROR(VLOOKUP(G69,Capacity!$A$3:$F$532,6,), "0")</f>
        <v>0</v>
      </c>
      <c r="K69" t="str">
        <f>IFERROR(VLOOKUP(J69,Capacity!$A$3:$D$532,4,), "0")</f>
        <v>0</v>
      </c>
      <c r="L69" s="4" t="str">
        <f>IFERROR(VLOOKUP(J69,Capacity!$A$3:$F$532,6,), "0")</f>
        <v>0</v>
      </c>
      <c r="M69" s="5">
        <f t="shared" si="9"/>
        <v>175.30086708000002</v>
      </c>
      <c r="N69" s="5">
        <f t="shared" si="10"/>
        <v>0.6</v>
      </c>
      <c r="O69">
        <v>134</v>
      </c>
      <c r="P69">
        <f>IFERROR(VLOOKUP(O69,Capacity!$A$3:$D$532,4,), "0")</f>
        <v>273.90760481250004</v>
      </c>
      <c r="Q69" s="4">
        <f>IFERROR(VLOOKUP(O69,Capacity!$A$3:$F$532,6,), "0")</f>
        <v>0.75</v>
      </c>
      <c r="R69" s="5">
        <f t="shared" si="11"/>
        <v>273.90760481250004</v>
      </c>
      <c r="S69" s="5">
        <f t="shared" si="15"/>
        <v>0.75</v>
      </c>
      <c r="U69">
        <v>133</v>
      </c>
      <c r="V69">
        <v>1</v>
      </c>
      <c r="W69">
        <v>1</v>
      </c>
      <c r="X69">
        <v>1</v>
      </c>
      <c r="AB69">
        <f t="shared" si="12"/>
        <v>0.64</v>
      </c>
      <c r="AC69">
        <f t="shared" si="13"/>
        <v>0.64</v>
      </c>
      <c r="AD69">
        <f t="shared" si="14"/>
        <v>0.79999999999999993</v>
      </c>
      <c r="AE69">
        <f t="shared" si="16"/>
        <v>0.79999999999999993</v>
      </c>
      <c r="AG69">
        <f t="shared" si="17"/>
        <v>0.32</v>
      </c>
    </row>
    <row r="70" spans="1:33" x14ac:dyDescent="0.25">
      <c r="A70">
        <v>140</v>
      </c>
      <c r="B70">
        <f>IFERROR(VLOOKUP(A70,Capacity!$A$3:$D$532,4,), "0")</f>
        <v>45.238933439999997</v>
      </c>
      <c r="C70" s="4">
        <f>IFERROR(VLOOKUP(A70,Capacity!$A$3:$F$532,6,), "0")</f>
        <v>0.3</v>
      </c>
      <c r="D70">
        <v>443</v>
      </c>
      <c r="E70">
        <f>IFERROR(VLOOKUP(D70,Capacity!$A$3:$D$532,4,), "0")</f>
        <v>7.6969018699999987</v>
      </c>
      <c r="F70" s="4">
        <f>IFERROR(VLOOKUP(D70,Capacity!$A$3:$F$532,6,), "0")</f>
        <v>0.17499999999999999</v>
      </c>
      <c r="G70">
        <v>92</v>
      </c>
      <c r="H70">
        <f>IFERROR(VLOOKUP(G70,Capacity!$A$3:$D$532,4,), "0")</f>
        <v>48.536034873700011</v>
      </c>
      <c r="I70" s="4">
        <f>IFERROR(VLOOKUP(G70,Capacity!$A$3:$F$532,6,), "0")</f>
        <v>0.26500000000000001</v>
      </c>
      <c r="K70" t="str">
        <f>IFERROR(VLOOKUP(J70,Capacity!$A$3:$D$532,4,), "0")</f>
        <v>0</v>
      </c>
      <c r="L70" s="4" t="str">
        <f>IFERROR(VLOOKUP(J70,Capacity!$A$3:$F$532,6,), "0")</f>
        <v>0</v>
      </c>
      <c r="M70" s="5">
        <f t="shared" si="9"/>
        <v>56.232936743700009</v>
      </c>
      <c r="N70" s="5">
        <f t="shared" si="10"/>
        <v>0.44</v>
      </c>
      <c r="O70">
        <v>139</v>
      </c>
      <c r="P70">
        <f>IFERROR(VLOOKUP(O70,Capacity!$A$3:$D$532,4,), "0")</f>
        <v>48.066366779999996</v>
      </c>
      <c r="Q70" s="4">
        <f>IFERROR(VLOOKUP(O70,Capacity!$A$3:$F$532,6,), "0")</f>
        <v>0.3</v>
      </c>
      <c r="R70" s="5">
        <f t="shared" si="11"/>
        <v>48.066366779999996</v>
      </c>
      <c r="S70" s="5">
        <f t="shared" si="15"/>
        <v>0.3</v>
      </c>
      <c r="U70">
        <v>140</v>
      </c>
      <c r="V70">
        <v>3</v>
      </c>
      <c r="W70">
        <v>3</v>
      </c>
      <c r="X70">
        <v>1</v>
      </c>
      <c r="AB70">
        <f t="shared" si="12"/>
        <v>1.169901960784314</v>
      </c>
      <c r="AC70">
        <f t="shared" si="13"/>
        <v>1.2430208333333337</v>
      </c>
      <c r="AD70">
        <f t="shared" si="14"/>
        <v>1.4666666666666668</v>
      </c>
      <c r="AE70">
        <f t="shared" si="16"/>
        <v>1.4666666666666668</v>
      </c>
      <c r="AG70">
        <f t="shared" si="17"/>
        <v>0.60267676767676781</v>
      </c>
    </row>
    <row r="71" spans="1:33" x14ac:dyDescent="0.25">
      <c r="A71">
        <v>444</v>
      </c>
      <c r="B71">
        <f>IFERROR(VLOOKUP(A71,Capacity!$A$3:$D$532,4,), "0")</f>
        <v>7.6969018699999987</v>
      </c>
      <c r="C71" s="4">
        <f>IFERROR(VLOOKUP(A71,Capacity!$A$3:$F$532,6,), "0")</f>
        <v>0.17499999999999999</v>
      </c>
      <c r="E71" t="str">
        <f>IFERROR(VLOOKUP(D71,Capacity!$A$3:$D$532,4,), "0")</f>
        <v>0</v>
      </c>
      <c r="F71" s="4" t="str">
        <f>IFERROR(VLOOKUP(D71,Capacity!$A$3:$F$532,6,), "0")</f>
        <v>0</v>
      </c>
      <c r="H71" t="str">
        <f>IFERROR(VLOOKUP(G71,Capacity!$A$3:$D$532,4,), "0")</f>
        <v>0</v>
      </c>
      <c r="I71" s="4" t="str">
        <f>IFERROR(VLOOKUP(G71,Capacity!$A$3:$F$532,6,), "0")</f>
        <v>0</v>
      </c>
      <c r="K71" t="str">
        <f>IFERROR(VLOOKUP(J71,Capacity!$A$3:$D$532,4,), "0")</f>
        <v>0</v>
      </c>
      <c r="L71" s="4" t="str">
        <f>IFERROR(VLOOKUP(J71,Capacity!$A$3:$F$532,6,), "0")</f>
        <v>0</v>
      </c>
      <c r="M71" s="5">
        <f t="shared" si="9"/>
        <v>0</v>
      </c>
      <c r="N71" s="5">
        <f t="shared" si="10"/>
        <v>0</v>
      </c>
      <c r="O71">
        <v>141</v>
      </c>
      <c r="P71">
        <f>IFERROR(VLOOKUP(O71,Capacity!$A$3:$D$532,4,), "0")</f>
        <v>17.799085574374995</v>
      </c>
      <c r="Q71" s="4">
        <f>IFERROR(VLOOKUP(O71,Capacity!$A$3:$F$532,6,), "0")</f>
        <v>0.17499999999999999</v>
      </c>
      <c r="R71" s="5">
        <f t="shared" si="11"/>
        <v>17.799085574374995</v>
      </c>
      <c r="S71" s="5">
        <f t="shared" si="15"/>
        <v>0.17499999999999999</v>
      </c>
      <c r="U71">
        <v>444</v>
      </c>
      <c r="V71">
        <v>0</v>
      </c>
      <c r="W71">
        <v>0</v>
      </c>
      <c r="X71">
        <v>1</v>
      </c>
      <c r="AB71">
        <f t="shared" si="12"/>
        <v>0</v>
      </c>
      <c r="AC71">
        <f t="shared" si="13"/>
        <v>0</v>
      </c>
      <c r="AD71">
        <f t="shared" si="14"/>
        <v>0</v>
      </c>
      <c r="AE71">
        <f t="shared" si="16"/>
        <v>0</v>
      </c>
      <c r="AG71">
        <f t="shared" si="17"/>
        <v>0</v>
      </c>
    </row>
    <row r="72" spans="1:33" x14ac:dyDescent="0.25">
      <c r="A72">
        <v>91</v>
      </c>
      <c r="B72">
        <f>IFERROR(VLOOKUP(A72,Capacity!$A$3:$D$532,4,), "0")</f>
        <v>21.166480142499999</v>
      </c>
      <c r="C72" s="4">
        <f>IFERROR(VLOOKUP(A72,Capacity!$A$3:$F$532,6,), "0")</f>
        <v>0.17499999999999999</v>
      </c>
      <c r="D72">
        <v>422</v>
      </c>
      <c r="E72">
        <f>IFERROR(VLOOKUP(D72,Capacity!$A$3:$D$532,4,), "0")</f>
        <v>7.6969018699999987</v>
      </c>
      <c r="F72" s="4">
        <f>IFERROR(VLOOKUP(D72,Capacity!$A$3:$F$532,6,), "0")</f>
        <v>0.17499999999999999</v>
      </c>
      <c r="G72">
        <v>51</v>
      </c>
      <c r="H72">
        <f>IFERROR(VLOOKUP(G72,Capacity!$A$3:$D$532,4,), "0")</f>
        <v>21.647536509374998</v>
      </c>
      <c r="I72" s="4">
        <f>IFERROR(VLOOKUP(G72,Capacity!$A$3:$F$532,6,), "0")</f>
        <v>0.17499999999999999</v>
      </c>
      <c r="K72" t="str">
        <f>IFERROR(VLOOKUP(J72,Capacity!$A$3:$D$532,4,), "0")</f>
        <v>0</v>
      </c>
      <c r="L72" s="4" t="str">
        <f>IFERROR(VLOOKUP(J72,Capacity!$A$3:$F$532,6,), "0")</f>
        <v>0</v>
      </c>
      <c r="M72" s="5">
        <f t="shared" si="9"/>
        <v>29.344438379374996</v>
      </c>
      <c r="N72" s="5">
        <f t="shared" si="10"/>
        <v>0.35</v>
      </c>
      <c r="O72">
        <v>141</v>
      </c>
      <c r="P72">
        <f>IFERROR(VLOOKUP(O72,Capacity!$A$3:$D$532,4,), "0")</f>
        <v>17.799085574374995</v>
      </c>
      <c r="Q72" s="4">
        <f>IFERROR(VLOOKUP(O72,Capacity!$A$3:$F$532,6,), "0")</f>
        <v>0.17499999999999999</v>
      </c>
      <c r="R72" s="5">
        <f t="shared" si="11"/>
        <v>17.799085574374995</v>
      </c>
      <c r="S72" s="5">
        <f t="shared" si="15"/>
        <v>0.17499999999999999</v>
      </c>
      <c r="U72">
        <v>91</v>
      </c>
      <c r="V72">
        <v>3</v>
      </c>
      <c r="W72">
        <v>3</v>
      </c>
      <c r="X72">
        <v>1</v>
      </c>
      <c r="AB72">
        <f t="shared" si="12"/>
        <v>1.6486486486486489</v>
      </c>
      <c r="AC72">
        <f t="shared" si="13"/>
        <v>1.3863636363636362</v>
      </c>
      <c r="AD72">
        <f t="shared" si="14"/>
        <v>2</v>
      </c>
      <c r="AE72">
        <f t="shared" si="16"/>
        <v>2</v>
      </c>
      <c r="AG72">
        <f t="shared" si="17"/>
        <v>0.75308641975308643</v>
      </c>
    </row>
    <row r="73" spans="1:33" x14ac:dyDescent="0.25">
      <c r="A73">
        <v>421</v>
      </c>
      <c r="B73">
        <f>IFERROR(VLOOKUP(A73,Capacity!$A$3:$D$532,4,), "0")</f>
        <v>7.6969018699999987</v>
      </c>
      <c r="C73" s="4">
        <f>IFERROR(VLOOKUP(A73,Capacity!$A$3:$F$532,6,), "0")</f>
        <v>0.17499999999999999</v>
      </c>
      <c r="E73" t="str">
        <f>IFERROR(VLOOKUP(D73,Capacity!$A$3:$D$532,4,), "0")</f>
        <v>0</v>
      </c>
      <c r="F73" s="4" t="str">
        <f>IFERROR(VLOOKUP(D73,Capacity!$A$3:$F$532,6,), "0")</f>
        <v>0</v>
      </c>
      <c r="H73" t="str">
        <f>IFERROR(VLOOKUP(G73,Capacity!$A$3:$D$532,4,), "0")</f>
        <v>0</v>
      </c>
      <c r="I73" s="4" t="str">
        <f>IFERROR(VLOOKUP(G73,Capacity!$A$3:$F$532,6,), "0")</f>
        <v>0</v>
      </c>
      <c r="K73" t="str">
        <f>IFERROR(VLOOKUP(J73,Capacity!$A$3:$D$532,4,), "0")</f>
        <v>0</v>
      </c>
      <c r="L73" s="4" t="str">
        <f>IFERROR(VLOOKUP(J73,Capacity!$A$3:$F$532,6,), "0")</f>
        <v>0</v>
      </c>
      <c r="M73" s="5">
        <f t="shared" si="9"/>
        <v>0</v>
      </c>
      <c r="N73" s="5">
        <f t="shared" si="10"/>
        <v>0</v>
      </c>
      <c r="O73">
        <v>89</v>
      </c>
      <c r="P73">
        <f>IFERROR(VLOOKUP(O73,Capacity!$A$3:$D$532,4,), "0")</f>
        <v>27.646014880000006</v>
      </c>
      <c r="Q73" s="4">
        <f>IFERROR(VLOOKUP(O73,Capacity!$A$3:$F$532,6,), "0")</f>
        <v>0.2</v>
      </c>
      <c r="R73" s="5">
        <f t="shared" si="11"/>
        <v>27.646014880000006</v>
      </c>
      <c r="S73" s="5">
        <f t="shared" si="15"/>
        <v>0.2</v>
      </c>
      <c r="U73">
        <v>421</v>
      </c>
      <c r="V73">
        <v>0</v>
      </c>
      <c r="W73">
        <v>0</v>
      </c>
      <c r="X73">
        <v>1</v>
      </c>
      <c r="AB73">
        <f t="shared" si="12"/>
        <v>0</v>
      </c>
      <c r="AC73">
        <f t="shared" si="13"/>
        <v>0</v>
      </c>
      <c r="AD73">
        <f t="shared" si="14"/>
        <v>0</v>
      </c>
      <c r="AE73">
        <f t="shared" si="16"/>
        <v>0</v>
      </c>
      <c r="AG73">
        <f t="shared" si="17"/>
        <v>0</v>
      </c>
    </row>
    <row r="74" spans="1:33" x14ac:dyDescent="0.25">
      <c r="A74">
        <v>50</v>
      </c>
      <c r="B74">
        <f>IFERROR(VLOOKUP(A74,Capacity!$A$3:$D$532,4,), "0")</f>
        <v>28.274333400000007</v>
      </c>
      <c r="C74" s="4">
        <f>IFERROR(VLOOKUP(A74,Capacity!$A$3:$F$532,6,), "0")</f>
        <v>0.2</v>
      </c>
      <c r="D74">
        <v>376</v>
      </c>
      <c r="E74">
        <f>IFERROR(VLOOKUP(D74,Capacity!$A$3:$D$532,4,), "0")</f>
        <v>7.6969018699999987</v>
      </c>
      <c r="F74" s="4">
        <f>IFERROR(VLOOKUP(D74,Capacity!$A$3:$F$532,6,), "0")</f>
        <v>0.17499999999999999</v>
      </c>
      <c r="G74">
        <v>21</v>
      </c>
      <c r="H74">
        <f>IFERROR(VLOOKUP(G74,Capacity!$A$3:$D$532,4,), "0")</f>
        <v>31.415926000000006</v>
      </c>
      <c r="I74" s="4">
        <f>IFERROR(VLOOKUP(G74,Capacity!$A$3:$F$532,6,), "0")</f>
        <v>0.2</v>
      </c>
      <c r="K74" t="str">
        <f>IFERROR(VLOOKUP(J74,Capacity!$A$3:$D$532,4,), "0")</f>
        <v>0</v>
      </c>
      <c r="L74" s="4" t="str">
        <f>IFERROR(VLOOKUP(J74,Capacity!$A$3:$F$532,6,), "0")</f>
        <v>0</v>
      </c>
      <c r="M74" s="5">
        <f t="shared" si="9"/>
        <v>39.112827870000004</v>
      </c>
      <c r="N74" s="5">
        <f t="shared" si="10"/>
        <v>0.375</v>
      </c>
      <c r="O74">
        <v>89</v>
      </c>
      <c r="P74">
        <f>IFERROR(VLOOKUP(O74,Capacity!$A$3:$D$532,4,), "0")</f>
        <v>27.646014880000006</v>
      </c>
      <c r="Q74" s="4">
        <f>IFERROR(VLOOKUP(O74,Capacity!$A$3:$F$532,6,), "0")</f>
        <v>0.2</v>
      </c>
      <c r="R74" s="5">
        <f t="shared" si="11"/>
        <v>27.646014880000006</v>
      </c>
      <c r="S74" s="5">
        <f t="shared" si="15"/>
        <v>0.2</v>
      </c>
      <c r="U74">
        <v>50</v>
      </c>
      <c r="V74">
        <v>3</v>
      </c>
      <c r="W74">
        <v>3</v>
      </c>
      <c r="X74">
        <v>1</v>
      </c>
      <c r="AB74">
        <f t="shared" si="12"/>
        <v>1.4147727272727271</v>
      </c>
      <c r="AC74">
        <f t="shared" si="13"/>
        <v>1.3833333333333331</v>
      </c>
      <c r="AD74">
        <f t="shared" si="14"/>
        <v>1.875</v>
      </c>
      <c r="AE74">
        <f t="shared" si="16"/>
        <v>1.875</v>
      </c>
      <c r="AG74">
        <f t="shared" si="17"/>
        <v>0.69943820224719089</v>
      </c>
    </row>
    <row r="75" spans="1:33" x14ac:dyDescent="0.25">
      <c r="A75">
        <v>375</v>
      </c>
      <c r="B75">
        <f>IFERROR(VLOOKUP(A75,Capacity!$A$3:$D$532,4,), "0")</f>
        <v>7.6969018699999987</v>
      </c>
      <c r="C75" s="4">
        <f>IFERROR(VLOOKUP(A75,Capacity!$A$3:$F$532,6,), "0")</f>
        <v>0.17499999999999999</v>
      </c>
      <c r="E75" t="str">
        <f>IFERROR(VLOOKUP(D75,Capacity!$A$3:$D$532,4,), "0")</f>
        <v>0</v>
      </c>
      <c r="F75" s="4" t="str">
        <f>IFERROR(VLOOKUP(D75,Capacity!$A$3:$F$532,6,), "0")</f>
        <v>0</v>
      </c>
      <c r="H75" t="str">
        <f>IFERROR(VLOOKUP(G75,Capacity!$A$3:$D$532,4,), "0")</f>
        <v>0</v>
      </c>
      <c r="I75" s="4" t="str">
        <f>IFERROR(VLOOKUP(G75,Capacity!$A$3:$F$532,6,), "0")</f>
        <v>0</v>
      </c>
      <c r="K75" t="str">
        <f>IFERROR(VLOOKUP(J75,Capacity!$A$3:$D$532,4,), "0")</f>
        <v>0</v>
      </c>
      <c r="L75" s="4" t="str">
        <f>IFERROR(VLOOKUP(J75,Capacity!$A$3:$F$532,6,), "0")</f>
        <v>0</v>
      </c>
      <c r="M75" s="5">
        <f t="shared" si="9"/>
        <v>0</v>
      </c>
      <c r="N75" s="5">
        <f t="shared" si="10"/>
        <v>0</v>
      </c>
      <c r="O75">
        <v>49</v>
      </c>
      <c r="P75">
        <f>IFERROR(VLOOKUP(O75,Capacity!$A$3:$D$532,4,), "0")</f>
        <v>21.647536509374998</v>
      </c>
      <c r="Q75" s="4">
        <f>IFERROR(VLOOKUP(O75,Capacity!$A$3:$F$532,6,), "0")</f>
        <v>0.17499999999999999</v>
      </c>
      <c r="R75" s="5">
        <f t="shared" si="11"/>
        <v>21.647536509374998</v>
      </c>
      <c r="S75" s="5">
        <f t="shared" si="15"/>
        <v>0.17499999999999999</v>
      </c>
      <c r="U75">
        <v>375</v>
      </c>
      <c r="V75">
        <v>0</v>
      </c>
      <c r="W75">
        <v>0</v>
      </c>
      <c r="X75">
        <v>1</v>
      </c>
      <c r="AB75">
        <f t="shared" si="12"/>
        <v>0</v>
      </c>
      <c r="AC75">
        <f t="shared" si="13"/>
        <v>0</v>
      </c>
      <c r="AD75">
        <f t="shared" si="14"/>
        <v>0</v>
      </c>
      <c r="AE75">
        <f t="shared" si="16"/>
        <v>0</v>
      </c>
      <c r="AG75">
        <f t="shared" si="17"/>
        <v>0</v>
      </c>
    </row>
    <row r="76" spans="1:33" x14ac:dyDescent="0.25">
      <c r="A76">
        <v>22</v>
      </c>
      <c r="B76">
        <f>IFERROR(VLOOKUP(A76,Capacity!$A$3:$D$532,4,), "0")</f>
        <v>24.052818343749998</v>
      </c>
      <c r="C76" s="4">
        <f>IFERROR(VLOOKUP(A76,Capacity!$A$3:$F$532,6,), "0")</f>
        <v>0.17499999999999999</v>
      </c>
      <c r="D76">
        <v>364</v>
      </c>
      <c r="E76">
        <f>IFERROR(VLOOKUP(D76,Capacity!$A$3:$D$532,4,), "0")</f>
        <v>7.6969018699999987</v>
      </c>
      <c r="F76" s="4">
        <f>IFERROR(VLOOKUP(D76,Capacity!$A$3:$F$532,6,), "0")</f>
        <v>0.17499999999999999</v>
      </c>
      <c r="H76" t="str">
        <f>IFERROR(VLOOKUP(G76,Capacity!$A$3:$D$532,4,), "0")</f>
        <v>0</v>
      </c>
      <c r="I76" s="4" t="str">
        <f>IFERROR(VLOOKUP(G76,Capacity!$A$3:$F$532,6,), "0")</f>
        <v>0</v>
      </c>
      <c r="K76" t="str">
        <f>IFERROR(VLOOKUP(J76,Capacity!$A$3:$D$532,4,), "0")</f>
        <v>0</v>
      </c>
      <c r="L76" s="4" t="str">
        <f>IFERROR(VLOOKUP(J76,Capacity!$A$3:$F$532,6,), "0")</f>
        <v>0</v>
      </c>
      <c r="M76" s="5">
        <f t="shared" si="9"/>
        <v>7.6969018699999987</v>
      </c>
      <c r="N76" s="5">
        <f t="shared" si="10"/>
        <v>0.17499999999999999</v>
      </c>
      <c r="O76">
        <v>49</v>
      </c>
      <c r="P76">
        <f>IFERROR(VLOOKUP(O76,Capacity!$A$3:$D$532,4,), "0")</f>
        <v>21.647536509374998</v>
      </c>
      <c r="Q76" s="4">
        <f>IFERROR(VLOOKUP(O76,Capacity!$A$3:$F$532,6,), "0")</f>
        <v>0.17499999999999999</v>
      </c>
      <c r="R76" s="5">
        <f t="shared" si="11"/>
        <v>21.647536509374998</v>
      </c>
      <c r="S76" s="5">
        <f t="shared" si="15"/>
        <v>0.17499999999999999</v>
      </c>
      <c r="U76">
        <v>22</v>
      </c>
      <c r="V76">
        <v>1</v>
      </c>
      <c r="W76">
        <v>1</v>
      </c>
      <c r="X76">
        <v>1</v>
      </c>
      <c r="AB76">
        <f t="shared" si="12"/>
        <v>0.35555555555555551</v>
      </c>
      <c r="AC76">
        <f t="shared" si="13"/>
        <v>0.31999999999999995</v>
      </c>
      <c r="AD76">
        <f t="shared" si="14"/>
        <v>1</v>
      </c>
      <c r="AE76">
        <f t="shared" si="16"/>
        <v>1</v>
      </c>
      <c r="AG76">
        <f t="shared" si="17"/>
        <v>0.16842105263157894</v>
      </c>
    </row>
    <row r="77" spans="1:33" x14ac:dyDescent="0.25">
      <c r="A77">
        <v>365</v>
      </c>
      <c r="B77">
        <f>IFERROR(VLOOKUP(A77,Capacity!$A$3:$D$532,4,), "0")</f>
        <v>3.8484509349999994</v>
      </c>
      <c r="C77" s="4">
        <f>IFERROR(VLOOKUP(A77,Capacity!$A$3:$F$532,6,), "0")</f>
        <v>0.17499999999999999</v>
      </c>
      <c r="E77" t="str">
        <f>IFERROR(VLOOKUP(D77,Capacity!$A$3:$D$532,4,), "0")</f>
        <v>0</v>
      </c>
      <c r="F77" s="4" t="str">
        <f>IFERROR(VLOOKUP(D77,Capacity!$A$3:$F$532,6,), "0")</f>
        <v>0</v>
      </c>
      <c r="H77" t="str">
        <f>IFERROR(VLOOKUP(G77,Capacity!$A$3:$D$532,4,), "0")</f>
        <v>0</v>
      </c>
      <c r="I77" s="4" t="str">
        <f>IFERROR(VLOOKUP(G77,Capacity!$A$3:$F$532,6,), "0")</f>
        <v>0</v>
      </c>
      <c r="K77" t="str">
        <f>IFERROR(VLOOKUP(J77,Capacity!$A$3:$D$532,4,), "0")</f>
        <v>0</v>
      </c>
      <c r="L77" s="4" t="str">
        <f>IFERROR(VLOOKUP(J77,Capacity!$A$3:$F$532,6,), "0")</f>
        <v>0</v>
      </c>
      <c r="M77" s="5">
        <f t="shared" si="9"/>
        <v>0</v>
      </c>
      <c r="N77" s="5">
        <f t="shared" si="10"/>
        <v>0</v>
      </c>
      <c r="O77">
        <v>23</v>
      </c>
      <c r="P77">
        <f>IFERROR(VLOOKUP(O77,Capacity!$A$3:$D$532,4,), "0")</f>
        <v>125.66370400000002</v>
      </c>
      <c r="Q77" s="4">
        <f>IFERROR(VLOOKUP(O77,Capacity!$A$3:$F$532,6,), "0")</f>
        <v>0.4</v>
      </c>
      <c r="R77" s="5">
        <f t="shared" si="11"/>
        <v>125.66370400000002</v>
      </c>
      <c r="S77" s="5">
        <f t="shared" si="15"/>
        <v>0.4</v>
      </c>
      <c r="U77">
        <v>365</v>
      </c>
      <c r="V77">
        <v>0</v>
      </c>
      <c r="W77">
        <v>0</v>
      </c>
      <c r="X77">
        <v>1</v>
      </c>
      <c r="AB77">
        <f t="shared" si="12"/>
        <v>0</v>
      </c>
      <c r="AC77">
        <f t="shared" si="13"/>
        <v>0</v>
      </c>
      <c r="AD77">
        <f t="shared" si="14"/>
        <v>0</v>
      </c>
      <c r="AE77">
        <f t="shared" si="16"/>
        <v>0</v>
      </c>
      <c r="AG77">
        <f t="shared" si="17"/>
        <v>0</v>
      </c>
    </row>
    <row r="78" spans="1:33" x14ac:dyDescent="0.25">
      <c r="A78">
        <v>348</v>
      </c>
      <c r="B78">
        <f>IFERROR(VLOOKUP(A78,Capacity!$A$3:$D$532,4,), "0")</f>
        <v>108.07078544000002</v>
      </c>
      <c r="C78" s="4">
        <f>IFERROR(VLOOKUP(A78,Capacity!$A$3:$F$532,6,), "0")</f>
        <v>0.4</v>
      </c>
      <c r="D78">
        <v>347</v>
      </c>
      <c r="E78">
        <f>IFERROR(VLOOKUP(D78,Capacity!$A$3:$D$532,4,), "0")</f>
        <v>9.4247778000000029</v>
      </c>
      <c r="F78" s="4">
        <f>IFERROR(VLOOKUP(D78,Capacity!$A$3:$F$532,6,), "0")</f>
        <v>0.2</v>
      </c>
      <c r="G78">
        <v>349</v>
      </c>
      <c r="H78">
        <f>IFERROR(VLOOKUP(G78,Capacity!$A$3:$D$532,4,), "0")</f>
        <v>21.205750049999999</v>
      </c>
      <c r="I78" s="4">
        <f>IFERROR(VLOOKUP(G78,Capacity!$A$3:$F$532,6,), "0")</f>
        <v>0.3</v>
      </c>
      <c r="J78">
        <v>248</v>
      </c>
      <c r="K78">
        <f>IFERROR(VLOOKUP(J78,Capacity!$A$3:$D$532,4,), "0")</f>
        <v>26.474200840200002</v>
      </c>
      <c r="L78" s="4">
        <f>IFERROR(VLOOKUP(J78,Capacity!$A$3:$F$532,6,), "0")</f>
        <v>0.26500000000000001</v>
      </c>
      <c r="M78" s="5">
        <f t="shared" si="9"/>
        <v>57.104728690200005</v>
      </c>
      <c r="N78" s="5">
        <f t="shared" si="10"/>
        <v>0.76500000000000001</v>
      </c>
      <c r="O78">
        <v>23</v>
      </c>
      <c r="P78">
        <f>IFERROR(VLOOKUP(O78,Capacity!$A$3:$D$532,4,), "0")</f>
        <v>125.66370400000002</v>
      </c>
      <c r="Q78" s="4">
        <f>IFERROR(VLOOKUP(O78,Capacity!$A$3:$F$532,6,), "0")</f>
        <v>0.4</v>
      </c>
      <c r="R78" s="5">
        <f t="shared" si="11"/>
        <v>125.66370400000002</v>
      </c>
      <c r="S78" s="5">
        <f t="shared" si="15"/>
        <v>0.4</v>
      </c>
      <c r="U78">
        <v>348</v>
      </c>
      <c r="V78">
        <v>3</v>
      </c>
      <c r="W78">
        <v>3</v>
      </c>
      <c r="X78">
        <v>1</v>
      </c>
      <c r="AB78">
        <f t="shared" si="12"/>
        <v>0.45442499999999997</v>
      </c>
      <c r="AC78">
        <f t="shared" si="13"/>
        <v>0.5284011627906976</v>
      </c>
      <c r="AD78">
        <f t="shared" si="14"/>
        <v>1.9124999999999999</v>
      </c>
      <c r="AE78">
        <f t="shared" si="16"/>
        <v>1.9124999999999999</v>
      </c>
      <c r="AG78">
        <f t="shared" si="17"/>
        <v>0.24431451612903221</v>
      </c>
    </row>
    <row r="79" spans="1:33" x14ac:dyDescent="0.25">
      <c r="A79">
        <v>418</v>
      </c>
      <c r="B79">
        <f>IFERROR(VLOOKUP(A79,Capacity!$A$3:$D$532,4,), "0")</f>
        <v>21.647536509374998</v>
      </c>
      <c r="C79" s="4">
        <f>IFERROR(VLOOKUP(A79,Capacity!$A$3:$F$532,6,), "0")</f>
        <v>0.17499999999999999</v>
      </c>
      <c r="E79" t="str">
        <f>IFERROR(VLOOKUP(D79,Capacity!$A$3:$D$532,4,), "0")</f>
        <v>0</v>
      </c>
      <c r="F79" s="4" t="str">
        <f>IFERROR(VLOOKUP(D79,Capacity!$A$3:$F$532,6,), "0")</f>
        <v>0</v>
      </c>
      <c r="H79" t="str">
        <f>IFERROR(VLOOKUP(G79,Capacity!$A$3:$D$532,4,), "0")</f>
        <v>0</v>
      </c>
      <c r="I79" s="4" t="str">
        <f>IFERROR(VLOOKUP(G79,Capacity!$A$3:$F$532,6,), "0")</f>
        <v>0</v>
      </c>
      <c r="K79" t="str">
        <f>IFERROR(VLOOKUP(J79,Capacity!$A$3:$D$532,4,), "0")</f>
        <v>0</v>
      </c>
      <c r="L79" s="4" t="str">
        <f>IFERROR(VLOOKUP(J79,Capacity!$A$3:$F$532,6,), "0")</f>
        <v>0</v>
      </c>
      <c r="M79" s="5">
        <f t="shared" si="9"/>
        <v>0</v>
      </c>
      <c r="N79" s="5">
        <f t="shared" si="10"/>
        <v>0</v>
      </c>
      <c r="O79">
        <v>47</v>
      </c>
      <c r="P79">
        <f>IFERROR(VLOOKUP(O79,Capacity!$A$3:$D$532,4,), "0")</f>
        <v>141.371667</v>
      </c>
      <c r="Q79" s="4">
        <f>IFERROR(VLOOKUP(O79,Capacity!$A$3:$F$532,6,), "0")</f>
        <v>0.75</v>
      </c>
      <c r="R79" s="5">
        <f t="shared" si="11"/>
        <v>141.371667</v>
      </c>
      <c r="S79" s="5">
        <f t="shared" si="15"/>
        <v>0.75</v>
      </c>
      <c r="U79">
        <v>418</v>
      </c>
      <c r="V79">
        <v>0</v>
      </c>
      <c r="W79">
        <v>0</v>
      </c>
      <c r="X79">
        <v>1</v>
      </c>
      <c r="AB79">
        <f t="shared" si="12"/>
        <v>0</v>
      </c>
      <c r="AC79">
        <f t="shared" si="13"/>
        <v>0</v>
      </c>
      <c r="AD79">
        <f t="shared" si="14"/>
        <v>0</v>
      </c>
      <c r="AE79">
        <f t="shared" si="16"/>
        <v>0</v>
      </c>
      <c r="AG79">
        <f t="shared" si="17"/>
        <v>0</v>
      </c>
    </row>
    <row r="80" spans="1:33" x14ac:dyDescent="0.25">
      <c r="A80">
        <v>45</v>
      </c>
      <c r="B80">
        <f>IFERROR(VLOOKUP(A80,Capacity!$A$3:$D$532,4,), "0")</f>
        <v>40.212385280000007</v>
      </c>
      <c r="C80" s="4">
        <f>IFERROR(VLOOKUP(A80,Capacity!$A$3:$F$532,6,), "0")</f>
        <v>0.4</v>
      </c>
      <c r="D80">
        <v>368</v>
      </c>
      <c r="E80">
        <f>IFERROR(VLOOKUP(D80,Capacity!$A$3:$D$532,4,), "0")</f>
        <v>23.090705609999997</v>
      </c>
      <c r="F80" s="4">
        <f>IFERROR(VLOOKUP(D80,Capacity!$A$3:$F$532,6,), "0")</f>
        <v>0.17499999999999999</v>
      </c>
      <c r="G80">
        <v>416</v>
      </c>
      <c r="H80">
        <f>IFERROR(VLOOKUP(G80,Capacity!$A$3:$D$532,4,), "0")</f>
        <v>21.647536509374998</v>
      </c>
      <c r="I80" s="4">
        <f>IFERROR(VLOOKUP(G80,Capacity!$A$3:$F$532,6,), "0")</f>
        <v>0.17499999999999999</v>
      </c>
      <c r="J80">
        <v>44</v>
      </c>
      <c r="K80">
        <f>IFERROR(VLOOKUP(J80,Capacity!$A$3:$D$532,4,), "0")</f>
        <v>40.212385280000007</v>
      </c>
      <c r="L80" s="4">
        <f>IFERROR(VLOOKUP(J80,Capacity!$A$3:$F$532,6,), "0")</f>
        <v>0.4</v>
      </c>
      <c r="M80" s="5">
        <f t="shared" si="9"/>
        <v>84.950627399375009</v>
      </c>
      <c r="N80" s="5">
        <f t="shared" si="10"/>
        <v>0.75</v>
      </c>
      <c r="O80">
        <v>47</v>
      </c>
      <c r="P80">
        <f>IFERROR(VLOOKUP(O80,Capacity!$A$3:$D$532,4,), "0")</f>
        <v>141.371667</v>
      </c>
      <c r="Q80" s="4">
        <f>IFERROR(VLOOKUP(O80,Capacity!$A$3:$F$532,6,), "0")</f>
        <v>0.75</v>
      </c>
      <c r="R80" s="5">
        <f t="shared" si="11"/>
        <v>141.371667</v>
      </c>
      <c r="S80" s="5">
        <f t="shared" si="15"/>
        <v>0.75</v>
      </c>
      <c r="U80">
        <v>45</v>
      </c>
      <c r="V80">
        <v>3</v>
      </c>
      <c r="W80">
        <v>3</v>
      </c>
      <c r="X80">
        <v>1</v>
      </c>
      <c r="AB80">
        <f t="shared" si="12"/>
        <v>0.60090277777777779</v>
      </c>
      <c r="AC80">
        <f t="shared" si="13"/>
        <v>2.112548828125</v>
      </c>
      <c r="AD80">
        <f t="shared" si="14"/>
        <v>1</v>
      </c>
      <c r="AE80">
        <f t="shared" si="16"/>
        <v>1.875</v>
      </c>
      <c r="AG80">
        <f t="shared" si="17"/>
        <v>0.46783088235294118</v>
      </c>
    </row>
    <row r="81" spans="1:33" x14ac:dyDescent="0.25">
      <c r="A81">
        <v>25</v>
      </c>
      <c r="B81">
        <f>IFERROR(VLOOKUP(A81,Capacity!$A$3:$D$532,4,), "0")</f>
        <v>424.11500100000001</v>
      </c>
      <c r="C81" s="4">
        <f>IFERROR(VLOOKUP(A81,Capacity!$A$3:$F$532,6,), "0")</f>
        <v>0.75</v>
      </c>
      <c r="D81">
        <v>26</v>
      </c>
      <c r="E81">
        <f>IFERROR(VLOOKUP(D81,Capacity!$A$3:$D$532,4,), "0")</f>
        <v>70.685833500000001</v>
      </c>
      <c r="F81" s="4">
        <f>IFERROR(VLOOKUP(D81,Capacity!$A$3:$F$532,6,), "0")</f>
        <v>0.75</v>
      </c>
      <c r="G81">
        <v>366</v>
      </c>
      <c r="H81">
        <f>IFERROR(VLOOKUP(G81,Capacity!$A$3:$D$532,4,), "0")</f>
        <v>7.6969018699999987</v>
      </c>
      <c r="I81" s="4">
        <f>IFERROR(VLOOKUP(G81,Capacity!$A$3:$F$532,6,), "0")</f>
        <v>0.17499999999999999</v>
      </c>
      <c r="K81" t="str">
        <f>IFERROR(VLOOKUP(J81,Capacity!$A$3:$D$532,4,), "0")</f>
        <v>0</v>
      </c>
      <c r="L81" s="4" t="str">
        <f>IFERROR(VLOOKUP(J81,Capacity!$A$3:$F$532,6,), "0")</f>
        <v>0</v>
      </c>
      <c r="M81" s="5">
        <f t="shared" si="9"/>
        <v>78.382735370000006</v>
      </c>
      <c r="N81" s="5">
        <f t="shared" si="10"/>
        <v>0.92500000000000004</v>
      </c>
      <c r="O81">
        <v>47</v>
      </c>
      <c r="P81">
        <f>IFERROR(VLOOKUP(O81,Capacity!$A$3:$D$532,4,), "0")</f>
        <v>141.371667</v>
      </c>
      <c r="Q81" s="4">
        <f>IFERROR(VLOOKUP(O81,Capacity!$A$3:$F$532,6,), "0")</f>
        <v>0.75</v>
      </c>
      <c r="R81" s="5">
        <f t="shared" si="11"/>
        <v>141.371667</v>
      </c>
      <c r="S81" s="5">
        <f t="shared" si="15"/>
        <v>0.75</v>
      </c>
      <c r="U81">
        <v>25</v>
      </c>
      <c r="V81">
        <v>3</v>
      </c>
      <c r="W81">
        <v>3</v>
      </c>
      <c r="X81">
        <v>1</v>
      </c>
      <c r="AB81">
        <f t="shared" si="12"/>
        <v>0.55444444444444452</v>
      </c>
      <c r="AC81">
        <f t="shared" si="13"/>
        <v>0.18481481481481482</v>
      </c>
      <c r="AD81">
        <f t="shared" si="14"/>
        <v>1.2333333333333334</v>
      </c>
      <c r="AE81">
        <f t="shared" si="16"/>
        <v>1.2333333333333334</v>
      </c>
      <c r="AG81">
        <f t="shared" si="17"/>
        <v>0.13861111111111113</v>
      </c>
    </row>
    <row r="82" spans="1:33" x14ac:dyDescent="0.25">
      <c r="A82">
        <v>84</v>
      </c>
      <c r="B82">
        <f>IFERROR(VLOOKUP(A82,Capacity!$A$3:$D$532,4,), "0")</f>
        <v>90.477866879999993</v>
      </c>
      <c r="C82" s="4">
        <f>IFERROR(VLOOKUP(A82,Capacity!$A$3:$F$532,6,), "0")</f>
        <v>0.6</v>
      </c>
      <c r="D82">
        <v>83</v>
      </c>
      <c r="E82">
        <f>IFERROR(VLOOKUP(D82,Capacity!$A$3:$D$532,4,), "0")</f>
        <v>90.477866879999993</v>
      </c>
      <c r="F82" s="4">
        <f>IFERROR(VLOOKUP(D82,Capacity!$A$3:$F$532,6,), "0")</f>
        <v>0.6</v>
      </c>
      <c r="H82" t="str">
        <f>IFERROR(VLOOKUP(G82,Capacity!$A$3:$D$532,4,), "0")</f>
        <v>0</v>
      </c>
      <c r="I82" s="4" t="str">
        <f>IFERROR(VLOOKUP(G82,Capacity!$A$3:$F$532,6,), "0")</f>
        <v>0</v>
      </c>
      <c r="K82" t="str">
        <f>IFERROR(VLOOKUP(J82,Capacity!$A$3:$D$532,4,), "0")</f>
        <v>0</v>
      </c>
      <c r="L82" s="4" t="str">
        <f>IFERROR(VLOOKUP(J82,Capacity!$A$3:$F$532,6,), "0")</f>
        <v>0</v>
      </c>
      <c r="M82" s="5">
        <f t="shared" si="9"/>
        <v>90.477866879999993</v>
      </c>
      <c r="N82" s="5">
        <f t="shared" si="10"/>
        <v>0.6</v>
      </c>
      <c r="O82">
        <v>85</v>
      </c>
      <c r="P82">
        <f>IFERROR(VLOOKUP(O82,Capacity!$A$3:$D$532,4,), "0")</f>
        <v>90.477866879999993</v>
      </c>
      <c r="Q82" s="4">
        <f>IFERROR(VLOOKUP(O82,Capacity!$A$3:$F$532,6,), "0")</f>
        <v>0.6</v>
      </c>
      <c r="R82" s="5">
        <f t="shared" si="11"/>
        <v>90.477866879999993</v>
      </c>
      <c r="S82" s="5">
        <f t="shared" si="15"/>
        <v>0.6</v>
      </c>
      <c r="U82">
        <v>84</v>
      </c>
      <c r="V82">
        <v>2</v>
      </c>
      <c r="W82">
        <v>2</v>
      </c>
      <c r="X82">
        <v>1</v>
      </c>
      <c r="AB82">
        <f t="shared" si="12"/>
        <v>1</v>
      </c>
      <c r="AC82">
        <f t="shared" si="13"/>
        <v>1</v>
      </c>
      <c r="AD82">
        <f t="shared" si="14"/>
        <v>1</v>
      </c>
      <c r="AE82">
        <f t="shared" si="16"/>
        <v>1</v>
      </c>
      <c r="AG82">
        <f t="shared" si="17"/>
        <v>0.5</v>
      </c>
    </row>
    <row r="83" spans="1:33" x14ac:dyDescent="0.25">
      <c r="A83">
        <v>415</v>
      </c>
      <c r="B83">
        <f>IFERROR(VLOOKUP(A83,Capacity!$A$3:$D$532,4,), "0")</f>
        <v>21.166480142499999</v>
      </c>
      <c r="C83" s="4">
        <f>IFERROR(VLOOKUP(A83,Capacity!$A$3:$F$532,6,), "0")</f>
        <v>0.17499999999999999</v>
      </c>
      <c r="E83" t="str">
        <f>IFERROR(VLOOKUP(D83,Capacity!$A$3:$D$532,4,), "0")</f>
        <v>0</v>
      </c>
      <c r="F83" s="4" t="str">
        <f>IFERROR(VLOOKUP(D83,Capacity!$A$3:$F$532,6,), "0")</f>
        <v>0</v>
      </c>
      <c r="H83" t="str">
        <f>IFERROR(VLOOKUP(G83,Capacity!$A$3:$D$532,4,), "0")</f>
        <v>0</v>
      </c>
      <c r="I83" s="4" t="str">
        <f>IFERROR(VLOOKUP(G83,Capacity!$A$3:$F$532,6,), "0")</f>
        <v>0</v>
      </c>
      <c r="K83" t="str">
        <f>IFERROR(VLOOKUP(J83,Capacity!$A$3:$D$532,4,), "0")</f>
        <v>0</v>
      </c>
      <c r="L83" s="4" t="str">
        <f>IFERROR(VLOOKUP(J83,Capacity!$A$3:$F$532,6,), "0")</f>
        <v>0</v>
      </c>
      <c r="M83" s="5">
        <f t="shared" si="9"/>
        <v>0</v>
      </c>
      <c r="N83" s="5">
        <f t="shared" si="10"/>
        <v>0</v>
      </c>
      <c r="O83">
        <v>170</v>
      </c>
      <c r="P83">
        <f>IFERROR(VLOOKUP(O83,Capacity!$A$3:$D$532,4,), "0")</f>
        <v>22.619466719999998</v>
      </c>
      <c r="Q83" s="4">
        <f>IFERROR(VLOOKUP(O83,Capacity!$A$3:$F$532,6,), "0")</f>
        <v>0.3</v>
      </c>
      <c r="R83" s="5">
        <f t="shared" si="11"/>
        <v>22.619466719999998</v>
      </c>
      <c r="S83" s="5">
        <f t="shared" si="15"/>
        <v>0.3</v>
      </c>
      <c r="U83">
        <v>415</v>
      </c>
      <c r="V83">
        <v>0</v>
      </c>
      <c r="W83">
        <v>0</v>
      </c>
      <c r="X83">
        <v>1</v>
      </c>
      <c r="AB83">
        <f t="shared" si="12"/>
        <v>0</v>
      </c>
      <c r="AC83">
        <f t="shared" si="13"/>
        <v>0</v>
      </c>
      <c r="AD83">
        <f t="shared" si="14"/>
        <v>0</v>
      </c>
      <c r="AE83">
        <f t="shared" si="16"/>
        <v>0</v>
      </c>
      <c r="AG83">
        <f t="shared" si="17"/>
        <v>0</v>
      </c>
    </row>
    <row r="84" spans="1:33" x14ac:dyDescent="0.25">
      <c r="A84">
        <v>173</v>
      </c>
      <c r="B84">
        <f>IFERROR(VLOOKUP(A84,Capacity!$A$3:$D$532,4,), "0")</f>
        <v>22.619466719999998</v>
      </c>
      <c r="C84" s="4">
        <f>IFERROR(VLOOKUP(A84,Capacity!$A$3:$F$532,6,), "0")</f>
        <v>0.3</v>
      </c>
      <c r="D84">
        <v>413</v>
      </c>
      <c r="E84">
        <f>IFERROR(VLOOKUP(D84,Capacity!$A$3:$D$532,4,), "0")</f>
        <v>21.166480142499999</v>
      </c>
      <c r="F84" s="4">
        <f>IFERROR(VLOOKUP(D84,Capacity!$A$3:$F$532,6,), "0")</f>
        <v>0.17499999999999999</v>
      </c>
      <c r="G84">
        <v>178</v>
      </c>
      <c r="H84">
        <f>IFERROR(VLOOKUP(G84,Capacity!$A$3:$D$532,4,), "0")</f>
        <v>22.619466719999998</v>
      </c>
      <c r="I84" s="4">
        <f>IFERROR(VLOOKUP(G84,Capacity!$A$3:$F$532,6,), "0")</f>
        <v>0.3</v>
      </c>
      <c r="K84" t="str">
        <f>IFERROR(VLOOKUP(J84,Capacity!$A$3:$D$532,4,), "0")</f>
        <v>0</v>
      </c>
      <c r="L84" s="4" t="str">
        <f>IFERROR(VLOOKUP(J84,Capacity!$A$3:$F$532,6,), "0")</f>
        <v>0</v>
      </c>
      <c r="M84" s="5">
        <f t="shared" si="9"/>
        <v>43.785946862499998</v>
      </c>
      <c r="N84" s="5">
        <f t="shared" si="10"/>
        <v>0.47499999999999998</v>
      </c>
      <c r="O84">
        <v>170</v>
      </c>
      <c r="P84">
        <f>IFERROR(VLOOKUP(O84,Capacity!$A$3:$D$532,4,), "0")</f>
        <v>22.619466719999998</v>
      </c>
      <c r="Q84" s="4">
        <f>IFERROR(VLOOKUP(O84,Capacity!$A$3:$F$532,6,), "0")</f>
        <v>0.3</v>
      </c>
      <c r="R84" s="5">
        <f t="shared" si="11"/>
        <v>22.619466719999998</v>
      </c>
      <c r="S84" s="5">
        <f t="shared" si="15"/>
        <v>0.3</v>
      </c>
      <c r="U84">
        <v>173</v>
      </c>
      <c r="V84">
        <v>3</v>
      </c>
      <c r="W84">
        <v>3</v>
      </c>
      <c r="X84">
        <v>1</v>
      </c>
      <c r="AB84">
        <f t="shared" si="12"/>
        <v>1.9357638888888888</v>
      </c>
      <c r="AC84">
        <f t="shared" si="13"/>
        <v>1.9357638888888888</v>
      </c>
      <c r="AD84">
        <f t="shared" si="14"/>
        <v>1.5833333333333333</v>
      </c>
      <c r="AE84">
        <f t="shared" si="16"/>
        <v>1.5833333333333333</v>
      </c>
      <c r="AG84">
        <f t="shared" si="17"/>
        <v>0.96788194444444442</v>
      </c>
    </row>
    <row r="85" spans="1:33" x14ac:dyDescent="0.25">
      <c r="A85">
        <v>453</v>
      </c>
      <c r="B85">
        <f>IFERROR(VLOOKUP(A85,Capacity!$A$3:$D$532,4,), "0")</f>
        <v>15.874860106874999</v>
      </c>
      <c r="C85" s="4">
        <f>IFERROR(VLOOKUP(A85,Capacity!$A$3:$F$532,6,), "0")</f>
        <v>0.17499999999999999</v>
      </c>
      <c r="E85" t="str">
        <f>IFERROR(VLOOKUP(D85,Capacity!$A$3:$D$532,4,), "0")</f>
        <v>0</v>
      </c>
      <c r="F85" s="4" t="str">
        <f>IFERROR(VLOOKUP(D85,Capacity!$A$3:$F$532,6,), "0")</f>
        <v>0</v>
      </c>
      <c r="H85" t="str">
        <f>IFERROR(VLOOKUP(G85,Capacity!$A$3:$D$532,4,), "0")</f>
        <v>0</v>
      </c>
      <c r="I85" s="4" t="str">
        <f>IFERROR(VLOOKUP(G85,Capacity!$A$3:$F$532,6,), "0")</f>
        <v>0</v>
      </c>
      <c r="K85" t="str">
        <f>IFERROR(VLOOKUP(J85,Capacity!$A$3:$D$532,4,), "0")</f>
        <v>0</v>
      </c>
      <c r="L85" s="4" t="str">
        <f>IFERROR(VLOOKUP(J85,Capacity!$A$3:$F$532,6,), "0")</f>
        <v>0</v>
      </c>
      <c r="M85" s="5">
        <f t="shared" si="9"/>
        <v>0</v>
      </c>
      <c r="N85" s="5">
        <f t="shared" si="10"/>
        <v>0</v>
      </c>
      <c r="O85">
        <v>171</v>
      </c>
      <c r="P85">
        <f>IFERROR(VLOOKUP(O85,Capacity!$A$3:$D$532,4,), "0")</f>
        <v>291.57906318750003</v>
      </c>
      <c r="Q85" s="4">
        <f>IFERROR(VLOOKUP(O85,Capacity!$A$3:$F$532,6,), "0")</f>
        <v>0.75</v>
      </c>
      <c r="R85" s="5">
        <f t="shared" si="11"/>
        <v>291.57906318750003</v>
      </c>
      <c r="S85" s="5">
        <f t="shared" si="15"/>
        <v>0.75</v>
      </c>
      <c r="U85">
        <v>453</v>
      </c>
      <c r="V85">
        <v>0</v>
      </c>
      <c r="W85">
        <v>0</v>
      </c>
      <c r="X85">
        <v>1</v>
      </c>
      <c r="AB85">
        <f t="shared" si="12"/>
        <v>0</v>
      </c>
      <c r="AC85">
        <f t="shared" si="13"/>
        <v>0</v>
      </c>
      <c r="AD85">
        <f t="shared" si="14"/>
        <v>0</v>
      </c>
      <c r="AE85">
        <f t="shared" si="16"/>
        <v>0</v>
      </c>
      <c r="AG85">
        <f t="shared" si="17"/>
        <v>0</v>
      </c>
    </row>
    <row r="86" spans="1:33" x14ac:dyDescent="0.25">
      <c r="A86">
        <v>181</v>
      </c>
      <c r="B86">
        <f>IFERROR(VLOOKUP(A86,Capacity!$A$3:$D$532,4,), "0")</f>
        <v>7.6969018699999987</v>
      </c>
      <c r="C86" s="4">
        <f>IFERROR(VLOOKUP(A86,Capacity!$A$3:$F$532,6,), "0")</f>
        <v>0.17499999999999999</v>
      </c>
      <c r="D86">
        <v>180</v>
      </c>
      <c r="E86">
        <f>IFERROR(VLOOKUP(D86,Capacity!$A$3:$D$532,4,), "0")</f>
        <v>20.734511160000007</v>
      </c>
      <c r="F86" s="4">
        <f>IFERROR(VLOOKUP(D86,Capacity!$A$3:$F$532,6,), "0")</f>
        <v>0.2</v>
      </c>
      <c r="G86">
        <v>186</v>
      </c>
      <c r="H86">
        <f>IFERROR(VLOOKUP(G86,Capacity!$A$3:$D$532,4,), "0")</f>
        <v>17.649467226800002</v>
      </c>
      <c r="I86" s="4">
        <f>IFERROR(VLOOKUP(G86,Capacity!$A$3:$F$532,6,), "0")</f>
        <v>0.26500000000000001</v>
      </c>
      <c r="J86">
        <v>458</v>
      </c>
      <c r="K86">
        <f>IFERROR(VLOOKUP(J86,Capacity!$A$3:$D$532,4,), "0")</f>
        <v>19.242254674999998</v>
      </c>
      <c r="L86" s="4">
        <f>IFERROR(VLOOKUP(J86,Capacity!$A$3:$F$532,6,), "0")</f>
        <v>0.17499999999999999</v>
      </c>
      <c r="M86" s="5">
        <f t="shared" si="9"/>
        <v>57.626233061800008</v>
      </c>
      <c r="N86" s="5">
        <f t="shared" si="10"/>
        <v>0.64</v>
      </c>
      <c r="O86">
        <v>175</v>
      </c>
      <c r="P86">
        <f>IFERROR(VLOOKUP(O86,Capacity!$A$3:$D$532,4,), "0")</f>
        <v>17.649467226800002</v>
      </c>
      <c r="Q86" s="4">
        <f>IFERROR(VLOOKUP(O86,Capacity!$A$3:$F$532,6,), "0")</f>
        <v>0.26500000000000001</v>
      </c>
      <c r="R86" s="5">
        <f t="shared" si="11"/>
        <v>17.649467226800002</v>
      </c>
      <c r="S86" s="5">
        <f t="shared" si="15"/>
        <v>0.26500000000000001</v>
      </c>
      <c r="U86">
        <v>181</v>
      </c>
      <c r="V86">
        <v>4</v>
      </c>
      <c r="W86">
        <v>4</v>
      </c>
      <c r="X86">
        <v>1</v>
      </c>
      <c r="AB86">
        <f t="shared" si="12"/>
        <v>3.2650409398362408</v>
      </c>
      <c r="AC86">
        <f t="shared" si="13"/>
        <v>7.4869387755102066</v>
      </c>
      <c r="AD86">
        <f t="shared" si="14"/>
        <v>2.4150943396226414</v>
      </c>
      <c r="AE86">
        <f t="shared" si="16"/>
        <v>3.6571428571428575</v>
      </c>
      <c r="AG86">
        <f t="shared" si="17"/>
        <v>2.2735498264749632</v>
      </c>
    </row>
    <row r="87" spans="1:33" x14ac:dyDescent="0.25">
      <c r="A87">
        <v>174</v>
      </c>
      <c r="B87">
        <f>IFERROR(VLOOKUP(A87,Capacity!$A$3:$D$532,4,), "0")</f>
        <v>15.874860106874999</v>
      </c>
      <c r="C87" s="4">
        <f>IFERROR(VLOOKUP(A87,Capacity!$A$3:$F$532,6,), "0")</f>
        <v>0.17499999999999999</v>
      </c>
      <c r="D87">
        <v>455</v>
      </c>
      <c r="E87">
        <f>IFERROR(VLOOKUP(D87,Capacity!$A$3:$D$532,4,), "0")</f>
        <v>291.57906318750003</v>
      </c>
      <c r="F87" s="4">
        <f>IFERROR(VLOOKUP(D87,Capacity!$A$3:$F$532,6,), "0")</f>
        <v>0.75</v>
      </c>
      <c r="H87" t="str">
        <f>IFERROR(VLOOKUP(G87,Capacity!$A$3:$D$532,4,), "0")</f>
        <v>0</v>
      </c>
      <c r="I87" s="4" t="str">
        <f>IFERROR(VLOOKUP(G87,Capacity!$A$3:$F$532,6,), "0")</f>
        <v>0</v>
      </c>
      <c r="K87" t="str">
        <f>IFERROR(VLOOKUP(J87,Capacity!$A$3:$D$532,4,), "0")</f>
        <v>0</v>
      </c>
      <c r="L87" s="4" t="str">
        <f>IFERROR(VLOOKUP(J87,Capacity!$A$3:$F$532,6,), "0")</f>
        <v>0</v>
      </c>
      <c r="M87" s="5">
        <f t="shared" si="9"/>
        <v>291.57906318750003</v>
      </c>
      <c r="N87" s="5">
        <f t="shared" si="10"/>
        <v>0.75</v>
      </c>
      <c r="O87">
        <v>175</v>
      </c>
      <c r="P87">
        <f>IFERROR(VLOOKUP(O87,Capacity!$A$3:$D$532,4,), "0")</f>
        <v>17.649467226800002</v>
      </c>
      <c r="Q87" s="4">
        <f>IFERROR(VLOOKUP(O87,Capacity!$A$3:$F$532,6,), "0")</f>
        <v>0.26500000000000001</v>
      </c>
      <c r="R87" s="5">
        <f t="shared" si="11"/>
        <v>17.649467226800002</v>
      </c>
      <c r="S87" s="5">
        <f t="shared" si="15"/>
        <v>0.26500000000000001</v>
      </c>
      <c r="U87">
        <v>174</v>
      </c>
      <c r="V87">
        <v>1</v>
      </c>
      <c r="W87">
        <v>1</v>
      </c>
      <c r="X87">
        <v>1</v>
      </c>
      <c r="AB87">
        <f t="shared" si="12"/>
        <v>16.52055891776433</v>
      </c>
      <c r="AC87">
        <f t="shared" si="13"/>
        <v>18.367346938775512</v>
      </c>
      <c r="AD87">
        <f t="shared" si="14"/>
        <v>2.8301886792452828</v>
      </c>
      <c r="AE87">
        <f t="shared" si="16"/>
        <v>4.2857142857142856</v>
      </c>
      <c r="AG87">
        <f t="shared" si="17"/>
        <v>8.6975365765090373</v>
      </c>
    </row>
    <row r="88" spans="1:33" x14ac:dyDescent="0.25">
      <c r="A88">
        <v>460</v>
      </c>
      <c r="B88">
        <f>IFERROR(VLOOKUP(A88,Capacity!$A$3:$D$532,4,), "0")</f>
        <v>19.242254674999998</v>
      </c>
      <c r="C88" s="4">
        <f>IFERROR(VLOOKUP(A88,Capacity!$A$3:$F$532,6,), "0")</f>
        <v>0.17499999999999999</v>
      </c>
      <c r="E88" t="str">
        <f>IFERROR(VLOOKUP(D88,Capacity!$A$3:$D$532,4,), "0")</f>
        <v>0</v>
      </c>
      <c r="F88" s="4" t="str">
        <f>IFERROR(VLOOKUP(D88,Capacity!$A$3:$F$532,6,), "0")</f>
        <v>0</v>
      </c>
      <c r="H88" t="str">
        <f>IFERROR(VLOOKUP(G88,Capacity!$A$3:$D$532,4,), "0")</f>
        <v>0</v>
      </c>
      <c r="I88" s="4" t="str">
        <f>IFERROR(VLOOKUP(G88,Capacity!$A$3:$F$532,6,), "0")</f>
        <v>0</v>
      </c>
      <c r="K88" t="str">
        <f>IFERROR(VLOOKUP(J88,Capacity!$A$3:$D$532,4,), "0")</f>
        <v>0</v>
      </c>
      <c r="L88" s="4" t="str">
        <f>IFERROR(VLOOKUP(J88,Capacity!$A$3:$F$532,6,), "0")</f>
        <v>0</v>
      </c>
      <c r="M88" s="5">
        <f t="shared" si="9"/>
        <v>0</v>
      </c>
      <c r="N88" s="5">
        <f t="shared" si="10"/>
        <v>0</v>
      </c>
      <c r="O88">
        <v>187</v>
      </c>
      <c r="P88">
        <f>IFERROR(VLOOKUP(O88,Capacity!$A$3:$D$532,4,), "0")</f>
        <v>100.53096320000003</v>
      </c>
      <c r="Q88" s="4">
        <f>IFERROR(VLOOKUP(O88,Capacity!$A$3:$F$532,6,), "0")</f>
        <v>0.4</v>
      </c>
      <c r="R88" s="5">
        <f t="shared" si="11"/>
        <v>100.53096320000003</v>
      </c>
      <c r="S88" s="5">
        <f t="shared" si="15"/>
        <v>0.4</v>
      </c>
      <c r="U88">
        <v>460</v>
      </c>
      <c r="V88">
        <v>0</v>
      </c>
      <c r="W88">
        <v>0</v>
      </c>
      <c r="X88">
        <v>1</v>
      </c>
      <c r="AB88">
        <f t="shared" si="12"/>
        <v>0</v>
      </c>
      <c r="AC88">
        <f t="shared" si="13"/>
        <v>0</v>
      </c>
      <c r="AD88">
        <f t="shared" si="14"/>
        <v>0</v>
      </c>
      <c r="AE88">
        <f t="shared" si="16"/>
        <v>0</v>
      </c>
      <c r="AG88">
        <f t="shared" si="17"/>
        <v>0</v>
      </c>
    </row>
    <row r="89" spans="1:33" x14ac:dyDescent="0.25">
      <c r="A89">
        <v>194</v>
      </c>
      <c r="B89">
        <f>IFERROR(VLOOKUP(A89,Capacity!$A$3:$D$532,4,), "0")</f>
        <v>80.424770560000013</v>
      </c>
      <c r="C89" s="4">
        <f>IFERROR(VLOOKUP(A89,Capacity!$A$3:$F$532,6,), "0")</f>
        <v>0.4</v>
      </c>
      <c r="D89">
        <v>207</v>
      </c>
      <c r="E89">
        <f>IFERROR(VLOOKUP(D89,Capacity!$A$3:$D$532,4,), "0")</f>
        <v>31.101766740000002</v>
      </c>
      <c r="F89" s="4">
        <f>IFERROR(VLOOKUP(D89,Capacity!$A$3:$F$532,6,), "0")</f>
        <v>0.3</v>
      </c>
      <c r="G89">
        <v>193</v>
      </c>
      <c r="H89">
        <f>IFERROR(VLOOKUP(G89,Capacity!$A$3:$D$532,4,), "0")</f>
        <v>19.242254674999998</v>
      </c>
      <c r="I89" s="4">
        <f>IFERROR(VLOOKUP(G89,Capacity!$A$3:$F$532,6,), "0")</f>
        <v>0.17499999999999999</v>
      </c>
      <c r="K89" t="str">
        <f>IFERROR(VLOOKUP(J89,Capacity!$A$3:$D$532,4,), "0")</f>
        <v>0</v>
      </c>
      <c r="L89" s="4" t="str">
        <f>IFERROR(VLOOKUP(J89,Capacity!$A$3:$F$532,6,), "0")</f>
        <v>0</v>
      </c>
      <c r="M89" s="5">
        <f t="shared" si="9"/>
        <v>50.344021415</v>
      </c>
      <c r="N89" s="5">
        <f t="shared" si="10"/>
        <v>0.47499999999999998</v>
      </c>
      <c r="O89">
        <v>187</v>
      </c>
      <c r="P89">
        <f>IFERROR(VLOOKUP(O89,Capacity!$A$3:$D$532,4,), "0")</f>
        <v>100.53096320000003</v>
      </c>
      <c r="Q89" s="4">
        <f>IFERROR(VLOOKUP(O89,Capacity!$A$3:$F$532,6,), "0")</f>
        <v>0.4</v>
      </c>
      <c r="R89" s="5">
        <f t="shared" si="11"/>
        <v>100.53096320000003</v>
      </c>
      <c r="S89" s="5">
        <f t="shared" si="15"/>
        <v>0.4</v>
      </c>
      <c r="U89">
        <v>194</v>
      </c>
      <c r="V89">
        <v>2</v>
      </c>
      <c r="W89">
        <v>2</v>
      </c>
      <c r="X89">
        <v>1</v>
      </c>
      <c r="AB89">
        <f t="shared" si="12"/>
        <v>0.50078124999999984</v>
      </c>
      <c r="AC89">
        <f t="shared" si="13"/>
        <v>0.62597656249999989</v>
      </c>
      <c r="AD89">
        <f t="shared" si="14"/>
        <v>1.1874999999999998</v>
      </c>
      <c r="AE89">
        <f t="shared" si="16"/>
        <v>1.1874999999999998</v>
      </c>
      <c r="AG89">
        <f t="shared" si="17"/>
        <v>0.27821180555555547</v>
      </c>
    </row>
    <row r="90" spans="1:33" x14ac:dyDescent="0.25">
      <c r="A90">
        <v>464</v>
      </c>
      <c r="B90">
        <f>IFERROR(VLOOKUP(A90,Capacity!$A$3:$D$532,4,), "0")</f>
        <v>19.242254674999998</v>
      </c>
      <c r="C90" s="4">
        <f>IFERROR(VLOOKUP(A90,Capacity!$A$3:$F$532,6,), "0")</f>
        <v>0.17499999999999999</v>
      </c>
      <c r="E90" t="str">
        <f>IFERROR(VLOOKUP(D90,Capacity!$A$3:$D$532,4,), "0")</f>
        <v>0</v>
      </c>
      <c r="F90" s="4" t="str">
        <f>IFERROR(VLOOKUP(D90,Capacity!$A$3:$F$532,6,), "0")</f>
        <v>0</v>
      </c>
      <c r="H90" t="str">
        <f>IFERROR(VLOOKUP(G90,Capacity!$A$3:$D$532,4,), "0")</f>
        <v>0</v>
      </c>
      <c r="I90" s="4" t="str">
        <f>IFERROR(VLOOKUP(G90,Capacity!$A$3:$F$532,6,), "0")</f>
        <v>0</v>
      </c>
      <c r="K90" t="str">
        <f>IFERROR(VLOOKUP(J90,Capacity!$A$3:$D$532,4,), "0")</f>
        <v>0</v>
      </c>
      <c r="L90" s="4" t="str">
        <f>IFERROR(VLOOKUP(J90,Capacity!$A$3:$F$532,6,), "0")</f>
        <v>0</v>
      </c>
      <c r="M90" s="5">
        <f t="shared" si="9"/>
        <v>0</v>
      </c>
      <c r="N90" s="5">
        <f t="shared" si="10"/>
        <v>0</v>
      </c>
      <c r="O90">
        <v>195</v>
      </c>
      <c r="P90">
        <f>IFERROR(VLOOKUP(O90,Capacity!$A$3:$D$532,4,), "0")</f>
        <v>20.734511160000007</v>
      </c>
      <c r="Q90" s="4">
        <f>IFERROR(VLOOKUP(O90,Capacity!$A$3:$F$532,6,), "0")</f>
        <v>0.2</v>
      </c>
      <c r="R90" s="5">
        <f t="shared" si="11"/>
        <v>20.734511160000007</v>
      </c>
      <c r="S90" s="5">
        <f t="shared" si="15"/>
        <v>0.2</v>
      </c>
      <c r="U90">
        <v>464</v>
      </c>
      <c r="V90">
        <v>0</v>
      </c>
      <c r="W90">
        <v>0</v>
      </c>
      <c r="X90">
        <v>1</v>
      </c>
      <c r="AB90">
        <f t="shared" si="12"/>
        <v>0</v>
      </c>
      <c r="AC90">
        <f t="shared" si="13"/>
        <v>0</v>
      </c>
      <c r="AD90">
        <f t="shared" si="14"/>
        <v>0</v>
      </c>
      <c r="AE90">
        <f t="shared" si="16"/>
        <v>0</v>
      </c>
      <c r="AG90">
        <f t="shared" si="17"/>
        <v>0</v>
      </c>
    </row>
    <row r="91" spans="1:33" x14ac:dyDescent="0.25">
      <c r="A91">
        <v>216</v>
      </c>
      <c r="B91">
        <f>IFERROR(VLOOKUP(A91,Capacity!$A$3:$D$532,4,), "0")</f>
        <v>14.451325960000002</v>
      </c>
      <c r="C91" s="4">
        <f>IFERROR(VLOOKUP(A91,Capacity!$A$3:$F$532,6,), "0")</f>
        <v>0.2</v>
      </c>
      <c r="D91">
        <v>471</v>
      </c>
      <c r="E91">
        <f>IFERROR(VLOOKUP(D91,Capacity!$A$3:$D$532,4,), "0")</f>
        <v>22.705860516499996</v>
      </c>
      <c r="F91" s="4">
        <f>IFERROR(VLOOKUP(D91,Capacity!$A$3:$F$532,6,), "0")</f>
        <v>0.17499999999999999</v>
      </c>
      <c r="G91">
        <v>275</v>
      </c>
      <c r="H91">
        <f>IFERROR(VLOOKUP(G91,Capacity!$A$3:$D$532,4,), "0")</f>
        <v>28.863382012499997</v>
      </c>
      <c r="I91" s="4">
        <f>IFERROR(VLOOKUP(G91,Capacity!$A$3:$F$532,6,), "0")</f>
        <v>0.17499999999999999</v>
      </c>
      <c r="J91">
        <v>215</v>
      </c>
      <c r="K91">
        <f>IFERROR(VLOOKUP(J91,Capacity!$A$3:$D$532,4,), "0")</f>
        <v>6.2831852000000019</v>
      </c>
      <c r="L91" s="4">
        <f>IFERROR(VLOOKUP(J91,Capacity!$A$3:$F$532,6,), "0")</f>
        <v>0.2</v>
      </c>
      <c r="M91" s="5">
        <f t="shared" si="9"/>
        <v>57.852427728999999</v>
      </c>
      <c r="N91" s="5">
        <f t="shared" si="10"/>
        <v>0.55000000000000004</v>
      </c>
      <c r="O91">
        <v>195</v>
      </c>
      <c r="P91">
        <f>IFERROR(VLOOKUP(O91,Capacity!$A$3:$D$532,4,), "0")</f>
        <v>20.734511160000007</v>
      </c>
      <c r="Q91" s="4">
        <f>IFERROR(VLOOKUP(O91,Capacity!$A$3:$F$532,6,), "0")</f>
        <v>0.2</v>
      </c>
      <c r="R91" s="5">
        <f t="shared" si="11"/>
        <v>20.734511160000007</v>
      </c>
      <c r="S91" s="5">
        <f t="shared" si="15"/>
        <v>0.2</v>
      </c>
      <c r="U91">
        <v>216</v>
      </c>
      <c r="V91">
        <v>3</v>
      </c>
      <c r="W91">
        <v>3</v>
      </c>
      <c r="X91">
        <v>1</v>
      </c>
      <c r="AB91">
        <f t="shared" si="12"/>
        <v>2.7901515151515142</v>
      </c>
      <c r="AC91">
        <f t="shared" si="13"/>
        <v>4.0032608695652172</v>
      </c>
      <c r="AD91">
        <f t="shared" si="14"/>
        <v>2.75</v>
      </c>
      <c r="AE91">
        <f t="shared" si="16"/>
        <v>2.75</v>
      </c>
      <c r="AG91">
        <f t="shared" si="17"/>
        <v>1.6441964285714281</v>
      </c>
    </row>
    <row r="92" spans="1:33" x14ac:dyDescent="0.25">
      <c r="A92">
        <v>126</v>
      </c>
      <c r="B92">
        <f>IFERROR(VLOOKUP(A92,Capacity!$A$3:$D$532,4,), "0")</f>
        <v>12.507465538749999</v>
      </c>
      <c r="C92" s="4">
        <f>IFERROR(VLOOKUP(A92,Capacity!$A$3:$F$532,6,), "0")</f>
        <v>0.17499999999999999</v>
      </c>
      <c r="D92">
        <v>125</v>
      </c>
      <c r="E92">
        <f>IFERROR(VLOOKUP(D92,Capacity!$A$3:$D$532,4,), "0")</f>
        <v>21.647536509374998</v>
      </c>
      <c r="F92" s="4">
        <f>IFERROR(VLOOKUP(D92,Capacity!$A$3:$F$532,6,), "0")</f>
        <v>0.17499999999999999</v>
      </c>
      <c r="H92" t="str">
        <f>IFERROR(VLOOKUP(G92,Capacity!$A$3:$D$532,4,), "0")</f>
        <v>0</v>
      </c>
      <c r="I92" s="4" t="str">
        <f>IFERROR(VLOOKUP(G92,Capacity!$A$3:$F$532,6,), "0")</f>
        <v>0</v>
      </c>
      <c r="K92" t="str">
        <f>IFERROR(VLOOKUP(J92,Capacity!$A$3:$D$532,4,), "0")</f>
        <v>0</v>
      </c>
      <c r="L92" s="4" t="str">
        <f>IFERROR(VLOOKUP(J92,Capacity!$A$3:$F$532,6,), "0")</f>
        <v>0</v>
      </c>
      <c r="M92" s="5">
        <f t="shared" si="9"/>
        <v>21.647536509374998</v>
      </c>
      <c r="N92" s="5">
        <f t="shared" si="10"/>
        <v>0.17499999999999999</v>
      </c>
      <c r="O92">
        <v>127</v>
      </c>
      <c r="P92">
        <f>IFERROR(VLOOKUP(O92,Capacity!$A$3:$D$532,4,), "0")</f>
        <v>45.238933439999997</v>
      </c>
      <c r="Q92" s="4">
        <f>IFERROR(VLOOKUP(O92,Capacity!$A$3:$F$532,6,), "0")</f>
        <v>0.3</v>
      </c>
      <c r="R92" s="5">
        <f t="shared" si="11"/>
        <v>45.238933439999997</v>
      </c>
      <c r="S92" s="5">
        <f t="shared" si="15"/>
        <v>0.3</v>
      </c>
      <c r="U92">
        <v>126</v>
      </c>
      <c r="V92">
        <v>1</v>
      </c>
      <c r="W92">
        <v>1</v>
      </c>
      <c r="X92">
        <v>1</v>
      </c>
      <c r="AB92">
        <f t="shared" si="12"/>
        <v>0.478515625</v>
      </c>
      <c r="AC92">
        <f t="shared" si="13"/>
        <v>1.7307692307692306</v>
      </c>
      <c r="AD92">
        <f t="shared" si="14"/>
        <v>0.58333333333333337</v>
      </c>
      <c r="AE92">
        <f t="shared" si="16"/>
        <v>1</v>
      </c>
      <c r="AG92">
        <f t="shared" si="17"/>
        <v>0.37487249234954095</v>
      </c>
    </row>
    <row r="93" spans="1:33" x14ac:dyDescent="0.25">
      <c r="A93">
        <v>120</v>
      </c>
      <c r="B93">
        <f>IFERROR(VLOOKUP(A93,Capacity!$A$3:$D$532,4,), "0")</f>
        <v>10.681414840000002</v>
      </c>
      <c r="C93" s="4">
        <f>IFERROR(VLOOKUP(A93,Capacity!$A$3:$F$532,6,), "0")</f>
        <v>0.2</v>
      </c>
      <c r="D93">
        <v>121</v>
      </c>
      <c r="E93">
        <f>IFERROR(VLOOKUP(D93,Capacity!$A$3:$D$532,4,), "0")</f>
        <v>309.25052156250001</v>
      </c>
      <c r="F93" s="4">
        <f>IFERROR(VLOOKUP(D93,Capacity!$A$3:$F$532,6,), "0")</f>
        <v>0.75</v>
      </c>
      <c r="G93">
        <v>119</v>
      </c>
      <c r="H93">
        <f>IFERROR(VLOOKUP(G93,Capacity!$A$3:$D$532,4,), "0")</f>
        <v>361.28314899999998</v>
      </c>
      <c r="I93" s="4">
        <f>IFERROR(VLOOKUP(G93,Capacity!$A$3:$F$532,6,), "0")</f>
        <v>1</v>
      </c>
      <c r="K93" t="str">
        <f>IFERROR(VLOOKUP(J93,Capacity!$A$3:$D$532,4,), "0")</f>
        <v>0</v>
      </c>
      <c r="L93" s="4" t="str">
        <f>IFERROR(VLOOKUP(J93,Capacity!$A$3:$F$532,6,), "0")</f>
        <v>0</v>
      </c>
      <c r="M93" s="5">
        <f t="shared" si="9"/>
        <v>670.53367056249999</v>
      </c>
      <c r="N93" s="5">
        <f t="shared" si="10"/>
        <v>1.75</v>
      </c>
      <c r="O93">
        <v>127</v>
      </c>
      <c r="P93">
        <f>IFERROR(VLOOKUP(O93,Capacity!$A$3:$D$532,4,), "0")</f>
        <v>45.238933439999997</v>
      </c>
      <c r="Q93" s="4">
        <f>IFERROR(VLOOKUP(O93,Capacity!$A$3:$F$532,6,), "0")</f>
        <v>0.3</v>
      </c>
      <c r="R93" s="5">
        <f t="shared" si="11"/>
        <v>45.238933439999997</v>
      </c>
      <c r="S93" s="5">
        <f t="shared" si="15"/>
        <v>0.3</v>
      </c>
      <c r="U93">
        <v>120</v>
      </c>
      <c r="V93">
        <v>2</v>
      </c>
      <c r="W93">
        <v>2</v>
      </c>
      <c r="X93">
        <v>1</v>
      </c>
      <c r="AB93">
        <f t="shared" si="12"/>
        <v>14.822048611111112</v>
      </c>
      <c r="AC93">
        <f t="shared" si="13"/>
        <v>62.775735294117631</v>
      </c>
      <c r="AD93">
        <f t="shared" si="14"/>
        <v>5.8333333333333339</v>
      </c>
      <c r="AE93">
        <f t="shared" si="16"/>
        <v>8.75</v>
      </c>
      <c r="AG93">
        <f t="shared" si="17"/>
        <v>11.990870786516854</v>
      </c>
    </row>
    <row r="94" spans="1:33" x14ac:dyDescent="0.25">
      <c r="A94">
        <v>439</v>
      </c>
      <c r="B94">
        <f>IFERROR(VLOOKUP(A94,Capacity!$A$3:$D$532,4,), "0")</f>
        <v>15.393803739999997</v>
      </c>
      <c r="C94" s="4">
        <f>IFERROR(VLOOKUP(A94,Capacity!$A$3:$F$532,6,), "0")</f>
        <v>0.17499999999999999</v>
      </c>
      <c r="E94" t="str">
        <f>IFERROR(VLOOKUP(D94,Capacity!$A$3:$D$532,4,), "0")</f>
        <v>0</v>
      </c>
      <c r="F94" s="4" t="str">
        <f>IFERROR(VLOOKUP(D94,Capacity!$A$3:$F$532,6,), "0")</f>
        <v>0</v>
      </c>
      <c r="H94" t="str">
        <f>IFERROR(VLOOKUP(G94,Capacity!$A$3:$D$532,4,), "0")</f>
        <v>0</v>
      </c>
      <c r="I94" s="4" t="str">
        <f>IFERROR(VLOOKUP(G94,Capacity!$A$3:$F$532,6,), "0")</f>
        <v>0</v>
      </c>
      <c r="K94" t="str">
        <f>IFERROR(VLOOKUP(J94,Capacity!$A$3:$D$532,4,), "0")</f>
        <v>0</v>
      </c>
      <c r="L94" s="4" t="str">
        <f>IFERROR(VLOOKUP(J94,Capacity!$A$3:$F$532,6,), "0")</f>
        <v>0</v>
      </c>
      <c r="M94" s="5">
        <f t="shared" si="9"/>
        <v>0</v>
      </c>
      <c r="N94" s="5">
        <f t="shared" si="10"/>
        <v>0</v>
      </c>
      <c r="O94">
        <v>129</v>
      </c>
      <c r="P94">
        <f>IFERROR(VLOOKUP(O94,Capacity!$A$3:$D$532,4,), "0")</f>
        <v>15.393803739999997</v>
      </c>
      <c r="Q94" s="4">
        <f>IFERROR(VLOOKUP(O94,Capacity!$A$3:$F$532,6,), "0")</f>
        <v>0.17499999999999999</v>
      </c>
      <c r="R94" s="5">
        <f t="shared" si="11"/>
        <v>15.393803739999997</v>
      </c>
      <c r="S94" s="5">
        <f t="shared" si="15"/>
        <v>0.17499999999999999</v>
      </c>
      <c r="U94">
        <v>439</v>
      </c>
      <c r="V94">
        <v>0</v>
      </c>
      <c r="W94">
        <v>0</v>
      </c>
      <c r="X94">
        <v>1</v>
      </c>
      <c r="AB94">
        <f t="shared" si="12"/>
        <v>0</v>
      </c>
      <c r="AC94">
        <f t="shared" si="13"/>
        <v>0</v>
      </c>
      <c r="AD94">
        <f t="shared" si="14"/>
        <v>0</v>
      </c>
      <c r="AE94">
        <f t="shared" si="16"/>
        <v>0</v>
      </c>
      <c r="AG94">
        <f t="shared" si="17"/>
        <v>0</v>
      </c>
    </row>
    <row r="95" spans="1:33" x14ac:dyDescent="0.25">
      <c r="A95">
        <v>131</v>
      </c>
      <c r="B95">
        <f>IFERROR(VLOOKUP(A95,Capacity!$A$3:$D$532,4,), "0")</f>
        <v>22.128592876249996</v>
      </c>
      <c r="C95" s="4">
        <f>IFERROR(VLOOKUP(A95,Capacity!$A$3:$F$532,6,), "0")</f>
        <v>0.17499999999999999</v>
      </c>
      <c r="E95" t="str">
        <f>IFERROR(VLOOKUP(D95,Capacity!$A$3:$D$532,4,), "0")</f>
        <v>0</v>
      </c>
      <c r="F95" s="4" t="str">
        <f>IFERROR(VLOOKUP(D95,Capacity!$A$3:$F$532,6,), "0")</f>
        <v>0</v>
      </c>
      <c r="H95" t="str">
        <f>IFERROR(VLOOKUP(G95,Capacity!$A$3:$D$532,4,), "0")</f>
        <v>0</v>
      </c>
      <c r="I95" s="4" t="str">
        <f>IFERROR(VLOOKUP(G95,Capacity!$A$3:$F$532,6,), "0")</f>
        <v>0</v>
      </c>
      <c r="K95" t="str">
        <f>IFERROR(VLOOKUP(J95,Capacity!$A$3:$D$532,4,), "0")</f>
        <v>0</v>
      </c>
      <c r="L95" s="4" t="str">
        <f>IFERROR(VLOOKUP(J95,Capacity!$A$3:$F$532,6,), "0")</f>
        <v>0</v>
      </c>
      <c r="M95" s="5">
        <f t="shared" si="9"/>
        <v>0</v>
      </c>
      <c r="N95" s="5">
        <f t="shared" si="10"/>
        <v>0</v>
      </c>
      <c r="O95">
        <v>129</v>
      </c>
      <c r="P95">
        <f>IFERROR(VLOOKUP(O95,Capacity!$A$3:$D$532,4,), "0")</f>
        <v>15.393803739999997</v>
      </c>
      <c r="Q95" s="4">
        <f>IFERROR(VLOOKUP(O95,Capacity!$A$3:$F$532,6,), "0")</f>
        <v>0.17499999999999999</v>
      </c>
      <c r="R95" s="5">
        <f t="shared" si="11"/>
        <v>15.393803739999997</v>
      </c>
      <c r="S95" s="5">
        <f t="shared" si="15"/>
        <v>0.17499999999999999</v>
      </c>
      <c r="U95">
        <v>131</v>
      </c>
      <c r="V95">
        <v>0</v>
      </c>
      <c r="W95">
        <v>0</v>
      </c>
      <c r="X95">
        <v>1</v>
      </c>
      <c r="AB95">
        <f t="shared" si="12"/>
        <v>0</v>
      </c>
      <c r="AC95">
        <f t="shared" si="13"/>
        <v>0</v>
      </c>
      <c r="AD95">
        <f t="shared" si="14"/>
        <v>0</v>
      </c>
      <c r="AE95">
        <f t="shared" si="16"/>
        <v>0</v>
      </c>
      <c r="AG95">
        <f t="shared" si="17"/>
        <v>0</v>
      </c>
    </row>
    <row r="96" spans="1:33" x14ac:dyDescent="0.25">
      <c r="A96">
        <v>132</v>
      </c>
      <c r="B96">
        <f>IFERROR(VLOOKUP(A96,Capacity!$A$3:$D$532,4,), "0")</f>
        <v>175.30086708000002</v>
      </c>
      <c r="C96" s="4">
        <f>IFERROR(VLOOKUP(A96,Capacity!$A$3:$F$532,6,), "0")</f>
        <v>0.6</v>
      </c>
      <c r="D96">
        <v>442</v>
      </c>
      <c r="E96">
        <f>IFERROR(VLOOKUP(D96,Capacity!$A$3:$D$532,4,), "0")</f>
        <v>7.6969018699999987</v>
      </c>
      <c r="F96" s="4">
        <f>IFERROR(VLOOKUP(D96,Capacity!$A$3:$F$532,6,), "0")</f>
        <v>0.17499999999999999</v>
      </c>
      <c r="G96">
        <v>130</v>
      </c>
      <c r="H96">
        <f>IFERROR(VLOOKUP(G96,Capacity!$A$3:$D$532,4,), "0")</f>
        <v>133.5176855</v>
      </c>
      <c r="I96" s="4">
        <f>IFERROR(VLOOKUP(G96,Capacity!$A$3:$F$532,6,), "0")</f>
        <v>0.5</v>
      </c>
      <c r="J96">
        <v>93</v>
      </c>
      <c r="K96">
        <f>IFERROR(VLOOKUP(J96,Capacity!$A$3:$D$532,4,), "0")</f>
        <v>25.132740800000008</v>
      </c>
      <c r="L96" s="4">
        <f>IFERROR(VLOOKUP(J96,Capacity!$A$3:$F$532,6,), "0")</f>
        <v>0.2</v>
      </c>
      <c r="M96" s="5">
        <f t="shared" si="9"/>
        <v>166.34732817000003</v>
      </c>
      <c r="N96" s="5">
        <f t="shared" si="10"/>
        <v>0.875</v>
      </c>
      <c r="O96">
        <v>133</v>
      </c>
      <c r="P96">
        <f>IFERROR(VLOOKUP(O96,Capacity!$A$3:$D$532,4,), "0")</f>
        <v>273.90760481250004</v>
      </c>
      <c r="Q96" s="4">
        <f>IFERROR(VLOOKUP(O96,Capacity!$A$3:$F$532,6,), "0")</f>
        <v>0.75</v>
      </c>
      <c r="R96" s="5">
        <f t="shared" si="11"/>
        <v>273.90760481250004</v>
      </c>
      <c r="S96" s="5">
        <f t="shared" si="15"/>
        <v>0.75</v>
      </c>
      <c r="U96">
        <v>132</v>
      </c>
      <c r="V96">
        <v>4</v>
      </c>
      <c r="W96">
        <v>4</v>
      </c>
      <c r="X96">
        <v>1</v>
      </c>
      <c r="AB96">
        <f t="shared" si="12"/>
        <v>0.60731182795698924</v>
      </c>
      <c r="AC96">
        <f t="shared" si="13"/>
        <v>0.94892473118279574</v>
      </c>
      <c r="AD96">
        <f t="shared" si="14"/>
        <v>1.1666666666666667</v>
      </c>
      <c r="AE96">
        <f t="shared" si="16"/>
        <v>1.4583333333333335</v>
      </c>
      <c r="AG96">
        <f t="shared" si="17"/>
        <v>0.37031209021767642</v>
      </c>
    </row>
    <row r="97" spans="1:33" x14ac:dyDescent="0.25">
      <c r="A97">
        <v>443</v>
      </c>
      <c r="B97">
        <f>IFERROR(VLOOKUP(A97,Capacity!$A$3:$D$532,4,), "0")</f>
        <v>7.6969018699999987</v>
      </c>
      <c r="C97" s="4">
        <f>IFERROR(VLOOKUP(A97,Capacity!$A$3:$F$532,6,), "0")</f>
        <v>0.17499999999999999</v>
      </c>
      <c r="E97" t="str">
        <f>IFERROR(VLOOKUP(D97,Capacity!$A$3:$D$532,4,), "0")</f>
        <v>0</v>
      </c>
      <c r="F97" s="4" t="str">
        <f>IFERROR(VLOOKUP(D97,Capacity!$A$3:$F$532,6,), "0")</f>
        <v>0</v>
      </c>
      <c r="H97" t="str">
        <f>IFERROR(VLOOKUP(G97,Capacity!$A$3:$D$532,4,), "0")</f>
        <v>0</v>
      </c>
      <c r="I97" s="4" t="str">
        <f>IFERROR(VLOOKUP(G97,Capacity!$A$3:$F$532,6,), "0")</f>
        <v>0</v>
      </c>
      <c r="K97" t="str">
        <f>IFERROR(VLOOKUP(J97,Capacity!$A$3:$D$532,4,), "0")</f>
        <v>0</v>
      </c>
      <c r="L97" s="4" t="str">
        <f>IFERROR(VLOOKUP(J97,Capacity!$A$3:$F$532,6,), "0")</f>
        <v>0</v>
      </c>
      <c r="M97" s="5">
        <f t="shared" si="9"/>
        <v>0</v>
      </c>
      <c r="N97" s="5">
        <f t="shared" si="10"/>
        <v>0</v>
      </c>
      <c r="O97">
        <v>140</v>
      </c>
      <c r="P97">
        <f>IFERROR(VLOOKUP(O97,Capacity!$A$3:$D$532,4,), "0")</f>
        <v>45.238933439999997</v>
      </c>
      <c r="Q97" s="4">
        <f>IFERROR(VLOOKUP(O97,Capacity!$A$3:$F$532,6,), "0")</f>
        <v>0.3</v>
      </c>
      <c r="R97" s="5">
        <f t="shared" si="11"/>
        <v>45.238933439999997</v>
      </c>
      <c r="S97" s="5">
        <f t="shared" si="15"/>
        <v>0.3</v>
      </c>
      <c r="U97">
        <v>443</v>
      </c>
      <c r="V97">
        <v>0</v>
      </c>
      <c r="W97">
        <v>0</v>
      </c>
      <c r="X97">
        <v>1</v>
      </c>
      <c r="AB97">
        <f t="shared" si="12"/>
        <v>0</v>
      </c>
      <c r="AC97">
        <f t="shared" si="13"/>
        <v>0</v>
      </c>
      <c r="AD97">
        <f t="shared" si="14"/>
        <v>0</v>
      </c>
      <c r="AE97">
        <f t="shared" si="16"/>
        <v>0</v>
      </c>
      <c r="AG97">
        <f t="shared" si="17"/>
        <v>0</v>
      </c>
    </row>
    <row r="98" spans="1:33" x14ac:dyDescent="0.25">
      <c r="A98">
        <v>92</v>
      </c>
      <c r="B98">
        <f>IFERROR(VLOOKUP(A98,Capacity!$A$3:$D$532,4,), "0")</f>
        <v>48.536034873700011</v>
      </c>
      <c r="C98" s="4">
        <f>IFERROR(VLOOKUP(A98,Capacity!$A$3:$F$532,6,), "0")</f>
        <v>0.26500000000000001</v>
      </c>
      <c r="D98">
        <v>423</v>
      </c>
      <c r="E98">
        <f>IFERROR(VLOOKUP(D98,Capacity!$A$3:$D$532,4,), "0")</f>
        <v>7.6969018699999987</v>
      </c>
      <c r="F98" s="4">
        <f>IFERROR(VLOOKUP(D98,Capacity!$A$3:$F$532,6,), "0")</f>
        <v>0.17499999999999999</v>
      </c>
      <c r="G98">
        <v>52</v>
      </c>
      <c r="H98">
        <f>IFERROR(VLOOKUP(G98,Capacity!$A$3:$D$532,4,), "0")</f>
        <v>49.639126575375009</v>
      </c>
      <c r="I98" s="4">
        <f>IFERROR(VLOOKUP(G98,Capacity!$A$3:$F$532,6,), "0")</f>
        <v>0.26500000000000001</v>
      </c>
      <c r="K98" t="str">
        <f>IFERROR(VLOOKUP(J98,Capacity!$A$3:$D$532,4,), "0")</f>
        <v>0</v>
      </c>
      <c r="L98" s="4" t="str">
        <f>IFERROR(VLOOKUP(J98,Capacity!$A$3:$F$532,6,), "0")</f>
        <v>0</v>
      </c>
      <c r="M98" s="5">
        <f t="shared" si="9"/>
        <v>57.336028445375007</v>
      </c>
      <c r="N98" s="5">
        <f t="shared" si="10"/>
        <v>0.44</v>
      </c>
      <c r="O98">
        <v>140</v>
      </c>
      <c r="P98">
        <f>IFERROR(VLOOKUP(O98,Capacity!$A$3:$D$532,4,), "0")</f>
        <v>45.238933439999997</v>
      </c>
      <c r="Q98" s="4">
        <f>IFERROR(VLOOKUP(O98,Capacity!$A$3:$F$532,6,), "0")</f>
        <v>0.3</v>
      </c>
      <c r="R98" s="5">
        <f t="shared" si="11"/>
        <v>45.238933439999997</v>
      </c>
      <c r="S98" s="5">
        <f t="shared" si="15"/>
        <v>0.3</v>
      </c>
      <c r="U98">
        <v>92</v>
      </c>
      <c r="V98">
        <v>3</v>
      </c>
      <c r="W98">
        <v>3</v>
      </c>
      <c r="X98">
        <v>1</v>
      </c>
      <c r="AB98">
        <f t="shared" si="12"/>
        <v>1.2674045138888892</v>
      </c>
      <c r="AC98">
        <f t="shared" si="13"/>
        <v>1.1813084565843555</v>
      </c>
      <c r="AD98">
        <f t="shared" si="14"/>
        <v>1.4666666666666668</v>
      </c>
      <c r="AE98">
        <f t="shared" si="16"/>
        <v>1.6603773584905659</v>
      </c>
      <c r="AG98">
        <f t="shared" si="17"/>
        <v>0.61142146434613642</v>
      </c>
    </row>
    <row r="99" spans="1:33" x14ac:dyDescent="0.25">
      <c r="A99">
        <v>422</v>
      </c>
      <c r="B99">
        <f>IFERROR(VLOOKUP(A99,Capacity!$A$3:$D$532,4,), "0")</f>
        <v>7.6969018699999987</v>
      </c>
      <c r="C99" s="4">
        <f>IFERROR(VLOOKUP(A99,Capacity!$A$3:$F$532,6,), "0")</f>
        <v>0.17499999999999999</v>
      </c>
      <c r="E99" t="str">
        <f>IFERROR(VLOOKUP(D99,Capacity!$A$3:$D$532,4,), "0")</f>
        <v>0</v>
      </c>
      <c r="F99" s="4" t="str">
        <f>IFERROR(VLOOKUP(D99,Capacity!$A$3:$F$532,6,), "0")</f>
        <v>0</v>
      </c>
      <c r="H99" t="str">
        <f>IFERROR(VLOOKUP(G99,Capacity!$A$3:$D$532,4,), "0")</f>
        <v>0</v>
      </c>
      <c r="I99" s="4" t="str">
        <f>IFERROR(VLOOKUP(G99,Capacity!$A$3:$F$532,6,), "0")</f>
        <v>0</v>
      </c>
      <c r="K99" t="str">
        <f>IFERROR(VLOOKUP(J99,Capacity!$A$3:$D$532,4,), "0")</f>
        <v>0</v>
      </c>
      <c r="L99" s="4" t="str">
        <f>IFERROR(VLOOKUP(J99,Capacity!$A$3:$F$532,6,), "0")</f>
        <v>0</v>
      </c>
      <c r="M99" s="5">
        <f t="shared" si="9"/>
        <v>0</v>
      </c>
      <c r="N99" s="5">
        <f t="shared" si="10"/>
        <v>0</v>
      </c>
      <c r="O99">
        <v>91</v>
      </c>
      <c r="P99">
        <f>IFERROR(VLOOKUP(O99,Capacity!$A$3:$D$532,4,), "0")</f>
        <v>21.166480142499999</v>
      </c>
      <c r="Q99" s="4">
        <f>IFERROR(VLOOKUP(O99,Capacity!$A$3:$F$532,6,), "0")</f>
        <v>0.17499999999999999</v>
      </c>
      <c r="R99" s="5">
        <f t="shared" si="11"/>
        <v>21.166480142499999</v>
      </c>
      <c r="S99" s="5">
        <f t="shared" si="15"/>
        <v>0.17499999999999999</v>
      </c>
      <c r="U99">
        <v>422</v>
      </c>
      <c r="V99">
        <v>0</v>
      </c>
      <c r="W99">
        <v>0</v>
      </c>
      <c r="X99">
        <v>1</v>
      </c>
      <c r="AB99">
        <f t="shared" si="12"/>
        <v>0</v>
      </c>
      <c r="AC99">
        <f t="shared" si="13"/>
        <v>0</v>
      </c>
      <c r="AD99">
        <f t="shared" si="14"/>
        <v>0</v>
      </c>
      <c r="AE99">
        <f t="shared" si="16"/>
        <v>0</v>
      </c>
      <c r="AG99">
        <f t="shared" si="17"/>
        <v>0</v>
      </c>
    </row>
    <row r="100" spans="1:33" x14ac:dyDescent="0.25">
      <c r="A100">
        <v>51</v>
      </c>
      <c r="B100">
        <f>IFERROR(VLOOKUP(A100,Capacity!$A$3:$D$532,4,), "0")</f>
        <v>21.647536509374998</v>
      </c>
      <c r="C100" s="4">
        <f>IFERROR(VLOOKUP(A100,Capacity!$A$3:$F$532,6,), "0")</f>
        <v>0.17499999999999999</v>
      </c>
      <c r="D100">
        <v>377</v>
      </c>
      <c r="E100">
        <f>IFERROR(VLOOKUP(D100,Capacity!$A$3:$D$532,4,), "0")</f>
        <v>7.6969018699999987</v>
      </c>
      <c r="F100" s="4">
        <f>IFERROR(VLOOKUP(D100,Capacity!$A$3:$F$532,6,), "0")</f>
        <v>0.17499999999999999</v>
      </c>
      <c r="G100">
        <v>363</v>
      </c>
      <c r="H100">
        <f>IFERROR(VLOOKUP(G100,Capacity!$A$3:$D$532,4,), "0")</f>
        <v>24.052818343749998</v>
      </c>
      <c r="I100" s="4">
        <f>IFERROR(VLOOKUP(G100,Capacity!$A$3:$F$532,6,), "0")</f>
        <v>0.17499999999999999</v>
      </c>
      <c r="K100" t="str">
        <f>IFERROR(VLOOKUP(J100,Capacity!$A$3:$D$532,4,), "0")</f>
        <v>0</v>
      </c>
      <c r="L100" s="4" t="str">
        <f>IFERROR(VLOOKUP(J100,Capacity!$A$3:$F$532,6,), "0")</f>
        <v>0</v>
      </c>
      <c r="M100" s="5">
        <f t="shared" si="9"/>
        <v>31.749720213749995</v>
      </c>
      <c r="N100" s="5">
        <f t="shared" si="10"/>
        <v>0.35</v>
      </c>
      <c r="O100">
        <v>91</v>
      </c>
      <c r="P100">
        <f>IFERROR(VLOOKUP(O100,Capacity!$A$3:$D$532,4,), "0")</f>
        <v>21.166480142499999</v>
      </c>
      <c r="Q100" s="4">
        <f>IFERROR(VLOOKUP(O100,Capacity!$A$3:$F$532,6,), "0")</f>
        <v>0.17499999999999999</v>
      </c>
      <c r="R100" s="5">
        <f t="shared" si="11"/>
        <v>21.166480142499999</v>
      </c>
      <c r="S100" s="5">
        <f t="shared" si="15"/>
        <v>0.17499999999999999</v>
      </c>
      <c r="U100">
        <v>51</v>
      </c>
      <c r="V100">
        <v>3</v>
      </c>
      <c r="W100">
        <v>3</v>
      </c>
      <c r="X100">
        <v>1</v>
      </c>
      <c r="AB100">
        <f t="shared" si="12"/>
        <v>1.4999999999999998</v>
      </c>
      <c r="AC100">
        <f t="shared" si="13"/>
        <v>1.4666666666666666</v>
      </c>
      <c r="AD100">
        <f t="shared" si="14"/>
        <v>2</v>
      </c>
      <c r="AE100">
        <f t="shared" si="16"/>
        <v>2</v>
      </c>
      <c r="AG100">
        <f t="shared" si="17"/>
        <v>0.7415730337078652</v>
      </c>
    </row>
    <row r="101" spans="1:33" x14ac:dyDescent="0.25">
      <c r="A101">
        <v>376</v>
      </c>
      <c r="B101">
        <f>IFERROR(VLOOKUP(A101,Capacity!$A$3:$D$532,4,), "0")</f>
        <v>7.6969018699999987</v>
      </c>
      <c r="C101" s="4">
        <f>IFERROR(VLOOKUP(A101,Capacity!$A$3:$F$532,6,), "0")</f>
        <v>0.17499999999999999</v>
      </c>
      <c r="E101" t="str">
        <f>IFERROR(VLOOKUP(D101,Capacity!$A$3:$D$532,4,), "0")</f>
        <v>0</v>
      </c>
      <c r="F101" s="4" t="str">
        <f>IFERROR(VLOOKUP(D101,Capacity!$A$3:$F$532,6,), "0")</f>
        <v>0</v>
      </c>
      <c r="H101" t="str">
        <f>IFERROR(VLOOKUP(G101,Capacity!$A$3:$D$532,4,), "0")</f>
        <v>0</v>
      </c>
      <c r="I101" s="4" t="str">
        <f>IFERROR(VLOOKUP(G101,Capacity!$A$3:$F$532,6,), "0")</f>
        <v>0</v>
      </c>
      <c r="K101" t="str">
        <f>IFERROR(VLOOKUP(J101,Capacity!$A$3:$D$532,4,), "0")</f>
        <v>0</v>
      </c>
      <c r="L101" s="4" t="str">
        <f>IFERROR(VLOOKUP(J101,Capacity!$A$3:$F$532,6,), "0")</f>
        <v>0</v>
      </c>
      <c r="M101" s="5">
        <f t="shared" si="9"/>
        <v>0</v>
      </c>
      <c r="N101" s="5">
        <f t="shared" si="10"/>
        <v>0</v>
      </c>
      <c r="O101">
        <v>50</v>
      </c>
      <c r="P101">
        <f>IFERROR(VLOOKUP(O101,Capacity!$A$3:$D$532,4,), "0")</f>
        <v>28.274333400000007</v>
      </c>
      <c r="Q101" s="4">
        <f>IFERROR(VLOOKUP(O101,Capacity!$A$3:$F$532,6,), "0")</f>
        <v>0.2</v>
      </c>
      <c r="R101" s="5">
        <f t="shared" si="11"/>
        <v>28.274333400000007</v>
      </c>
      <c r="S101" s="5">
        <f t="shared" si="15"/>
        <v>0.2</v>
      </c>
      <c r="U101">
        <v>376</v>
      </c>
      <c r="V101">
        <v>0</v>
      </c>
      <c r="W101">
        <v>0</v>
      </c>
      <c r="X101">
        <v>1</v>
      </c>
      <c r="AB101">
        <f t="shared" si="12"/>
        <v>0</v>
      </c>
      <c r="AC101">
        <f t="shared" si="13"/>
        <v>0</v>
      </c>
      <c r="AD101">
        <f t="shared" si="14"/>
        <v>0</v>
      </c>
      <c r="AE101">
        <f t="shared" si="16"/>
        <v>0</v>
      </c>
      <c r="AG101">
        <f t="shared" si="17"/>
        <v>0</v>
      </c>
    </row>
    <row r="102" spans="1:33" x14ac:dyDescent="0.25">
      <c r="A102">
        <v>21</v>
      </c>
      <c r="B102">
        <f>IFERROR(VLOOKUP(A102,Capacity!$A$3:$D$532,4,), "0")</f>
        <v>31.415926000000006</v>
      </c>
      <c r="C102" s="4">
        <f>IFERROR(VLOOKUP(A102,Capacity!$A$3:$F$532,6,), "0")</f>
        <v>0.2</v>
      </c>
      <c r="D102">
        <v>20</v>
      </c>
      <c r="E102">
        <f>IFERROR(VLOOKUP(D102,Capacity!$A$3:$D$532,4,), "0")</f>
        <v>3.8484509349999994</v>
      </c>
      <c r="F102" s="4">
        <f>IFERROR(VLOOKUP(D102,Capacity!$A$3:$F$532,6,), "0")</f>
        <v>0.17499999999999999</v>
      </c>
      <c r="G102">
        <v>3</v>
      </c>
      <c r="H102">
        <f>IFERROR(VLOOKUP(G102,Capacity!$A$3:$D$532,4,), "0")</f>
        <v>24.504422280000004</v>
      </c>
      <c r="I102" s="4">
        <f>IFERROR(VLOOKUP(G102,Capacity!$A$3:$F$532,6,), "0")</f>
        <v>0.2</v>
      </c>
      <c r="K102" t="str">
        <f>IFERROR(VLOOKUP(J102,Capacity!$A$3:$D$532,4,), "0")</f>
        <v>0</v>
      </c>
      <c r="L102" s="4" t="str">
        <f>IFERROR(VLOOKUP(J102,Capacity!$A$3:$F$532,6,), "0")</f>
        <v>0</v>
      </c>
      <c r="M102" s="5">
        <f t="shared" si="9"/>
        <v>28.352873215000002</v>
      </c>
      <c r="N102" s="5">
        <f t="shared" si="10"/>
        <v>0.375</v>
      </c>
      <c r="O102">
        <v>50</v>
      </c>
      <c r="P102">
        <f>IFERROR(VLOOKUP(O102,Capacity!$A$3:$D$532,4,), "0")</f>
        <v>28.274333400000007</v>
      </c>
      <c r="Q102" s="4">
        <f>IFERROR(VLOOKUP(O102,Capacity!$A$3:$F$532,6,), "0")</f>
        <v>0.2</v>
      </c>
      <c r="R102" s="5">
        <f t="shared" si="11"/>
        <v>28.274333400000007</v>
      </c>
      <c r="S102" s="5">
        <f t="shared" si="15"/>
        <v>0.2</v>
      </c>
      <c r="U102">
        <v>21</v>
      </c>
      <c r="V102">
        <v>3</v>
      </c>
      <c r="W102">
        <v>3</v>
      </c>
      <c r="X102">
        <v>1</v>
      </c>
      <c r="AB102">
        <f t="shared" si="12"/>
        <v>1.0027777777777775</v>
      </c>
      <c r="AC102">
        <f t="shared" si="13"/>
        <v>0.90249999999999986</v>
      </c>
      <c r="AD102">
        <f t="shared" si="14"/>
        <v>1.875</v>
      </c>
      <c r="AE102">
        <f t="shared" si="16"/>
        <v>1.875</v>
      </c>
      <c r="AG102">
        <f t="shared" si="17"/>
        <v>0.47499999999999992</v>
      </c>
    </row>
    <row r="103" spans="1:33" x14ac:dyDescent="0.25">
      <c r="A103">
        <v>364</v>
      </c>
      <c r="B103">
        <f>IFERROR(VLOOKUP(A103,Capacity!$A$3:$D$532,4,), "0")</f>
        <v>7.6969018699999987</v>
      </c>
      <c r="C103" s="4">
        <f>IFERROR(VLOOKUP(A103,Capacity!$A$3:$F$532,6,), "0")</f>
        <v>0.17499999999999999</v>
      </c>
      <c r="E103" t="str">
        <f>IFERROR(VLOOKUP(D103,Capacity!$A$3:$D$532,4,), "0")</f>
        <v>0</v>
      </c>
      <c r="F103" s="4" t="str">
        <f>IFERROR(VLOOKUP(D103,Capacity!$A$3:$F$532,6,), "0")</f>
        <v>0</v>
      </c>
      <c r="H103" t="str">
        <f>IFERROR(VLOOKUP(G103,Capacity!$A$3:$D$532,4,), "0")</f>
        <v>0</v>
      </c>
      <c r="I103" s="4" t="str">
        <f>IFERROR(VLOOKUP(G103,Capacity!$A$3:$F$532,6,), "0")</f>
        <v>0</v>
      </c>
      <c r="K103" t="str">
        <f>IFERROR(VLOOKUP(J103,Capacity!$A$3:$D$532,4,), "0")</f>
        <v>0</v>
      </c>
      <c r="L103" s="4" t="str">
        <f>IFERROR(VLOOKUP(J103,Capacity!$A$3:$F$532,6,), "0")</f>
        <v>0</v>
      </c>
      <c r="M103" s="5">
        <f t="shared" si="9"/>
        <v>0</v>
      </c>
      <c r="N103" s="5">
        <f t="shared" si="10"/>
        <v>0</v>
      </c>
      <c r="O103">
        <v>22</v>
      </c>
      <c r="P103">
        <f>IFERROR(VLOOKUP(O103,Capacity!$A$3:$D$532,4,), "0")</f>
        <v>24.052818343749998</v>
      </c>
      <c r="Q103" s="4">
        <f>IFERROR(VLOOKUP(O103,Capacity!$A$3:$F$532,6,), "0")</f>
        <v>0.17499999999999999</v>
      </c>
      <c r="R103" s="5">
        <f t="shared" si="11"/>
        <v>24.052818343749998</v>
      </c>
      <c r="S103" s="5">
        <f t="shared" si="15"/>
        <v>0.17499999999999999</v>
      </c>
      <c r="U103">
        <v>364</v>
      </c>
      <c r="V103">
        <v>0</v>
      </c>
      <c r="W103">
        <v>0</v>
      </c>
      <c r="X103">
        <v>1</v>
      </c>
      <c r="AB103">
        <f t="shared" si="12"/>
        <v>0</v>
      </c>
      <c r="AC103">
        <f t="shared" si="13"/>
        <v>0</v>
      </c>
      <c r="AD103">
        <f t="shared" si="14"/>
        <v>0</v>
      </c>
      <c r="AE103">
        <f t="shared" si="16"/>
        <v>0</v>
      </c>
      <c r="AG103">
        <f t="shared" si="17"/>
        <v>0</v>
      </c>
    </row>
    <row r="104" spans="1:33" x14ac:dyDescent="0.25">
      <c r="A104">
        <v>347</v>
      </c>
      <c r="B104">
        <f>IFERROR(VLOOKUP(A104,Capacity!$A$3:$D$532,4,), "0")</f>
        <v>9.4247778000000029</v>
      </c>
      <c r="C104" s="4">
        <f>IFERROR(VLOOKUP(A104,Capacity!$A$3:$F$532,6,), "0")</f>
        <v>0.2</v>
      </c>
      <c r="D104">
        <v>529</v>
      </c>
      <c r="E104">
        <f>IFERROR(VLOOKUP(D104,Capacity!$A$3:$D$532,4,), "0")</f>
        <v>7.2158455031249993</v>
      </c>
      <c r="F104" s="4">
        <f>IFERROR(VLOOKUP(D104,Capacity!$A$3:$F$532,6,), "0")</f>
        <v>0.17499999999999999</v>
      </c>
      <c r="G104">
        <v>249</v>
      </c>
      <c r="H104">
        <f>IFERROR(VLOOKUP(G104,Capacity!$A$3:$D$532,4,), "0")</f>
        <v>15.079644480000002</v>
      </c>
      <c r="I104" s="4">
        <f>IFERROR(VLOOKUP(G104,Capacity!$A$3:$F$532,6,), "0")</f>
        <v>0.2</v>
      </c>
      <c r="K104" t="str">
        <f>IFERROR(VLOOKUP(J104,Capacity!$A$3:$D$532,4,), "0")</f>
        <v>0</v>
      </c>
      <c r="L104" s="4" t="str">
        <f>IFERROR(VLOOKUP(J104,Capacity!$A$3:$F$532,6,), "0")</f>
        <v>0</v>
      </c>
      <c r="M104" s="5">
        <f t="shared" si="9"/>
        <v>22.295489983125002</v>
      </c>
      <c r="N104" s="5">
        <f t="shared" si="10"/>
        <v>0.375</v>
      </c>
      <c r="O104">
        <v>348</v>
      </c>
      <c r="P104">
        <f>IFERROR(VLOOKUP(O104,Capacity!$A$3:$D$532,4,), "0")</f>
        <v>108.07078544000002</v>
      </c>
      <c r="Q104" s="4">
        <f>IFERROR(VLOOKUP(O104,Capacity!$A$3:$F$532,6,), "0")</f>
        <v>0.4</v>
      </c>
      <c r="R104" s="5">
        <f t="shared" si="11"/>
        <v>108.07078544000002</v>
      </c>
      <c r="S104" s="5">
        <f t="shared" si="15"/>
        <v>0.4</v>
      </c>
      <c r="U104">
        <v>347</v>
      </c>
      <c r="V104">
        <v>2</v>
      </c>
      <c r="W104">
        <v>2</v>
      </c>
      <c r="X104">
        <v>1</v>
      </c>
      <c r="AB104">
        <f t="shared" si="12"/>
        <v>0.20630450581395346</v>
      </c>
      <c r="AC104">
        <f t="shared" si="13"/>
        <v>2.3656249999999996</v>
      </c>
      <c r="AD104">
        <f t="shared" si="14"/>
        <v>0.9375</v>
      </c>
      <c r="AE104">
        <f t="shared" si="16"/>
        <v>1.875</v>
      </c>
      <c r="AG104">
        <f t="shared" si="17"/>
        <v>0.18975601604278072</v>
      </c>
    </row>
    <row r="105" spans="1:33" x14ac:dyDescent="0.25">
      <c r="A105">
        <v>248</v>
      </c>
      <c r="B105">
        <f>IFERROR(VLOOKUP(A105,Capacity!$A$3:$D$532,4,), "0")</f>
        <v>26.474200840200002</v>
      </c>
      <c r="C105" s="4">
        <f>IFERROR(VLOOKUP(A105,Capacity!$A$3:$F$532,6,), "0")</f>
        <v>0.26500000000000001</v>
      </c>
      <c r="E105" t="str">
        <f>IFERROR(VLOOKUP(D105,Capacity!$A$3:$D$532,4,), "0")</f>
        <v>0</v>
      </c>
      <c r="F105" s="4" t="str">
        <f>IFERROR(VLOOKUP(D105,Capacity!$A$3:$F$532,6,), "0")</f>
        <v>0</v>
      </c>
      <c r="H105" t="str">
        <f>IFERROR(VLOOKUP(G105,Capacity!$A$3:$D$532,4,), "0")</f>
        <v>0</v>
      </c>
      <c r="I105" s="4" t="str">
        <f>IFERROR(VLOOKUP(G105,Capacity!$A$3:$F$532,6,), "0")</f>
        <v>0</v>
      </c>
      <c r="K105" t="str">
        <f>IFERROR(VLOOKUP(J105,Capacity!$A$3:$D$532,4,), "0")</f>
        <v>0</v>
      </c>
      <c r="L105" s="4" t="str">
        <f>IFERROR(VLOOKUP(J105,Capacity!$A$3:$F$532,6,), "0")</f>
        <v>0</v>
      </c>
      <c r="M105" s="5">
        <f t="shared" si="9"/>
        <v>0</v>
      </c>
      <c r="N105" s="5">
        <f t="shared" si="10"/>
        <v>0</v>
      </c>
      <c r="O105">
        <v>348</v>
      </c>
      <c r="P105">
        <f>IFERROR(VLOOKUP(O105,Capacity!$A$3:$D$532,4,), "0")</f>
        <v>108.07078544000002</v>
      </c>
      <c r="Q105" s="4">
        <f>IFERROR(VLOOKUP(O105,Capacity!$A$3:$F$532,6,), "0")</f>
        <v>0.4</v>
      </c>
      <c r="R105" s="5">
        <f t="shared" si="11"/>
        <v>108.07078544000002</v>
      </c>
      <c r="S105" s="5">
        <f t="shared" si="15"/>
        <v>0.4</v>
      </c>
      <c r="U105">
        <v>248</v>
      </c>
      <c r="V105">
        <v>0</v>
      </c>
      <c r="W105">
        <v>0</v>
      </c>
      <c r="X105">
        <v>1</v>
      </c>
      <c r="AB105">
        <f t="shared" si="12"/>
        <v>0</v>
      </c>
      <c r="AC105">
        <f t="shared" si="13"/>
        <v>0</v>
      </c>
      <c r="AD105">
        <f t="shared" si="14"/>
        <v>0</v>
      </c>
      <c r="AE105">
        <f t="shared" si="16"/>
        <v>0</v>
      </c>
      <c r="AG105">
        <f t="shared" si="17"/>
        <v>0</v>
      </c>
    </row>
    <row r="106" spans="1:33" x14ac:dyDescent="0.25">
      <c r="A106">
        <v>349</v>
      </c>
      <c r="B106">
        <f>IFERROR(VLOOKUP(A106,Capacity!$A$3:$D$532,4,), "0")</f>
        <v>21.205750049999999</v>
      </c>
      <c r="C106" s="4">
        <f>IFERROR(VLOOKUP(A106,Capacity!$A$3:$F$532,6,), "0")</f>
        <v>0.3</v>
      </c>
      <c r="D106">
        <v>247</v>
      </c>
      <c r="E106">
        <f>IFERROR(VLOOKUP(D106,Capacity!$A$3:$D$532,4,), "0")</f>
        <v>11.545352804999998</v>
      </c>
      <c r="F106" s="4">
        <f>IFERROR(VLOOKUP(D106,Capacity!$A$3:$F$532,6,), "0")</f>
        <v>0.17499999999999999</v>
      </c>
      <c r="H106" t="str">
        <f>IFERROR(VLOOKUP(G106,Capacity!$A$3:$D$532,4,), "0")</f>
        <v>0</v>
      </c>
      <c r="I106" s="4" t="str">
        <f>IFERROR(VLOOKUP(G106,Capacity!$A$3:$F$532,6,), "0")</f>
        <v>0</v>
      </c>
      <c r="K106" t="str">
        <f>IFERROR(VLOOKUP(J106,Capacity!$A$3:$D$532,4,), "0")</f>
        <v>0</v>
      </c>
      <c r="L106" s="4" t="str">
        <f>IFERROR(VLOOKUP(J106,Capacity!$A$3:$F$532,6,), "0")</f>
        <v>0</v>
      </c>
      <c r="M106" s="5">
        <f t="shared" si="9"/>
        <v>11.545352804999998</v>
      </c>
      <c r="N106" s="5">
        <f t="shared" si="10"/>
        <v>0.17499999999999999</v>
      </c>
      <c r="O106">
        <v>348</v>
      </c>
      <c r="P106">
        <f>IFERROR(VLOOKUP(O106,Capacity!$A$3:$D$532,4,), "0")</f>
        <v>108.07078544000002</v>
      </c>
      <c r="Q106" s="4">
        <f>IFERROR(VLOOKUP(O106,Capacity!$A$3:$F$532,6,), "0")</f>
        <v>0.4</v>
      </c>
      <c r="R106" s="5">
        <f t="shared" si="11"/>
        <v>108.07078544000002</v>
      </c>
      <c r="S106" s="5">
        <f t="shared" si="15"/>
        <v>0.4</v>
      </c>
      <c r="U106">
        <v>349</v>
      </c>
      <c r="V106">
        <v>1</v>
      </c>
      <c r="W106">
        <v>1</v>
      </c>
      <c r="X106">
        <v>1</v>
      </c>
      <c r="AB106">
        <f t="shared" si="12"/>
        <v>0.10683139534883718</v>
      </c>
      <c r="AC106">
        <f t="shared" si="13"/>
        <v>0.5444444444444444</v>
      </c>
      <c r="AD106">
        <f t="shared" si="14"/>
        <v>0.43749999999999994</v>
      </c>
      <c r="AE106">
        <f t="shared" si="16"/>
        <v>0.58333333333333337</v>
      </c>
      <c r="AG106">
        <f t="shared" si="17"/>
        <v>8.9307411907654899E-2</v>
      </c>
    </row>
    <row r="107" spans="1:33" x14ac:dyDescent="0.25">
      <c r="A107">
        <v>366</v>
      </c>
      <c r="B107">
        <f>IFERROR(VLOOKUP(A107,Capacity!$A$3:$D$532,4,), "0")</f>
        <v>7.6969018699999987</v>
      </c>
      <c r="C107" s="4">
        <f>IFERROR(VLOOKUP(A107,Capacity!$A$3:$F$532,6,), "0")</f>
        <v>0.17499999999999999</v>
      </c>
      <c r="E107" t="str">
        <f>IFERROR(VLOOKUP(D107,Capacity!$A$3:$D$532,4,), "0")</f>
        <v>0</v>
      </c>
      <c r="F107" s="4" t="str">
        <f>IFERROR(VLOOKUP(D107,Capacity!$A$3:$F$532,6,), "0")</f>
        <v>0</v>
      </c>
      <c r="H107" t="str">
        <f>IFERROR(VLOOKUP(G107,Capacity!$A$3:$D$532,4,), "0")</f>
        <v>0</v>
      </c>
      <c r="I107" s="4" t="str">
        <f>IFERROR(VLOOKUP(G107,Capacity!$A$3:$F$532,6,), "0")</f>
        <v>0</v>
      </c>
      <c r="K107" t="str">
        <f>IFERROR(VLOOKUP(J107,Capacity!$A$3:$D$532,4,), "0")</f>
        <v>0</v>
      </c>
      <c r="L107" s="4" t="str">
        <f>IFERROR(VLOOKUP(J107,Capacity!$A$3:$F$532,6,), "0")</f>
        <v>0</v>
      </c>
      <c r="M107" s="5">
        <f t="shared" si="9"/>
        <v>0</v>
      </c>
      <c r="N107" s="5">
        <f t="shared" si="10"/>
        <v>0</v>
      </c>
      <c r="O107">
        <v>25</v>
      </c>
      <c r="P107">
        <f>IFERROR(VLOOKUP(O107,Capacity!$A$3:$D$532,4,), "0")</f>
        <v>424.11500100000001</v>
      </c>
      <c r="Q107" s="4">
        <f>IFERROR(VLOOKUP(O107,Capacity!$A$3:$F$532,6,), "0")</f>
        <v>0.75</v>
      </c>
      <c r="R107" s="5">
        <f t="shared" si="11"/>
        <v>424.11500100000001</v>
      </c>
      <c r="S107" s="5">
        <f t="shared" si="15"/>
        <v>0.75</v>
      </c>
      <c r="U107">
        <v>366</v>
      </c>
      <c r="V107">
        <v>0</v>
      </c>
      <c r="W107">
        <v>0</v>
      </c>
      <c r="X107">
        <v>1</v>
      </c>
      <c r="AB107">
        <f t="shared" si="12"/>
        <v>0</v>
      </c>
      <c r="AC107">
        <f t="shared" si="13"/>
        <v>0</v>
      </c>
      <c r="AD107">
        <f t="shared" si="14"/>
        <v>0</v>
      </c>
      <c r="AE107">
        <f t="shared" si="16"/>
        <v>0</v>
      </c>
      <c r="AG107">
        <f t="shared" si="17"/>
        <v>0</v>
      </c>
    </row>
    <row r="108" spans="1:33" x14ac:dyDescent="0.25">
      <c r="A108">
        <v>26</v>
      </c>
      <c r="B108">
        <f>IFERROR(VLOOKUP(A108,Capacity!$A$3:$D$532,4,), "0")</f>
        <v>70.685833500000001</v>
      </c>
      <c r="C108" s="4">
        <f>IFERROR(VLOOKUP(A108,Capacity!$A$3:$F$532,6,), "0")</f>
        <v>0.75</v>
      </c>
      <c r="D108">
        <v>346</v>
      </c>
      <c r="E108">
        <f>IFERROR(VLOOKUP(D108,Capacity!$A$3:$D$532,4,), "0")</f>
        <v>115.61060768000002</v>
      </c>
      <c r="F108" s="4">
        <f>IFERROR(VLOOKUP(D108,Capacity!$A$3:$F$532,6,), "0")</f>
        <v>0.4</v>
      </c>
      <c r="G108">
        <v>27</v>
      </c>
      <c r="H108">
        <f>IFERROR(VLOOKUP(G108,Capacity!$A$3:$D$532,4,), "0")</f>
        <v>141.371667</v>
      </c>
      <c r="I108" s="4">
        <f>IFERROR(VLOOKUP(G108,Capacity!$A$3:$F$532,6,), "0")</f>
        <v>0.75</v>
      </c>
      <c r="K108" t="str">
        <f>IFERROR(VLOOKUP(J108,Capacity!$A$3:$D$532,4,), "0")</f>
        <v>0</v>
      </c>
      <c r="L108" s="4" t="str">
        <f>IFERROR(VLOOKUP(J108,Capacity!$A$3:$F$532,6,), "0")</f>
        <v>0</v>
      </c>
      <c r="M108" s="5">
        <f t="shared" si="9"/>
        <v>256.98227468000005</v>
      </c>
      <c r="N108" s="5">
        <f t="shared" si="10"/>
        <v>1.1499999999999999</v>
      </c>
      <c r="O108">
        <v>25</v>
      </c>
      <c r="P108">
        <f>IFERROR(VLOOKUP(O108,Capacity!$A$3:$D$532,4,), "0")</f>
        <v>424.11500100000001</v>
      </c>
      <c r="Q108" s="4">
        <f>IFERROR(VLOOKUP(O108,Capacity!$A$3:$F$532,6,), "0")</f>
        <v>0.75</v>
      </c>
      <c r="R108" s="5">
        <f t="shared" si="11"/>
        <v>424.11500100000001</v>
      </c>
      <c r="S108" s="5">
        <f t="shared" si="15"/>
        <v>0.75</v>
      </c>
      <c r="U108">
        <v>26</v>
      </c>
      <c r="V108">
        <v>3</v>
      </c>
      <c r="W108">
        <v>3</v>
      </c>
      <c r="X108">
        <v>1</v>
      </c>
      <c r="AB108">
        <f t="shared" si="12"/>
        <v>0.60592592592592598</v>
      </c>
      <c r="AC108">
        <f t="shared" si="13"/>
        <v>3.6355555555555563</v>
      </c>
      <c r="AD108">
        <f t="shared" si="14"/>
        <v>1.5333333333333332</v>
      </c>
      <c r="AE108">
        <f t="shared" si="16"/>
        <v>1.5333333333333332</v>
      </c>
      <c r="AG108">
        <f t="shared" si="17"/>
        <v>0.51936507936507947</v>
      </c>
    </row>
    <row r="109" spans="1:33" x14ac:dyDescent="0.25">
      <c r="A109">
        <v>416</v>
      </c>
      <c r="B109">
        <f>IFERROR(VLOOKUP(A109,Capacity!$A$3:$D$532,4,), "0")</f>
        <v>21.647536509374998</v>
      </c>
      <c r="C109" s="4">
        <f>IFERROR(VLOOKUP(A109,Capacity!$A$3:$F$532,6,), "0")</f>
        <v>0.17499999999999999</v>
      </c>
      <c r="E109" t="str">
        <f>IFERROR(VLOOKUP(D109,Capacity!$A$3:$D$532,4,), "0")</f>
        <v>0</v>
      </c>
      <c r="F109" s="4" t="str">
        <f>IFERROR(VLOOKUP(D109,Capacity!$A$3:$F$532,6,), "0")</f>
        <v>0</v>
      </c>
      <c r="H109" t="str">
        <f>IFERROR(VLOOKUP(G109,Capacity!$A$3:$D$532,4,), "0")</f>
        <v>0</v>
      </c>
      <c r="I109" s="4" t="str">
        <f>IFERROR(VLOOKUP(G109,Capacity!$A$3:$F$532,6,), "0")</f>
        <v>0</v>
      </c>
      <c r="K109" t="str">
        <f>IFERROR(VLOOKUP(J109,Capacity!$A$3:$D$532,4,), "0")</f>
        <v>0</v>
      </c>
      <c r="L109" s="4" t="str">
        <f>IFERROR(VLOOKUP(J109,Capacity!$A$3:$F$532,6,), "0")</f>
        <v>0</v>
      </c>
      <c r="M109" s="5">
        <f t="shared" si="9"/>
        <v>0</v>
      </c>
      <c r="N109" s="5">
        <f t="shared" si="10"/>
        <v>0</v>
      </c>
      <c r="O109">
        <v>45</v>
      </c>
      <c r="P109">
        <f>IFERROR(VLOOKUP(O109,Capacity!$A$3:$D$532,4,), "0")</f>
        <v>40.212385280000007</v>
      </c>
      <c r="Q109" s="4">
        <f>IFERROR(VLOOKUP(O109,Capacity!$A$3:$F$532,6,), "0")</f>
        <v>0.4</v>
      </c>
      <c r="R109" s="5">
        <f t="shared" si="11"/>
        <v>40.212385280000007</v>
      </c>
      <c r="S109" s="5">
        <f t="shared" si="15"/>
        <v>0.4</v>
      </c>
      <c r="U109">
        <v>416</v>
      </c>
      <c r="V109">
        <v>0</v>
      </c>
      <c r="W109">
        <v>0</v>
      </c>
      <c r="X109">
        <v>1</v>
      </c>
      <c r="AB109">
        <f t="shared" si="12"/>
        <v>0</v>
      </c>
      <c r="AC109">
        <f t="shared" si="13"/>
        <v>0</v>
      </c>
      <c r="AD109">
        <f t="shared" si="14"/>
        <v>0</v>
      </c>
      <c r="AE109">
        <f t="shared" si="16"/>
        <v>0</v>
      </c>
      <c r="AG109">
        <f t="shared" si="17"/>
        <v>0</v>
      </c>
    </row>
    <row r="110" spans="1:33" x14ac:dyDescent="0.25">
      <c r="A110">
        <v>368</v>
      </c>
      <c r="B110">
        <f>IFERROR(VLOOKUP(A110,Capacity!$A$3:$D$532,4,), "0")</f>
        <v>23.090705609999997</v>
      </c>
      <c r="C110" s="4">
        <f>IFERROR(VLOOKUP(A110,Capacity!$A$3:$F$532,6,), "0")</f>
        <v>0.17499999999999999</v>
      </c>
      <c r="E110" t="str">
        <f>IFERROR(VLOOKUP(D110,Capacity!$A$3:$D$532,4,), "0")</f>
        <v>0</v>
      </c>
      <c r="F110" s="4" t="str">
        <f>IFERROR(VLOOKUP(D110,Capacity!$A$3:$F$532,6,), "0")</f>
        <v>0</v>
      </c>
      <c r="H110" t="str">
        <f>IFERROR(VLOOKUP(G110,Capacity!$A$3:$D$532,4,), "0")</f>
        <v>0</v>
      </c>
      <c r="I110" s="4" t="str">
        <f>IFERROR(VLOOKUP(G110,Capacity!$A$3:$F$532,6,), "0")</f>
        <v>0</v>
      </c>
      <c r="K110" t="str">
        <f>IFERROR(VLOOKUP(J110,Capacity!$A$3:$D$532,4,), "0")</f>
        <v>0</v>
      </c>
      <c r="L110" s="4" t="str">
        <f>IFERROR(VLOOKUP(J110,Capacity!$A$3:$F$532,6,), "0")</f>
        <v>0</v>
      </c>
      <c r="M110" s="5">
        <f t="shared" si="9"/>
        <v>0</v>
      </c>
      <c r="N110" s="5">
        <f t="shared" si="10"/>
        <v>0</v>
      </c>
      <c r="O110">
        <v>45</v>
      </c>
      <c r="P110">
        <f>IFERROR(VLOOKUP(O110,Capacity!$A$3:$D$532,4,), "0")</f>
        <v>40.212385280000007</v>
      </c>
      <c r="Q110" s="4">
        <f>IFERROR(VLOOKUP(O110,Capacity!$A$3:$F$532,6,), "0")</f>
        <v>0.4</v>
      </c>
      <c r="R110" s="5">
        <f t="shared" si="11"/>
        <v>40.212385280000007</v>
      </c>
      <c r="S110" s="5">
        <f t="shared" si="15"/>
        <v>0.4</v>
      </c>
      <c r="U110">
        <v>368</v>
      </c>
      <c r="V110">
        <v>0</v>
      </c>
      <c r="W110">
        <v>0</v>
      </c>
      <c r="X110">
        <v>1</v>
      </c>
      <c r="AB110">
        <f t="shared" si="12"/>
        <v>0</v>
      </c>
      <c r="AC110">
        <f t="shared" si="13"/>
        <v>0</v>
      </c>
      <c r="AD110">
        <f t="shared" si="14"/>
        <v>0</v>
      </c>
      <c r="AE110">
        <f t="shared" si="16"/>
        <v>0</v>
      </c>
      <c r="AG110">
        <f t="shared" si="17"/>
        <v>0</v>
      </c>
    </row>
    <row r="111" spans="1:33" x14ac:dyDescent="0.25">
      <c r="A111">
        <v>44</v>
      </c>
      <c r="B111">
        <f>IFERROR(VLOOKUP(A111,Capacity!$A$3:$D$532,4,), "0")</f>
        <v>40.212385280000007</v>
      </c>
      <c r="C111" s="4">
        <f>IFERROR(VLOOKUP(A111,Capacity!$A$3:$F$532,6,), "0")</f>
        <v>0.4</v>
      </c>
      <c r="D111">
        <v>370</v>
      </c>
      <c r="E111">
        <f>IFERROR(VLOOKUP(D111,Capacity!$A$3:$D$532,4,), "0")</f>
        <v>23.090705609999997</v>
      </c>
      <c r="F111" s="4">
        <f>IFERROR(VLOOKUP(D111,Capacity!$A$3:$F$532,6,), "0")</f>
        <v>0.17499999999999999</v>
      </c>
      <c r="G111">
        <v>414</v>
      </c>
      <c r="H111">
        <f>IFERROR(VLOOKUP(G111,Capacity!$A$3:$D$532,4,), "0")</f>
        <v>21.647536509374998</v>
      </c>
      <c r="I111" s="4">
        <f>IFERROR(VLOOKUP(G111,Capacity!$A$3:$F$532,6,), "0")</f>
        <v>0.17499999999999999</v>
      </c>
      <c r="J111">
        <v>43</v>
      </c>
      <c r="K111">
        <f>IFERROR(VLOOKUP(J111,Capacity!$A$3:$D$532,4,), "0")</f>
        <v>40.212385280000007</v>
      </c>
      <c r="L111" s="4">
        <f>IFERROR(VLOOKUP(J111,Capacity!$A$3:$F$532,6,), "0")</f>
        <v>0.4</v>
      </c>
      <c r="M111" s="5">
        <f t="shared" si="9"/>
        <v>84.950627399375009</v>
      </c>
      <c r="N111" s="5">
        <f t="shared" si="10"/>
        <v>0.75</v>
      </c>
      <c r="O111">
        <v>45</v>
      </c>
      <c r="P111">
        <f>IFERROR(VLOOKUP(O111,Capacity!$A$3:$D$532,4,), "0")</f>
        <v>40.212385280000007</v>
      </c>
      <c r="Q111" s="4">
        <f>IFERROR(VLOOKUP(O111,Capacity!$A$3:$F$532,6,), "0")</f>
        <v>0.4</v>
      </c>
      <c r="R111" s="5">
        <f t="shared" si="11"/>
        <v>40.212385280000007</v>
      </c>
      <c r="S111" s="5">
        <f t="shared" si="15"/>
        <v>0.4</v>
      </c>
      <c r="U111">
        <v>44</v>
      </c>
      <c r="V111">
        <v>3</v>
      </c>
      <c r="W111">
        <v>3</v>
      </c>
      <c r="X111">
        <v>1</v>
      </c>
      <c r="AB111">
        <f t="shared" si="12"/>
        <v>2.112548828125</v>
      </c>
      <c r="AC111">
        <f t="shared" si="13"/>
        <v>2.112548828125</v>
      </c>
      <c r="AD111">
        <f t="shared" si="14"/>
        <v>1.875</v>
      </c>
      <c r="AE111">
        <f t="shared" si="16"/>
        <v>1.875</v>
      </c>
      <c r="AG111">
        <f t="shared" si="17"/>
        <v>1.0562744140625</v>
      </c>
    </row>
    <row r="112" spans="1:33" x14ac:dyDescent="0.25">
      <c r="A112">
        <v>83</v>
      </c>
      <c r="B112">
        <f>IFERROR(VLOOKUP(A112,Capacity!$A$3:$D$532,4,), "0")</f>
        <v>90.477866879999993</v>
      </c>
      <c r="C112" s="4">
        <f>IFERROR(VLOOKUP(A112,Capacity!$A$3:$F$532,6,), "0")</f>
        <v>0.6</v>
      </c>
      <c r="D112">
        <v>82</v>
      </c>
      <c r="E112">
        <f>IFERROR(VLOOKUP(D112,Capacity!$A$3:$D$532,4,), "0")</f>
        <v>90.477866879999993</v>
      </c>
      <c r="F112" s="4">
        <f>IFERROR(VLOOKUP(D112,Capacity!$A$3:$F$532,6,), "0")</f>
        <v>0.6</v>
      </c>
      <c r="H112" t="str">
        <f>IFERROR(VLOOKUP(G112,Capacity!$A$3:$D$532,4,), "0")</f>
        <v>0</v>
      </c>
      <c r="I112" s="4" t="str">
        <f>IFERROR(VLOOKUP(G112,Capacity!$A$3:$F$532,6,), "0")</f>
        <v>0</v>
      </c>
      <c r="K112" t="str">
        <f>IFERROR(VLOOKUP(J112,Capacity!$A$3:$D$532,4,), "0")</f>
        <v>0</v>
      </c>
      <c r="L112" s="4" t="str">
        <f>IFERROR(VLOOKUP(J112,Capacity!$A$3:$F$532,6,), "0")</f>
        <v>0</v>
      </c>
      <c r="M112" s="5">
        <f t="shared" si="9"/>
        <v>90.477866879999993</v>
      </c>
      <c r="N112" s="5">
        <f t="shared" si="10"/>
        <v>0.6</v>
      </c>
      <c r="O112">
        <v>84</v>
      </c>
      <c r="P112">
        <f>IFERROR(VLOOKUP(O112,Capacity!$A$3:$D$532,4,), "0")</f>
        <v>90.477866879999993</v>
      </c>
      <c r="Q112" s="4">
        <f>IFERROR(VLOOKUP(O112,Capacity!$A$3:$F$532,6,), "0")</f>
        <v>0.6</v>
      </c>
      <c r="R112" s="5">
        <f t="shared" si="11"/>
        <v>90.477866879999993</v>
      </c>
      <c r="S112" s="5">
        <f t="shared" si="15"/>
        <v>0.6</v>
      </c>
      <c r="U112">
        <v>83</v>
      </c>
      <c r="V112">
        <v>2</v>
      </c>
      <c r="W112">
        <v>2</v>
      </c>
      <c r="X112">
        <v>1</v>
      </c>
      <c r="AB112">
        <f t="shared" si="12"/>
        <v>1</v>
      </c>
      <c r="AC112">
        <f t="shared" si="13"/>
        <v>1</v>
      </c>
      <c r="AD112">
        <f t="shared" si="14"/>
        <v>1</v>
      </c>
      <c r="AE112">
        <f t="shared" si="16"/>
        <v>1</v>
      </c>
      <c r="AG112">
        <f t="shared" si="17"/>
        <v>0.5</v>
      </c>
    </row>
    <row r="113" spans="1:33" x14ac:dyDescent="0.25">
      <c r="A113">
        <v>413</v>
      </c>
      <c r="B113">
        <f>IFERROR(VLOOKUP(A113,Capacity!$A$3:$D$532,4,), "0")</f>
        <v>21.166480142499999</v>
      </c>
      <c r="C113" s="4">
        <f>IFERROR(VLOOKUP(A113,Capacity!$A$3:$F$532,6,), "0")</f>
        <v>0.17499999999999999</v>
      </c>
      <c r="E113" t="str">
        <f>IFERROR(VLOOKUP(D113,Capacity!$A$3:$D$532,4,), "0")</f>
        <v>0</v>
      </c>
      <c r="F113" s="4" t="str">
        <f>IFERROR(VLOOKUP(D113,Capacity!$A$3:$F$532,6,), "0")</f>
        <v>0</v>
      </c>
      <c r="H113" t="str">
        <f>IFERROR(VLOOKUP(G113,Capacity!$A$3:$D$532,4,), "0")</f>
        <v>0</v>
      </c>
      <c r="I113" s="4" t="str">
        <f>IFERROR(VLOOKUP(G113,Capacity!$A$3:$F$532,6,), "0")</f>
        <v>0</v>
      </c>
      <c r="K113" t="str">
        <f>IFERROR(VLOOKUP(J113,Capacity!$A$3:$D$532,4,), "0")</f>
        <v>0</v>
      </c>
      <c r="L113" s="4" t="str">
        <f>IFERROR(VLOOKUP(J113,Capacity!$A$3:$F$532,6,), "0")</f>
        <v>0</v>
      </c>
      <c r="M113" s="5">
        <f t="shared" si="9"/>
        <v>0</v>
      </c>
      <c r="N113" s="5">
        <f t="shared" si="10"/>
        <v>0</v>
      </c>
      <c r="O113">
        <v>173</v>
      </c>
      <c r="P113">
        <f>IFERROR(VLOOKUP(O113,Capacity!$A$3:$D$532,4,), "0")</f>
        <v>22.619466719999998</v>
      </c>
      <c r="Q113" s="4">
        <f>IFERROR(VLOOKUP(O113,Capacity!$A$3:$F$532,6,), "0")</f>
        <v>0.3</v>
      </c>
      <c r="R113" s="5">
        <f t="shared" si="11"/>
        <v>22.619466719999998</v>
      </c>
      <c r="S113" s="5">
        <f t="shared" si="15"/>
        <v>0.3</v>
      </c>
      <c r="U113">
        <v>413</v>
      </c>
      <c r="V113">
        <v>0</v>
      </c>
      <c r="W113">
        <v>0</v>
      </c>
      <c r="X113">
        <v>1</v>
      </c>
      <c r="AB113">
        <f t="shared" si="12"/>
        <v>0</v>
      </c>
      <c r="AC113">
        <f t="shared" si="13"/>
        <v>0</v>
      </c>
      <c r="AD113">
        <f t="shared" si="14"/>
        <v>0</v>
      </c>
      <c r="AE113">
        <f t="shared" si="16"/>
        <v>0</v>
      </c>
      <c r="AG113">
        <f t="shared" si="17"/>
        <v>0</v>
      </c>
    </row>
    <row r="114" spans="1:33" x14ac:dyDescent="0.25">
      <c r="A114">
        <v>178</v>
      </c>
      <c r="B114">
        <f>IFERROR(VLOOKUP(A114,Capacity!$A$3:$D$532,4,), "0")</f>
        <v>22.619466719999998</v>
      </c>
      <c r="C114" s="4">
        <f>IFERROR(VLOOKUP(A114,Capacity!$A$3:$F$532,6,), "0")</f>
        <v>0.3</v>
      </c>
      <c r="D114">
        <v>411</v>
      </c>
      <c r="E114">
        <f>IFERROR(VLOOKUP(D114,Capacity!$A$3:$D$532,4,), "0")</f>
        <v>21.166480142499999</v>
      </c>
      <c r="F114" s="4">
        <f>IFERROR(VLOOKUP(D114,Capacity!$A$3:$F$532,6,), "0")</f>
        <v>0.17499999999999999</v>
      </c>
      <c r="G114">
        <v>184</v>
      </c>
      <c r="H114">
        <f>IFERROR(VLOOKUP(G114,Capacity!$A$3:$D$532,4,), "0")</f>
        <v>22.619466719999998</v>
      </c>
      <c r="I114" s="4">
        <f>IFERROR(VLOOKUP(G114,Capacity!$A$3:$F$532,6,), "0")</f>
        <v>0.3</v>
      </c>
      <c r="K114" t="str">
        <f>IFERROR(VLOOKUP(J114,Capacity!$A$3:$D$532,4,), "0")</f>
        <v>0</v>
      </c>
      <c r="L114" s="4" t="str">
        <f>IFERROR(VLOOKUP(J114,Capacity!$A$3:$F$532,6,), "0")</f>
        <v>0</v>
      </c>
      <c r="M114" s="5">
        <f t="shared" si="9"/>
        <v>43.785946862499998</v>
      </c>
      <c r="N114" s="5">
        <f t="shared" si="10"/>
        <v>0.47499999999999998</v>
      </c>
      <c r="O114">
        <v>173</v>
      </c>
      <c r="P114">
        <f>IFERROR(VLOOKUP(O114,Capacity!$A$3:$D$532,4,), "0")</f>
        <v>22.619466719999998</v>
      </c>
      <c r="Q114" s="4">
        <f>IFERROR(VLOOKUP(O114,Capacity!$A$3:$F$532,6,), "0")</f>
        <v>0.3</v>
      </c>
      <c r="R114" s="5">
        <f t="shared" si="11"/>
        <v>22.619466719999998</v>
      </c>
      <c r="S114" s="5">
        <f t="shared" si="15"/>
        <v>0.3</v>
      </c>
      <c r="U114">
        <v>178</v>
      </c>
      <c r="V114">
        <v>3</v>
      </c>
      <c r="W114">
        <v>3</v>
      </c>
      <c r="X114">
        <v>1</v>
      </c>
      <c r="AB114">
        <f t="shared" si="12"/>
        <v>1.9357638888888888</v>
      </c>
      <c r="AC114">
        <f t="shared" si="13"/>
        <v>1.9357638888888888</v>
      </c>
      <c r="AD114">
        <f t="shared" si="14"/>
        <v>1.5833333333333333</v>
      </c>
      <c r="AE114">
        <f t="shared" si="16"/>
        <v>1.5833333333333333</v>
      </c>
      <c r="AG114">
        <f t="shared" si="17"/>
        <v>0.96788194444444442</v>
      </c>
    </row>
    <row r="115" spans="1:33" x14ac:dyDescent="0.25">
      <c r="A115">
        <v>455</v>
      </c>
      <c r="B115">
        <f>IFERROR(VLOOKUP(A115,Capacity!$A$3:$D$532,4,), "0")</f>
        <v>291.57906318750003</v>
      </c>
      <c r="C115" s="4">
        <f>IFERROR(VLOOKUP(A115,Capacity!$A$3:$F$532,6,), "0")</f>
        <v>0.75</v>
      </c>
      <c r="E115" t="str">
        <f>IFERROR(VLOOKUP(D115,Capacity!$A$3:$D$532,4,), "0")</f>
        <v>0</v>
      </c>
      <c r="F115" s="4" t="str">
        <f>IFERROR(VLOOKUP(D115,Capacity!$A$3:$F$532,6,), "0")</f>
        <v>0</v>
      </c>
      <c r="H115" t="str">
        <f>IFERROR(VLOOKUP(G115,Capacity!$A$3:$D$532,4,), "0")</f>
        <v>0</v>
      </c>
      <c r="I115" s="4" t="str">
        <f>IFERROR(VLOOKUP(G115,Capacity!$A$3:$F$532,6,), "0")</f>
        <v>0</v>
      </c>
      <c r="K115" t="str">
        <f>IFERROR(VLOOKUP(J115,Capacity!$A$3:$D$532,4,), "0")</f>
        <v>0</v>
      </c>
      <c r="L115" s="4" t="str">
        <f>IFERROR(VLOOKUP(J115,Capacity!$A$3:$F$532,6,), "0")</f>
        <v>0</v>
      </c>
      <c r="M115" s="5">
        <f t="shared" si="9"/>
        <v>0</v>
      </c>
      <c r="N115" s="5">
        <f t="shared" si="10"/>
        <v>0</v>
      </c>
      <c r="O115">
        <v>174</v>
      </c>
      <c r="P115">
        <f>IFERROR(VLOOKUP(O115,Capacity!$A$3:$D$532,4,), "0")</f>
        <v>15.874860106874999</v>
      </c>
      <c r="Q115" s="4">
        <f>IFERROR(VLOOKUP(O115,Capacity!$A$3:$F$532,6,), "0")</f>
        <v>0.17499999999999999</v>
      </c>
      <c r="R115" s="5">
        <f t="shared" si="11"/>
        <v>15.874860106874999</v>
      </c>
      <c r="S115" s="5">
        <f t="shared" si="15"/>
        <v>0.17499999999999999</v>
      </c>
      <c r="U115">
        <v>455</v>
      </c>
      <c r="V115">
        <v>0</v>
      </c>
      <c r="W115">
        <v>0</v>
      </c>
      <c r="X115">
        <v>1</v>
      </c>
      <c r="AB115">
        <f t="shared" si="12"/>
        <v>0</v>
      </c>
      <c r="AC115">
        <f t="shared" si="13"/>
        <v>0</v>
      </c>
      <c r="AD115">
        <f t="shared" si="14"/>
        <v>0</v>
      </c>
      <c r="AE115">
        <f t="shared" si="16"/>
        <v>0</v>
      </c>
      <c r="AG115">
        <f t="shared" si="17"/>
        <v>0</v>
      </c>
    </row>
    <row r="116" spans="1:33" x14ac:dyDescent="0.25">
      <c r="A116">
        <v>458</v>
      </c>
      <c r="B116">
        <f>IFERROR(VLOOKUP(A116,Capacity!$A$3:$D$532,4,), "0")</f>
        <v>19.242254674999998</v>
      </c>
      <c r="C116" s="4">
        <f>IFERROR(VLOOKUP(A116,Capacity!$A$3:$F$532,6,), "0")</f>
        <v>0.17499999999999999</v>
      </c>
      <c r="E116" t="str">
        <f>IFERROR(VLOOKUP(D116,Capacity!$A$3:$D$532,4,), "0")</f>
        <v>0</v>
      </c>
      <c r="F116" s="4" t="str">
        <f>IFERROR(VLOOKUP(D116,Capacity!$A$3:$F$532,6,), "0")</f>
        <v>0</v>
      </c>
      <c r="H116" t="str">
        <f>IFERROR(VLOOKUP(G116,Capacity!$A$3:$D$532,4,), "0")</f>
        <v>0</v>
      </c>
      <c r="I116" s="4" t="str">
        <f>IFERROR(VLOOKUP(G116,Capacity!$A$3:$F$532,6,), "0")</f>
        <v>0</v>
      </c>
      <c r="K116" t="str">
        <f>IFERROR(VLOOKUP(J116,Capacity!$A$3:$D$532,4,), "0")</f>
        <v>0</v>
      </c>
      <c r="L116" s="4" t="str">
        <f>IFERROR(VLOOKUP(J116,Capacity!$A$3:$F$532,6,), "0")</f>
        <v>0</v>
      </c>
      <c r="M116" s="5">
        <f t="shared" si="9"/>
        <v>0</v>
      </c>
      <c r="N116" s="5">
        <f t="shared" si="10"/>
        <v>0</v>
      </c>
      <c r="O116">
        <v>181</v>
      </c>
      <c r="P116">
        <f>IFERROR(VLOOKUP(O116,Capacity!$A$3:$D$532,4,), "0")</f>
        <v>7.6969018699999987</v>
      </c>
      <c r="Q116" s="4">
        <f>IFERROR(VLOOKUP(O116,Capacity!$A$3:$F$532,6,), "0")</f>
        <v>0.17499999999999999</v>
      </c>
      <c r="R116" s="5">
        <f t="shared" si="11"/>
        <v>7.6969018699999987</v>
      </c>
      <c r="S116" s="5">
        <f t="shared" si="15"/>
        <v>0.17499999999999999</v>
      </c>
      <c r="U116">
        <v>458</v>
      </c>
      <c r="V116">
        <v>0</v>
      </c>
      <c r="W116">
        <v>0</v>
      </c>
      <c r="X116">
        <v>1</v>
      </c>
      <c r="AB116">
        <f t="shared" si="12"/>
        <v>0</v>
      </c>
      <c r="AC116">
        <f t="shared" si="13"/>
        <v>0</v>
      </c>
      <c r="AD116">
        <f t="shared" si="14"/>
        <v>0</v>
      </c>
      <c r="AE116">
        <f t="shared" si="16"/>
        <v>0</v>
      </c>
      <c r="AG116">
        <f t="shared" si="17"/>
        <v>0</v>
      </c>
    </row>
    <row r="117" spans="1:33" x14ac:dyDescent="0.25">
      <c r="A117">
        <v>186</v>
      </c>
      <c r="B117">
        <f>IFERROR(VLOOKUP(A117,Capacity!$A$3:$D$532,4,), "0")</f>
        <v>17.649467226800002</v>
      </c>
      <c r="C117" s="4">
        <f>IFERROR(VLOOKUP(A117,Capacity!$A$3:$F$532,6,), "0")</f>
        <v>0.26500000000000001</v>
      </c>
      <c r="D117">
        <v>185</v>
      </c>
      <c r="E117">
        <f>IFERROR(VLOOKUP(D117,Capacity!$A$3:$D$532,4,), "0")</f>
        <v>628.31852000000003</v>
      </c>
      <c r="F117" s="4">
        <f>IFERROR(VLOOKUP(D117,Capacity!$A$3:$F$532,6,), "0")</f>
        <v>1</v>
      </c>
      <c r="H117" t="str">
        <f>IFERROR(VLOOKUP(G117,Capacity!$A$3:$D$532,4,), "0")</f>
        <v>0</v>
      </c>
      <c r="I117" s="4" t="str">
        <f>IFERROR(VLOOKUP(G117,Capacity!$A$3:$F$532,6,), "0")</f>
        <v>0</v>
      </c>
      <c r="K117" t="str">
        <f>IFERROR(VLOOKUP(J117,Capacity!$A$3:$D$532,4,), "0")</f>
        <v>0</v>
      </c>
      <c r="L117" s="4" t="str">
        <f>IFERROR(VLOOKUP(J117,Capacity!$A$3:$F$532,6,), "0")</f>
        <v>0</v>
      </c>
      <c r="M117" s="5">
        <f t="shared" si="9"/>
        <v>628.31852000000003</v>
      </c>
      <c r="N117" s="5">
        <f t="shared" si="10"/>
        <v>1</v>
      </c>
      <c r="O117">
        <v>181</v>
      </c>
      <c r="P117">
        <f>IFERROR(VLOOKUP(O117,Capacity!$A$3:$D$532,4,), "0")</f>
        <v>7.6969018699999987</v>
      </c>
      <c r="Q117" s="4">
        <f>IFERROR(VLOOKUP(O117,Capacity!$A$3:$F$532,6,), "0")</f>
        <v>0.17499999999999999</v>
      </c>
      <c r="R117" s="5">
        <f t="shared" si="11"/>
        <v>7.6969018699999987</v>
      </c>
      <c r="S117" s="5">
        <f t="shared" si="15"/>
        <v>0.17499999999999999</v>
      </c>
      <c r="U117">
        <v>186</v>
      </c>
      <c r="V117">
        <v>1</v>
      </c>
      <c r="W117">
        <v>1</v>
      </c>
      <c r="X117">
        <v>1</v>
      </c>
      <c r="AB117">
        <f t="shared" si="12"/>
        <v>81.632653061224502</v>
      </c>
      <c r="AC117">
        <f t="shared" si="13"/>
        <v>35.599857600569592</v>
      </c>
      <c r="AD117">
        <f t="shared" si="14"/>
        <v>5.7142857142857144</v>
      </c>
      <c r="AE117">
        <f t="shared" si="16"/>
        <v>3.773584905660377</v>
      </c>
      <c r="AG117">
        <f t="shared" si="17"/>
        <v>24.789291026276651</v>
      </c>
    </row>
    <row r="118" spans="1:33" x14ac:dyDescent="0.25">
      <c r="A118">
        <v>180</v>
      </c>
      <c r="B118">
        <f>IFERROR(VLOOKUP(A118,Capacity!$A$3:$D$532,4,), "0")</f>
        <v>20.734511160000007</v>
      </c>
      <c r="C118" s="4">
        <f>IFERROR(VLOOKUP(A118,Capacity!$A$3:$F$532,6,), "0")</f>
        <v>0.2</v>
      </c>
      <c r="D118">
        <v>457</v>
      </c>
      <c r="E118">
        <f>IFERROR(VLOOKUP(D118,Capacity!$A$3:$D$532,4,), "0")</f>
        <v>15.874860106874999</v>
      </c>
      <c r="F118" s="4">
        <f>IFERROR(VLOOKUP(D118,Capacity!$A$3:$F$532,6,), "0")</f>
        <v>0.17499999999999999</v>
      </c>
      <c r="H118" t="str">
        <f>IFERROR(VLOOKUP(G118,Capacity!$A$3:$D$532,4,), "0")</f>
        <v>0</v>
      </c>
      <c r="I118" s="4" t="str">
        <f>IFERROR(VLOOKUP(G118,Capacity!$A$3:$F$532,6,), "0")</f>
        <v>0</v>
      </c>
      <c r="K118" t="str">
        <f>IFERROR(VLOOKUP(J118,Capacity!$A$3:$D$532,4,), "0")</f>
        <v>0</v>
      </c>
      <c r="L118" s="4" t="str">
        <f>IFERROR(VLOOKUP(J118,Capacity!$A$3:$F$532,6,), "0")</f>
        <v>0</v>
      </c>
      <c r="M118" s="5">
        <f t="shared" si="9"/>
        <v>15.874860106874999</v>
      </c>
      <c r="N118" s="5">
        <f t="shared" si="10"/>
        <v>0.17499999999999999</v>
      </c>
      <c r="O118">
        <v>181</v>
      </c>
      <c r="P118">
        <f>IFERROR(VLOOKUP(O118,Capacity!$A$3:$D$532,4,), "0")</f>
        <v>7.6969018699999987</v>
      </c>
      <c r="Q118" s="4">
        <f>IFERROR(VLOOKUP(O118,Capacity!$A$3:$F$532,6,), "0")</f>
        <v>0.17499999999999999</v>
      </c>
      <c r="R118" s="5">
        <f t="shared" si="11"/>
        <v>7.6969018699999987</v>
      </c>
      <c r="S118" s="5">
        <f t="shared" si="15"/>
        <v>0.17499999999999999</v>
      </c>
      <c r="U118">
        <v>180</v>
      </c>
      <c r="V118">
        <v>1</v>
      </c>
      <c r="W118">
        <v>1</v>
      </c>
      <c r="X118">
        <v>1</v>
      </c>
      <c r="AB118">
        <f t="shared" si="12"/>
        <v>2.0625000000000004</v>
      </c>
      <c r="AC118">
        <f t="shared" si="13"/>
        <v>0.76562499999999967</v>
      </c>
      <c r="AD118">
        <f t="shared" si="14"/>
        <v>1</v>
      </c>
      <c r="AE118">
        <f t="shared" si="16"/>
        <v>0.87499999999999989</v>
      </c>
      <c r="AG118">
        <f t="shared" si="17"/>
        <v>0.55835635359116009</v>
      </c>
    </row>
    <row r="119" spans="1:33" x14ac:dyDescent="0.25">
      <c r="A119">
        <v>207</v>
      </c>
      <c r="B119">
        <f>IFERROR(VLOOKUP(A119,Capacity!$A$3:$D$532,4,), "0")</f>
        <v>31.101766740000002</v>
      </c>
      <c r="C119" s="4">
        <f>IFERROR(VLOOKUP(A119,Capacity!$A$3:$F$532,6,), "0")</f>
        <v>0.3</v>
      </c>
      <c r="D119">
        <v>208</v>
      </c>
      <c r="E119">
        <f>IFERROR(VLOOKUP(D119,Capacity!$A$3:$D$532,4,), "0")</f>
        <v>25.132740800000008</v>
      </c>
      <c r="F119" s="4">
        <f>IFERROR(VLOOKUP(D119,Capacity!$A$3:$F$532,6,), "0")</f>
        <v>0.4</v>
      </c>
      <c r="G119">
        <v>206</v>
      </c>
      <c r="H119">
        <f>IFERROR(VLOOKUP(G119,Capacity!$A$3:$D$532,4,), "0")</f>
        <v>17.318029207499997</v>
      </c>
      <c r="I119" s="4">
        <f>IFERROR(VLOOKUP(G119,Capacity!$A$3:$F$532,6,), "0")</f>
        <v>0.17499999999999999</v>
      </c>
      <c r="K119" t="str">
        <f>IFERROR(VLOOKUP(J119,Capacity!$A$3:$D$532,4,), "0")</f>
        <v>0</v>
      </c>
      <c r="L119" s="4" t="str">
        <f>IFERROR(VLOOKUP(J119,Capacity!$A$3:$F$532,6,), "0")</f>
        <v>0</v>
      </c>
      <c r="M119" s="5">
        <f t="shared" si="9"/>
        <v>42.450770007500005</v>
      </c>
      <c r="N119" s="5">
        <f t="shared" si="10"/>
        <v>0.57499999999999996</v>
      </c>
      <c r="O119">
        <v>194</v>
      </c>
      <c r="P119">
        <f>IFERROR(VLOOKUP(O119,Capacity!$A$3:$D$532,4,), "0")</f>
        <v>80.424770560000013</v>
      </c>
      <c r="Q119" s="4">
        <f>IFERROR(VLOOKUP(O119,Capacity!$A$3:$F$532,6,), "0")</f>
        <v>0.4</v>
      </c>
      <c r="R119" s="5">
        <f t="shared" si="11"/>
        <v>80.424770560000013</v>
      </c>
      <c r="S119" s="5">
        <f t="shared" si="15"/>
        <v>0.4</v>
      </c>
      <c r="U119">
        <v>207</v>
      </c>
      <c r="V119">
        <v>3</v>
      </c>
      <c r="W119">
        <v>3</v>
      </c>
      <c r="X119">
        <v>1</v>
      </c>
      <c r="AB119">
        <f t="shared" si="12"/>
        <v>0.52783203125</v>
      </c>
      <c r="AC119">
        <f t="shared" si="13"/>
        <v>1.3648989898989901</v>
      </c>
      <c r="AD119">
        <f t="shared" si="14"/>
        <v>1.4374999999999998</v>
      </c>
      <c r="AE119">
        <f t="shared" si="16"/>
        <v>1.9166666666666665</v>
      </c>
      <c r="AG119">
        <f t="shared" si="17"/>
        <v>0.3806338028169014</v>
      </c>
    </row>
    <row r="120" spans="1:33" x14ac:dyDescent="0.25">
      <c r="A120">
        <v>193</v>
      </c>
      <c r="B120">
        <f>IFERROR(VLOOKUP(A120,Capacity!$A$3:$D$532,4,), "0")</f>
        <v>19.242254674999998</v>
      </c>
      <c r="C120" s="4">
        <f>IFERROR(VLOOKUP(A120,Capacity!$A$3:$F$532,6,), "0")</f>
        <v>0.17499999999999999</v>
      </c>
      <c r="D120">
        <v>462</v>
      </c>
      <c r="E120">
        <f>IFERROR(VLOOKUP(D120,Capacity!$A$3:$D$532,4,), "0")</f>
        <v>19.242254674999998</v>
      </c>
      <c r="F120" s="4">
        <f>IFERROR(VLOOKUP(D120,Capacity!$A$3:$F$532,6,), "0")</f>
        <v>0.17499999999999999</v>
      </c>
      <c r="H120" t="str">
        <f>IFERROR(VLOOKUP(G120,Capacity!$A$3:$D$532,4,), "0")</f>
        <v>0</v>
      </c>
      <c r="I120" s="4" t="str">
        <f>IFERROR(VLOOKUP(G120,Capacity!$A$3:$F$532,6,), "0")</f>
        <v>0</v>
      </c>
      <c r="K120" t="str">
        <f>IFERROR(VLOOKUP(J120,Capacity!$A$3:$D$532,4,), "0")</f>
        <v>0</v>
      </c>
      <c r="L120" s="4" t="str">
        <f>IFERROR(VLOOKUP(J120,Capacity!$A$3:$F$532,6,), "0")</f>
        <v>0</v>
      </c>
      <c r="M120" s="5">
        <f t="shared" si="9"/>
        <v>19.242254674999998</v>
      </c>
      <c r="N120" s="5">
        <f t="shared" si="10"/>
        <v>0.17499999999999999</v>
      </c>
      <c r="O120">
        <v>194</v>
      </c>
      <c r="P120">
        <f>IFERROR(VLOOKUP(O120,Capacity!$A$3:$D$532,4,), "0")</f>
        <v>80.424770560000013</v>
      </c>
      <c r="Q120" s="4">
        <f>IFERROR(VLOOKUP(O120,Capacity!$A$3:$F$532,6,), "0")</f>
        <v>0.4</v>
      </c>
      <c r="R120" s="5">
        <f t="shared" si="11"/>
        <v>80.424770560000013</v>
      </c>
      <c r="S120" s="5">
        <f t="shared" si="15"/>
        <v>0.4</v>
      </c>
      <c r="U120">
        <v>193</v>
      </c>
      <c r="V120">
        <v>1</v>
      </c>
      <c r="W120">
        <v>1</v>
      </c>
      <c r="X120">
        <v>1</v>
      </c>
      <c r="AB120">
        <f t="shared" si="12"/>
        <v>0.23925781249999994</v>
      </c>
      <c r="AC120">
        <f t="shared" si="13"/>
        <v>1</v>
      </c>
      <c r="AD120">
        <f t="shared" si="14"/>
        <v>0.43749999999999994</v>
      </c>
      <c r="AE120">
        <f t="shared" si="16"/>
        <v>1</v>
      </c>
      <c r="AG120">
        <f t="shared" si="17"/>
        <v>0.19306540583136322</v>
      </c>
    </row>
    <row r="121" spans="1:33" x14ac:dyDescent="0.25">
      <c r="A121">
        <v>471</v>
      </c>
      <c r="B121">
        <f>IFERROR(VLOOKUP(A121,Capacity!$A$3:$D$532,4,), "0")</f>
        <v>22.705860516499996</v>
      </c>
      <c r="C121" s="4">
        <f>IFERROR(VLOOKUP(A121,Capacity!$A$3:$F$532,6,), "0")</f>
        <v>0.17499999999999999</v>
      </c>
      <c r="E121" t="str">
        <f>IFERROR(VLOOKUP(D121,Capacity!$A$3:$D$532,4,), "0")</f>
        <v>0</v>
      </c>
      <c r="F121" s="4" t="str">
        <f>IFERROR(VLOOKUP(D121,Capacity!$A$3:$F$532,6,), "0")</f>
        <v>0</v>
      </c>
      <c r="H121" t="str">
        <f>IFERROR(VLOOKUP(G121,Capacity!$A$3:$D$532,4,), "0")</f>
        <v>0</v>
      </c>
      <c r="I121" s="4" t="str">
        <f>IFERROR(VLOOKUP(G121,Capacity!$A$3:$F$532,6,), "0")</f>
        <v>0</v>
      </c>
      <c r="K121" t="str">
        <f>IFERROR(VLOOKUP(J121,Capacity!$A$3:$D$532,4,), "0")</f>
        <v>0</v>
      </c>
      <c r="L121" s="4" t="str">
        <f>IFERROR(VLOOKUP(J121,Capacity!$A$3:$F$532,6,), "0")</f>
        <v>0</v>
      </c>
      <c r="M121" s="5">
        <f t="shared" si="9"/>
        <v>0</v>
      </c>
      <c r="N121" s="5">
        <f t="shared" si="10"/>
        <v>0</v>
      </c>
      <c r="O121">
        <v>216</v>
      </c>
      <c r="P121">
        <f>IFERROR(VLOOKUP(O121,Capacity!$A$3:$D$532,4,), "0")</f>
        <v>14.451325960000002</v>
      </c>
      <c r="Q121" s="4">
        <f>IFERROR(VLOOKUP(O121,Capacity!$A$3:$F$532,6,), "0")</f>
        <v>0.2</v>
      </c>
      <c r="R121" s="5">
        <f t="shared" si="11"/>
        <v>14.451325960000002</v>
      </c>
      <c r="S121" s="5">
        <f t="shared" si="15"/>
        <v>0.2</v>
      </c>
      <c r="U121">
        <v>471</v>
      </c>
      <c r="V121">
        <v>0</v>
      </c>
      <c r="W121">
        <v>0</v>
      </c>
      <c r="X121">
        <v>1</v>
      </c>
      <c r="AB121">
        <f t="shared" si="12"/>
        <v>0</v>
      </c>
      <c r="AC121">
        <f t="shared" si="13"/>
        <v>0</v>
      </c>
      <c r="AD121">
        <f t="shared" si="14"/>
        <v>0</v>
      </c>
      <c r="AE121">
        <f t="shared" si="16"/>
        <v>0</v>
      </c>
      <c r="AG121">
        <f t="shared" si="17"/>
        <v>0</v>
      </c>
    </row>
    <row r="122" spans="1:33" x14ac:dyDescent="0.25">
      <c r="A122">
        <v>275</v>
      </c>
      <c r="B122">
        <f>IFERROR(VLOOKUP(A122,Capacity!$A$3:$D$532,4,), "0")</f>
        <v>28.863382012499997</v>
      </c>
      <c r="C122" s="4">
        <f>IFERROR(VLOOKUP(A122,Capacity!$A$3:$F$532,6,), "0")</f>
        <v>0.17499999999999999</v>
      </c>
      <c r="E122" t="str">
        <f>IFERROR(VLOOKUP(D122,Capacity!$A$3:$D$532,4,), "0")</f>
        <v>0</v>
      </c>
      <c r="F122" s="4" t="str">
        <f>IFERROR(VLOOKUP(D122,Capacity!$A$3:$F$532,6,), "0")</f>
        <v>0</v>
      </c>
      <c r="H122" t="str">
        <f>IFERROR(VLOOKUP(G122,Capacity!$A$3:$D$532,4,), "0")</f>
        <v>0</v>
      </c>
      <c r="I122" s="4" t="str">
        <f>IFERROR(VLOOKUP(G122,Capacity!$A$3:$F$532,6,), "0")</f>
        <v>0</v>
      </c>
      <c r="K122" t="str">
        <f>IFERROR(VLOOKUP(J122,Capacity!$A$3:$D$532,4,), "0")</f>
        <v>0</v>
      </c>
      <c r="L122" s="4" t="str">
        <f>IFERROR(VLOOKUP(J122,Capacity!$A$3:$F$532,6,), "0")</f>
        <v>0</v>
      </c>
      <c r="M122" s="5">
        <f t="shared" si="9"/>
        <v>0</v>
      </c>
      <c r="N122" s="5">
        <f t="shared" si="10"/>
        <v>0</v>
      </c>
      <c r="O122">
        <v>216</v>
      </c>
      <c r="P122">
        <f>IFERROR(VLOOKUP(O122,Capacity!$A$3:$D$532,4,), "0")</f>
        <v>14.451325960000002</v>
      </c>
      <c r="Q122" s="4">
        <f>IFERROR(VLOOKUP(O122,Capacity!$A$3:$F$532,6,), "0")</f>
        <v>0.2</v>
      </c>
      <c r="R122" s="5">
        <f t="shared" si="11"/>
        <v>14.451325960000002</v>
      </c>
      <c r="S122" s="5">
        <f t="shared" si="15"/>
        <v>0.2</v>
      </c>
      <c r="U122">
        <v>275</v>
      </c>
      <c r="V122">
        <v>1</v>
      </c>
      <c r="W122">
        <v>1</v>
      </c>
      <c r="X122">
        <v>1</v>
      </c>
      <c r="AB122">
        <f t="shared" si="12"/>
        <v>0</v>
      </c>
      <c r="AC122">
        <f t="shared" si="13"/>
        <v>0</v>
      </c>
      <c r="AD122">
        <f t="shared" si="14"/>
        <v>0</v>
      </c>
      <c r="AE122">
        <f t="shared" si="16"/>
        <v>0</v>
      </c>
      <c r="AG122">
        <f t="shared" si="17"/>
        <v>0</v>
      </c>
    </row>
    <row r="123" spans="1:33" x14ac:dyDescent="0.25">
      <c r="A123">
        <v>215</v>
      </c>
      <c r="B123">
        <f>IFERROR(VLOOKUP(A123,Capacity!$A$3:$D$532,4,), "0")</f>
        <v>6.2831852000000019</v>
      </c>
      <c r="C123" s="4">
        <f>IFERROR(VLOOKUP(A123,Capacity!$A$3:$F$532,6,), "0")</f>
        <v>0.2</v>
      </c>
      <c r="D123">
        <v>472</v>
      </c>
      <c r="E123">
        <f>IFERROR(VLOOKUP(D123,Capacity!$A$3:$D$532,4,), "0")</f>
        <v>24.052818343749998</v>
      </c>
      <c r="F123" s="4">
        <f>IFERROR(VLOOKUP(D123,Capacity!$A$3:$F$532,6,), "0")</f>
        <v>0.17499999999999999</v>
      </c>
      <c r="G123">
        <v>214</v>
      </c>
      <c r="H123">
        <f>IFERROR(VLOOKUP(G123,Capacity!$A$3:$D$532,4,), "0")</f>
        <v>5.7726764024999992</v>
      </c>
      <c r="I123" s="4">
        <f>IFERROR(VLOOKUP(G123,Capacity!$A$3:$F$532,6,), "0")</f>
        <v>0.17499999999999999</v>
      </c>
      <c r="K123" t="str">
        <f>IFERROR(VLOOKUP(J123,Capacity!$A$3:$D$532,4,), "0")</f>
        <v>0</v>
      </c>
      <c r="L123" s="4" t="str">
        <f>IFERROR(VLOOKUP(J123,Capacity!$A$3:$F$532,6,), "0")</f>
        <v>0</v>
      </c>
      <c r="M123" s="5">
        <f t="shared" si="9"/>
        <v>29.825494746249998</v>
      </c>
      <c r="N123" s="5">
        <f t="shared" si="10"/>
        <v>0.35</v>
      </c>
      <c r="O123">
        <v>216</v>
      </c>
      <c r="P123">
        <f>IFERROR(VLOOKUP(O123,Capacity!$A$3:$D$532,4,), "0")</f>
        <v>14.451325960000002</v>
      </c>
      <c r="Q123" s="4">
        <f>IFERROR(VLOOKUP(O123,Capacity!$A$3:$F$532,6,), "0")</f>
        <v>0.2</v>
      </c>
      <c r="R123" s="5">
        <f t="shared" si="11"/>
        <v>14.451325960000002</v>
      </c>
      <c r="S123" s="5">
        <f t="shared" si="15"/>
        <v>0.2</v>
      </c>
      <c r="U123">
        <v>215</v>
      </c>
      <c r="V123">
        <v>3</v>
      </c>
      <c r="W123">
        <v>3</v>
      </c>
      <c r="X123">
        <v>1</v>
      </c>
      <c r="AB123">
        <f t="shared" si="12"/>
        <v>2.0638586956521734</v>
      </c>
      <c r="AC123">
        <f t="shared" si="13"/>
        <v>4.7468749999999984</v>
      </c>
      <c r="AD123">
        <f t="shared" si="14"/>
        <v>1.7499999999999998</v>
      </c>
      <c r="AE123">
        <f t="shared" si="16"/>
        <v>1.7499999999999998</v>
      </c>
      <c r="AG123">
        <f t="shared" si="17"/>
        <v>1.4384469696969693</v>
      </c>
    </row>
    <row r="124" spans="1:33" x14ac:dyDescent="0.25">
      <c r="A124">
        <v>121</v>
      </c>
      <c r="B124">
        <f>IFERROR(VLOOKUP(A124,Capacity!$A$3:$D$532,4,), "0")</f>
        <v>309.25052156250001</v>
      </c>
      <c r="C124" s="4">
        <f>IFERROR(VLOOKUP(A124,Capacity!$A$3:$F$532,6,), "0")</f>
        <v>0.75</v>
      </c>
      <c r="D124">
        <v>122</v>
      </c>
      <c r="E124">
        <f>IFERROR(VLOOKUP(D124,Capacity!$A$3:$D$532,4,), "0")</f>
        <v>16.836972840624998</v>
      </c>
      <c r="F124" s="4">
        <f>IFERROR(VLOOKUP(D124,Capacity!$A$3:$F$532,6,), "0")</f>
        <v>0.17499999999999999</v>
      </c>
      <c r="H124" t="str">
        <f>IFERROR(VLOOKUP(G124,Capacity!$A$3:$D$532,4,), "0")</f>
        <v>0</v>
      </c>
      <c r="I124" s="4" t="str">
        <f>IFERROR(VLOOKUP(G124,Capacity!$A$3:$F$532,6,), "0")</f>
        <v>0</v>
      </c>
      <c r="K124" t="str">
        <f>IFERROR(VLOOKUP(J124,Capacity!$A$3:$D$532,4,), "0")</f>
        <v>0</v>
      </c>
      <c r="L124" s="4" t="str">
        <f>IFERROR(VLOOKUP(J124,Capacity!$A$3:$F$532,6,), "0")</f>
        <v>0</v>
      </c>
      <c r="M124" s="5">
        <f t="shared" si="9"/>
        <v>16.836972840624998</v>
      </c>
      <c r="N124" s="5">
        <f t="shared" si="10"/>
        <v>0.17499999999999999</v>
      </c>
      <c r="O124">
        <v>120</v>
      </c>
      <c r="P124">
        <f>IFERROR(VLOOKUP(O124,Capacity!$A$3:$D$532,4,), "0")</f>
        <v>10.681414840000002</v>
      </c>
      <c r="Q124" s="4">
        <f>IFERROR(VLOOKUP(O124,Capacity!$A$3:$F$532,6,), "0")</f>
        <v>0.2</v>
      </c>
      <c r="R124" s="5">
        <f t="shared" si="11"/>
        <v>10.681414840000002</v>
      </c>
      <c r="S124" s="5">
        <f t="shared" si="15"/>
        <v>0.2</v>
      </c>
      <c r="U124">
        <v>121</v>
      </c>
      <c r="V124">
        <v>1</v>
      </c>
      <c r="W124">
        <v>1</v>
      </c>
      <c r="X124">
        <v>1</v>
      </c>
      <c r="AB124">
        <f t="shared" si="12"/>
        <v>1.5762867647058818</v>
      </c>
      <c r="AC124">
        <f t="shared" si="13"/>
        <v>5.4444444444444434E-2</v>
      </c>
      <c r="AD124">
        <f t="shared" si="14"/>
        <v>0.87499999999999989</v>
      </c>
      <c r="AE124">
        <f t="shared" si="16"/>
        <v>0.23333333333333331</v>
      </c>
      <c r="AG124">
        <f t="shared" si="17"/>
        <v>5.2626733767030802E-2</v>
      </c>
    </row>
    <row r="125" spans="1:33" x14ac:dyDescent="0.25">
      <c r="A125">
        <v>119</v>
      </c>
      <c r="B125">
        <f>IFERROR(VLOOKUP(A125,Capacity!$A$3:$D$532,4,), "0")</f>
        <v>361.28314899999998</v>
      </c>
      <c r="C125" s="4">
        <f>IFERROR(VLOOKUP(A125,Capacity!$A$3:$F$532,6,), "0")</f>
        <v>1</v>
      </c>
      <c r="D125">
        <v>111</v>
      </c>
      <c r="E125">
        <f>IFERROR(VLOOKUP(D125,Capacity!$A$3:$D$532,4,), "0")</f>
        <v>12.566370400000004</v>
      </c>
      <c r="F125" s="4">
        <f>IFERROR(VLOOKUP(D125,Capacity!$A$3:$F$532,6,), "0")</f>
        <v>0.2</v>
      </c>
      <c r="G125">
        <v>118</v>
      </c>
      <c r="H125">
        <f>IFERROR(VLOOKUP(G125,Capacity!$A$3:$D$532,4,), "0")</f>
        <v>14.431691006249999</v>
      </c>
      <c r="I125" s="4">
        <f>IFERROR(VLOOKUP(G125,Capacity!$A$3:$F$532,6,), "0")</f>
        <v>0.17499999999999999</v>
      </c>
      <c r="J125">
        <v>277</v>
      </c>
      <c r="K125">
        <f>IFERROR(VLOOKUP(J125,Capacity!$A$3:$D$532,4,), "0")</f>
        <v>14.431691006249999</v>
      </c>
      <c r="L125" s="4">
        <f>IFERROR(VLOOKUP(J125,Capacity!$A$3:$F$532,6,), "0")</f>
        <v>0.17499999999999999</v>
      </c>
      <c r="M125" s="5">
        <f t="shared" si="9"/>
        <v>41.429752412500001</v>
      </c>
      <c r="N125" s="5">
        <f t="shared" si="10"/>
        <v>0.55000000000000004</v>
      </c>
      <c r="O125">
        <v>120</v>
      </c>
      <c r="P125">
        <f>IFERROR(VLOOKUP(O125,Capacity!$A$3:$D$532,4,), "0")</f>
        <v>10.681414840000002</v>
      </c>
      <c r="Q125" s="4">
        <f>IFERROR(VLOOKUP(O125,Capacity!$A$3:$F$532,6,), "0")</f>
        <v>0.2</v>
      </c>
      <c r="R125" s="5">
        <f t="shared" si="11"/>
        <v>10.681414840000002</v>
      </c>
      <c r="S125" s="5">
        <f t="shared" si="15"/>
        <v>0.2</v>
      </c>
      <c r="U125">
        <v>119</v>
      </c>
      <c r="V125">
        <v>3</v>
      </c>
      <c r="W125">
        <v>3</v>
      </c>
      <c r="X125">
        <v>1</v>
      </c>
      <c r="AB125">
        <f t="shared" si="12"/>
        <v>3.8786764705882346</v>
      </c>
      <c r="AC125">
        <f t="shared" si="13"/>
        <v>0.11467391304347826</v>
      </c>
      <c r="AD125">
        <f t="shared" si="14"/>
        <v>2.75</v>
      </c>
      <c r="AE125">
        <f t="shared" si="16"/>
        <v>0.55000000000000004</v>
      </c>
      <c r="AG125">
        <f t="shared" si="17"/>
        <v>0.11138091216216217</v>
      </c>
    </row>
    <row r="126" spans="1:33" x14ac:dyDescent="0.25">
      <c r="A126">
        <v>125</v>
      </c>
      <c r="B126">
        <f>IFERROR(VLOOKUP(A126,Capacity!$A$3:$D$532,4,), "0")</f>
        <v>21.647536509374998</v>
      </c>
      <c r="C126" s="4">
        <f>IFERROR(VLOOKUP(A126,Capacity!$A$3:$F$532,6,), "0")</f>
        <v>0.17499999999999999</v>
      </c>
      <c r="D126">
        <v>441</v>
      </c>
      <c r="E126">
        <f>IFERROR(VLOOKUP(D126,Capacity!$A$3:$D$532,4,), "0")</f>
        <v>180.95573375999999</v>
      </c>
      <c r="F126" s="4">
        <f>IFERROR(VLOOKUP(D126,Capacity!$A$3:$F$532,6,), "0")</f>
        <v>0.6</v>
      </c>
      <c r="G126">
        <v>437</v>
      </c>
      <c r="H126">
        <f>IFERROR(VLOOKUP(G126,Capacity!$A$3:$D$532,4,), "0")</f>
        <v>90.477866879999993</v>
      </c>
      <c r="I126" s="4">
        <f>IFERROR(VLOOKUP(G126,Capacity!$A$3:$F$532,6,), "0")</f>
        <v>0.6</v>
      </c>
      <c r="K126" t="str">
        <f>IFERROR(VLOOKUP(J126,Capacity!$A$3:$D$532,4,), "0")</f>
        <v>0</v>
      </c>
      <c r="L126" s="4" t="str">
        <f>IFERROR(VLOOKUP(J126,Capacity!$A$3:$F$532,6,), "0")</f>
        <v>0</v>
      </c>
      <c r="M126" s="5">
        <f t="shared" si="9"/>
        <v>271.43360064000001</v>
      </c>
      <c r="N126" s="5">
        <f t="shared" si="10"/>
        <v>1.2</v>
      </c>
      <c r="O126">
        <v>126</v>
      </c>
      <c r="P126">
        <f>IFERROR(VLOOKUP(O126,Capacity!$A$3:$D$532,4,), "0")</f>
        <v>12.507465538749999</v>
      </c>
      <c r="Q126" s="4">
        <f>IFERROR(VLOOKUP(O126,Capacity!$A$3:$F$532,6,), "0")</f>
        <v>0.17499999999999999</v>
      </c>
      <c r="R126" s="5">
        <f t="shared" si="11"/>
        <v>12.507465538749999</v>
      </c>
      <c r="S126" s="5">
        <f t="shared" si="15"/>
        <v>0.17499999999999999</v>
      </c>
      <c r="U126">
        <v>125</v>
      </c>
      <c r="V126">
        <v>2</v>
      </c>
      <c r="W126">
        <v>2</v>
      </c>
      <c r="X126">
        <v>1</v>
      </c>
      <c r="AB126">
        <f t="shared" si="12"/>
        <v>21.701726844583991</v>
      </c>
      <c r="AC126">
        <f t="shared" si="13"/>
        <v>12.538775510204083</v>
      </c>
      <c r="AD126">
        <f t="shared" si="14"/>
        <v>6.8571428571428577</v>
      </c>
      <c r="AE126">
        <f t="shared" si="16"/>
        <v>6.8571428571428577</v>
      </c>
      <c r="AG126">
        <f t="shared" si="17"/>
        <v>7.9471112388617424</v>
      </c>
    </row>
    <row r="127" spans="1:33" x14ac:dyDescent="0.25">
      <c r="A127">
        <v>442</v>
      </c>
      <c r="B127">
        <f>IFERROR(VLOOKUP(A127,Capacity!$A$3:$D$532,4,), "0")</f>
        <v>7.6969018699999987</v>
      </c>
      <c r="C127" s="4">
        <f>IFERROR(VLOOKUP(A127,Capacity!$A$3:$F$532,6,), "0")</f>
        <v>0.17499999999999999</v>
      </c>
      <c r="E127" t="str">
        <f>IFERROR(VLOOKUP(D127,Capacity!$A$3:$D$532,4,), "0")</f>
        <v>0</v>
      </c>
      <c r="F127" s="4" t="str">
        <f>IFERROR(VLOOKUP(D127,Capacity!$A$3:$F$532,6,), "0")</f>
        <v>0</v>
      </c>
      <c r="H127" t="str">
        <f>IFERROR(VLOOKUP(G127,Capacity!$A$3:$D$532,4,), "0")</f>
        <v>0</v>
      </c>
      <c r="I127" s="4" t="str">
        <f>IFERROR(VLOOKUP(G127,Capacity!$A$3:$F$532,6,), "0")</f>
        <v>0</v>
      </c>
      <c r="K127" t="str">
        <f>IFERROR(VLOOKUP(J127,Capacity!$A$3:$D$532,4,), "0")</f>
        <v>0</v>
      </c>
      <c r="L127" s="4" t="str">
        <f>IFERROR(VLOOKUP(J127,Capacity!$A$3:$F$532,6,), "0")</f>
        <v>0</v>
      </c>
      <c r="M127" s="5">
        <f t="shared" si="9"/>
        <v>0</v>
      </c>
      <c r="N127" s="5">
        <f t="shared" si="10"/>
        <v>0</v>
      </c>
      <c r="O127">
        <v>132</v>
      </c>
      <c r="P127">
        <f>IFERROR(VLOOKUP(O127,Capacity!$A$3:$D$532,4,), "0")</f>
        <v>175.30086708000002</v>
      </c>
      <c r="Q127" s="4">
        <f>IFERROR(VLOOKUP(O127,Capacity!$A$3:$F$532,6,), "0")</f>
        <v>0.6</v>
      </c>
      <c r="R127" s="5">
        <f t="shared" si="11"/>
        <v>175.30086708000002</v>
      </c>
      <c r="S127" s="5">
        <f t="shared" si="15"/>
        <v>0.6</v>
      </c>
      <c r="U127">
        <v>442</v>
      </c>
      <c r="V127">
        <v>0</v>
      </c>
      <c r="W127">
        <v>0</v>
      </c>
      <c r="X127">
        <v>1</v>
      </c>
      <c r="AB127">
        <f t="shared" si="12"/>
        <v>0</v>
      </c>
      <c r="AC127">
        <f t="shared" si="13"/>
        <v>0</v>
      </c>
      <c r="AD127">
        <f t="shared" si="14"/>
        <v>0</v>
      </c>
      <c r="AE127">
        <f t="shared" si="16"/>
        <v>0</v>
      </c>
      <c r="AG127">
        <f t="shared" si="17"/>
        <v>0</v>
      </c>
    </row>
    <row r="128" spans="1:33" x14ac:dyDescent="0.25">
      <c r="A128">
        <v>130</v>
      </c>
      <c r="B128">
        <f>IFERROR(VLOOKUP(A128,Capacity!$A$3:$D$532,4,), "0")</f>
        <v>133.5176855</v>
      </c>
      <c r="C128" s="4">
        <f>IFERROR(VLOOKUP(A128,Capacity!$A$3:$F$532,6,), "0")</f>
        <v>0.5</v>
      </c>
      <c r="D128">
        <v>123</v>
      </c>
      <c r="E128">
        <f>IFERROR(VLOOKUP(D128,Capacity!$A$3:$D$532,4,), "0")</f>
        <v>7.6969018699999987</v>
      </c>
      <c r="F128" s="4">
        <f>IFERROR(VLOOKUP(D128,Capacity!$A$3:$F$532,6,), "0")</f>
        <v>0.17499999999999999</v>
      </c>
      <c r="G128">
        <v>95</v>
      </c>
      <c r="H128">
        <f>IFERROR(VLOOKUP(G128,Capacity!$A$3:$D$532,4,), "0")</f>
        <v>30.886567646900005</v>
      </c>
      <c r="I128" s="4">
        <f>IFERROR(VLOOKUP(G128,Capacity!$A$3:$F$532,6,), "0")</f>
        <v>0.26500000000000001</v>
      </c>
      <c r="K128" t="str">
        <f>IFERROR(VLOOKUP(J128,Capacity!$A$3:$D$532,4,), "0")</f>
        <v>0</v>
      </c>
      <c r="L128" s="4" t="str">
        <f>IFERROR(VLOOKUP(J128,Capacity!$A$3:$F$532,6,), "0")</f>
        <v>0</v>
      </c>
      <c r="M128" s="5">
        <f t="shared" si="9"/>
        <v>38.583469516900003</v>
      </c>
      <c r="N128" s="5">
        <f t="shared" si="10"/>
        <v>0.44</v>
      </c>
      <c r="O128">
        <v>132</v>
      </c>
      <c r="P128">
        <f>IFERROR(VLOOKUP(O128,Capacity!$A$3:$D$532,4,), "0")</f>
        <v>175.30086708000002</v>
      </c>
      <c r="Q128" s="4">
        <f>IFERROR(VLOOKUP(O128,Capacity!$A$3:$F$532,6,), "0")</f>
        <v>0.6</v>
      </c>
      <c r="R128" s="5">
        <f t="shared" si="11"/>
        <v>175.30086708000002</v>
      </c>
      <c r="S128" s="5">
        <f t="shared" si="15"/>
        <v>0.6</v>
      </c>
      <c r="U128">
        <v>130</v>
      </c>
      <c r="V128">
        <v>3</v>
      </c>
      <c r="W128">
        <v>3</v>
      </c>
      <c r="X128">
        <v>1</v>
      </c>
      <c r="AB128">
        <f t="shared" si="12"/>
        <v>0.22009856630824373</v>
      </c>
      <c r="AC128">
        <f t="shared" si="13"/>
        <v>0.28897647058823533</v>
      </c>
      <c r="AD128">
        <f t="shared" si="14"/>
        <v>0.73333333333333339</v>
      </c>
      <c r="AE128">
        <f t="shared" si="16"/>
        <v>0.88</v>
      </c>
      <c r="AG128">
        <f t="shared" si="17"/>
        <v>0.12493896236012207</v>
      </c>
    </row>
    <row r="129" spans="1:33" x14ac:dyDescent="0.25">
      <c r="A129">
        <v>93</v>
      </c>
      <c r="B129">
        <f>IFERROR(VLOOKUP(A129,Capacity!$A$3:$D$532,4,), "0")</f>
        <v>25.132740800000008</v>
      </c>
      <c r="C129" s="4">
        <f>IFERROR(VLOOKUP(A129,Capacity!$A$3:$F$532,6,), "0")</f>
        <v>0.2</v>
      </c>
      <c r="D129">
        <v>424</v>
      </c>
      <c r="E129">
        <f>IFERROR(VLOOKUP(D129,Capacity!$A$3:$D$532,4,), "0")</f>
        <v>7.6969018699999987</v>
      </c>
      <c r="F129" s="4">
        <f>IFERROR(VLOOKUP(D129,Capacity!$A$3:$F$532,6,), "0")</f>
        <v>0.17499999999999999</v>
      </c>
      <c r="G129">
        <v>94</v>
      </c>
      <c r="H129">
        <f>IFERROR(VLOOKUP(G129,Capacity!$A$3:$D$532,4,), "0")</f>
        <v>7.6969018699999987</v>
      </c>
      <c r="I129" s="4">
        <f>IFERROR(VLOOKUP(G129,Capacity!$A$3:$F$532,6,), "0")</f>
        <v>0.17499999999999999</v>
      </c>
      <c r="J129">
        <v>53</v>
      </c>
      <c r="K129">
        <f>IFERROR(VLOOKUP(J129,Capacity!$A$3:$D$532,4,), "0")</f>
        <v>28.274333400000007</v>
      </c>
      <c r="L129" s="4">
        <f>IFERROR(VLOOKUP(J129,Capacity!$A$3:$F$532,6,), "0")</f>
        <v>0.2</v>
      </c>
      <c r="M129" s="5">
        <f t="shared" si="9"/>
        <v>43.668137140000006</v>
      </c>
      <c r="N129" s="5">
        <f t="shared" si="10"/>
        <v>0.55000000000000004</v>
      </c>
      <c r="O129">
        <v>132</v>
      </c>
      <c r="P129">
        <f>IFERROR(VLOOKUP(O129,Capacity!$A$3:$D$532,4,), "0")</f>
        <v>175.30086708000002</v>
      </c>
      <c r="Q129" s="4">
        <f>IFERROR(VLOOKUP(O129,Capacity!$A$3:$F$532,6,), "0")</f>
        <v>0.6</v>
      </c>
      <c r="R129" s="5">
        <f t="shared" si="11"/>
        <v>175.30086708000002</v>
      </c>
      <c r="S129" s="5">
        <f t="shared" si="15"/>
        <v>0.6</v>
      </c>
      <c r="U129">
        <v>93</v>
      </c>
      <c r="V129">
        <v>4</v>
      </c>
      <c r="W129">
        <v>4</v>
      </c>
      <c r="X129">
        <v>1</v>
      </c>
      <c r="AB129">
        <f t="shared" si="12"/>
        <v>0.24910394265232977</v>
      </c>
      <c r="AC129">
        <f t="shared" si="13"/>
        <v>1.7374999999999996</v>
      </c>
      <c r="AD129">
        <f t="shared" si="14"/>
        <v>0.91666666666666674</v>
      </c>
      <c r="AE129">
        <f t="shared" si="16"/>
        <v>2.75</v>
      </c>
      <c r="AG129">
        <f t="shared" si="17"/>
        <v>0.21786833855799376</v>
      </c>
    </row>
    <row r="130" spans="1:33" x14ac:dyDescent="0.25">
      <c r="A130">
        <v>423</v>
      </c>
      <c r="B130">
        <f>IFERROR(VLOOKUP(A130,Capacity!$A$3:$D$532,4,), "0")</f>
        <v>7.6969018699999987</v>
      </c>
      <c r="C130" s="4">
        <f>IFERROR(VLOOKUP(A130,Capacity!$A$3:$F$532,6,), "0")</f>
        <v>0.17499999999999999</v>
      </c>
      <c r="E130" t="str">
        <f>IFERROR(VLOOKUP(D130,Capacity!$A$3:$D$532,4,), "0")</f>
        <v>0</v>
      </c>
      <c r="F130" s="4" t="str">
        <f>IFERROR(VLOOKUP(D130,Capacity!$A$3:$F$532,6,), "0")</f>
        <v>0</v>
      </c>
      <c r="H130" t="str">
        <f>IFERROR(VLOOKUP(G130,Capacity!$A$3:$D$532,4,), "0")</f>
        <v>0</v>
      </c>
      <c r="I130" s="4" t="str">
        <f>IFERROR(VLOOKUP(G130,Capacity!$A$3:$F$532,6,), "0")</f>
        <v>0</v>
      </c>
      <c r="K130" t="str">
        <f>IFERROR(VLOOKUP(J130,Capacity!$A$3:$D$532,4,), "0")</f>
        <v>0</v>
      </c>
      <c r="L130" s="4" t="str">
        <f>IFERROR(VLOOKUP(J130,Capacity!$A$3:$F$532,6,), "0")</f>
        <v>0</v>
      </c>
      <c r="M130" s="5">
        <f t="shared" ref="M130:M193" si="18">$E130+$H130+$K130</f>
        <v>0</v>
      </c>
      <c r="N130" s="5">
        <f t="shared" si="10"/>
        <v>0</v>
      </c>
      <c r="O130">
        <v>92</v>
      </c>
      <c r="P130">
        <f>IFERROR(VLOOKUP(O130,Capacity!$A$3:$D$532,4,), "0")</f>
        <v>48.536034873700011</v>
      </c>
      <c r="Q130" s="4">
        <f>IFERROR(VLOOKUP(O130,Capacity!$A$3:$F$532,6,), "0")</f>
        <v>0.26500000000000001</v>
      </c>
      <c r="R130" s="5">
        <f t="shared" si="11"/>
        <v>48.536034873700011</v>
      </c>
      <c r="S130" s="5">
        <f t="shared" si="15"/>
        <v>0.26500000000000001</v>
      </c>
      <c r="U130">
        <v>423</v>
      </c>
      <c r="V130">
        <v>0</v>
      </c>
      <c r="W130">
        <v>0</v>
      </c>
      <c r="X130">
        <v>1</v>
      </c>
      <c r="AB130">
        <f t="shared" si="12"/>
        <v>0</v>
      </c>
      <c r="AC130">
        <f t="shared" si="13"/>
        <v>0</v>
      </c>
      <c r="AD130">
        <f t="shared" si="14"/>
        <v>0</v>
      </c>
      <c r="AE130">
        <f t="shared" si="16"/>
        <v>0</v>
      </c>
      <c r="AG130">
        <f t="shared" si="17"/>
        <v>0</v>
      </c>
    </row>
    <row r="131" spans="1:33" x14ac:dyDescent="0.25">
      <c r="A131">
        <v>52</v>
      </c>
      <c r="B131">
        <f>IFERROR(VLOOKUP(A131,Capacity!$A$3:$D$532,4,), "0")</f>
        <v>49.639126575375009</v>
      </c>
      <c r="C131" s="4">
        <f>IFERROR(VLOOKUP(A131,Capacity!$A$3:$F$532,6,), "0")</f>
        <v>0.26500000000000001</v>
      </c>
      <c r="D131">
        <v>378</v>
      </c>
      <c r="E131">
        <f>IFERROR(VLOOKUP(D131,Capacity!$A$3:$D$532,4,), "0")</f>
        <v>7.6969018699999987</v>
      </c>
      <c r="F131" s="4">
        <f>IFERROR(VLOOKUP(D131,Capacity!$A$3:$F$532,6,), "0")</f>
        <v>0.17499999999999999</v>
      </c>
      <c r="G131">
        <v>19</v>
      </c>
      <c r="H131">
        <f>IFERROR(VLOOKUP(G131,Capacity!$A$3:$D$532,4,), "0")</f>
        <v>57.36076848710001</v>
      </c>
      <c r="I131" s="4">
        <f>IFERROR(VLOOKUP(G131,Capacity!$A$3:$F$532,6,), "0")</f>
        <v>0.26500000000000001</v>
      </c>
      <c r="K131" t="str">
        <f>IFERROR(VLOOKUP(J131,Capacity!$A$3:$D$532,4,), "0")</f>
        <v>0</v>
      </c>
      <c r="L131" s="4" t="str">
        <f>IFERROR(VLOOKUP(J131,Capacity!$A$3:$F$532,6,), "0")</f>
        <v>0</v>
      </c>
      <c r="M131" s="5">
        <f t="shared" si="18"/>
        <v>65.057670357100008</v>
      </c>
      <c r="N131" s="5">
        <f t="shared" ref="N131:N194" si="19">$F131+$I131+$L131</f>
        <v>0.44</v>
      </c>
      <c r="O131">
        <v>92</v>
      </c>
      <c r="P131">
        <f>IFERROR(VLOOKUP(O131,Capacity!$A$3:$D$532,4,), "0")</f>
        <v>48.536034873700011</v>
      </c>
      <c r="Q131" s="4">
        <f>IFERROR(VLOOKUP(O131,Capacity!$A$3:$F$532,6,), "0")</f>
        <v>0.26500000000000001</v>
      </c>
      <c r="R131" s="5">
        <f t="shared" ref="R131:R194" si="20">$P131</f>
        <v>48.536034873700011</v>
      </c>
      <c r="S131" s="5">
        <f t="shared" si="15"/>
        <v>0.26500000000000001</v>
      </c>
      <c r="U131">
        <v>52</v>
      </c>
      <c r="V131">
        <v>2</v>
      </c>
      <c r="W131">
        <v>2</v>
      </c>
      <c r="X131">
        <v>1</v>
      </c>
      <c r="AB131">
        <f t="shared" ref="AB131:AB194" si="21">($M131/$R131)</f>
        <v>1.3403993656752644</v>
      </c>
      <c r="AC131">
        <f t="shared" ref="AC131:AC194" si="22">($M131/$B131)</f>
        <v>1.310612713104703</v>
      </c>
      <c r="AD131">
        <f t="shared" ref="AD131:AD194" si="23">($N131/$S131)</f>
        <v>1.6603773584905659</v>
      </c>
      <c r="AE131">
        <f t="shared" si="16"/>
        <v>1.6603773584905659</v>
      </c>
      <c r="AG131">
        <f t="shared" si="17"/>
        <v>0.66266934932260269</v>
      </c>
    </row>
    <row r="132" spans="1:33" x14ac:dyDescent="0.25">
      <c r="A132">
        <v>377</v>
      </c>
      <c r="B132">
        <f>IFERROR(VLOOKUP(A132,Capacity!$A$3:$D$532,4,), "0")</f>
        <v>7.6969018699999987</v>
      </c>
      <c r="C132" s="4">
        <f>IFERROR(VLOOKUP(A132,Capacity!$A$3:$F$532,6,), "0")</f>
        <v>0.17499999999999999</v>
      </c>
      <c r="E132" t="str">
        <f>IFERROR(VLOOKUP(D132,Capacity!$A$3:$D$532,4,), "0")</f>
        <v>0</v>
      </c>
      <c r="F132" s="4" t="str">
        <f>IFERROR(VLOOKUP(D132,Capacity!$A$3:$F$532,6,), "0")</f>
        <v>0</v>
      </c>
      <c r="H132" t="str">
        <f>IFERROR(VLOOKUP(G132,Capacity!$A$3:$D$532,4,), "0")</f>
        <v>0</v>
      </c>
      <c r="I132" s="4" t="str">
        <f>IFERROR(VLOOKUP(G132,Capacity!$A$3:$F$532,6,), "0")</f>
        <v>0</v>
      </c>
      <c r="K132" t="str">
        <f>IFERROR(VLOOKUP(J132,Capacity!$A$3:$D$532,4,), "0")</f>
        <v>0</v>
      </c>
      <c r="L132" s="4" t="str">
        <f>IFERROR(VLOOKUP(J132,Capacity!$A$3:$F$532,6,), "0")</f>
        <v>0</v>
      </c>
      <c r="M132" s="5">
        <f t="shared" si="18"/>
        <v>0</v>
      </c>
      <c r="N132" s="5">
        <f t="shared" si="19"/>
        <v>0</v>
      </c>
      <c r="O132">
        <v>51</v>
      </c>
      <c r="P132">
        <f>IFERROR(VLOOKUP(O132,Capacity!$A$3:$D$532,4,), "0")</f>
        <v>21.647536509374998</v>
      </c>
      <c r="Q132" s="4">
        <f>IFERROR(VLOOKUP(O132,Capacity!$A$3:$F$532,6,), "0")</f>
        <v>0.17499999999999999</v>
      </c>
      <c r="R132" s="5">
        <f t="shared" si="20"/>
        <v>21.647536509374998</v>
      </c>
      <c r="S132" s="5">
        <f t="shared" ref="S132:S195" si="24">$Q132</f>
        <v>0.17499999999999999</v>
      </c>
      <c r="U132">
        <v>377</v>
      </c>
      <c r="V132">
        <v>0</v>
      </c>
      <c r="W132">
        <v>0</v>
      </c>
      <c r="X132">
        <v>1</v>
      </c>
      <c r="AB132">
        <f t="shared" si="21"/>
        <v>0</v>
      </c>
      <c r="AC132">
        <f t="shared" si="22"/>
        <v>0</v>
      </c>
      <c r="AD132">
        <f t="shared" si="23"/>
        <v>0</v>
      </c>
      <c r="AE132">
        <f t="shared" ref="AE132:AE195" si="25">($N132/$C132)</f>
        <v>0</v>
      </c>
      <c r="AG132">
        <f t="shared" ref="AG132:AG195" si="26">$M132/($R132+$B132)</f>
        <v>0</v>
      </c>
    </row>
    <row r="133" spans="1:33" x14ac:dyDescent="0.25">
      <c r="A133">
        <v>363</v>
      </c>
      <c r="B133">
        <f>IFERROR(VLOOKUP(A133,Capacity!$A$3:$D$532,4,), "0")</f>
        <v>24.052818343749998</v>
      </c>
      <c r="C133" s="4">
        <f>IFERROR(VLOOKUP(A133,Capacity!$A$3:$F$532,6,), "0")</f>
        <v>0.17499999999999999</v>
      </c>
      <c r="E133" t="str">
        <f>IFERROR(VLOOKUP(D133,Capacity!$A$3:$D$532,4,), "0")</f>
        <v>0</v>
      </c>
      <c r="F133" s="4" t="str">
        <f>IFERROR(VLOOKUP(D133,Capacity!$A$3:$F$532,6,), "0")</f>
        <v>0</v>
      </c>
      <c r="H133" t="str">
        <f>IFERROR(VLOOKUP(G133,Capacity!$A$3:$D$532,4,), "0")</f>
        <v>0</v>
      </c>
      <c r="I133" s="4" t="str">
        <f>IFERROR(VLOOKUP(G133,Capacity!$A$3:$F$532,6,), "0")</f>
        <v>0</v>
      </c>
      <c r="K133" t="str">
        <f>IFERROR(VLOOKUP(J133,Capacity!$A$3:$D$532,4,), "0")</f>
        <v>0</v>
      </c>
      <c r="L133" s="4" t="str">
        <f>IFERROR(VLOOKUP(J133,Capacity!$A$3:$F$532,6,), "0")</f>
        <v>0</v>
      </c>
      <c r="M133" s="5">
        <f t="shared" si="18"/>
        <v>0</v>
      </c>
      <c r="N133" s="5">
        <f t="shared" si="19"/>
        <v>0</v>
      </c>
      <c r="O133">
        <v>51</v>
      </c>
      <c r="P133">
        <f>IFERROR(VLOOKUP(O133,Capacity!$A$3:$D$532,4,), "0")</f>
        <v>21.647536509374998</v>
      </c>
      <c r="Q133" s="4">
        <f>IFERROR(VLOOKUP(O133,Capacity!$A$3:$F$532,6,), "0")</f>
        <v>0.17499999999999999</v>
      </c>
      <c r="R133" s="5">
        <f t="shared" si="20"/>
        <v>21.647536509374998</v>
      </c>
      <c r="S133" s="5">
        <f t="shared" si="24"/>
        <v>0.17499999999999999</v>
      </c>
      <c r="U133">
        <v>363</v>
      </c>
      <c r="V133">
        <v>0</v>
      </c>
      <c r="W133">
        <v>0</v>
      </c>
      <c r="X133">
        <v>1</v>
      </c>
      <c r="AB133">
        <f t="shared" si="21"/>
        <v>0</v>
      </c>
      <c r="AC133">
        <f t="shared" si="22"/>
        <v>0</v>
      </c>
      <c r="AD133">
        <f t="shared" si="23"/>
        <v>0</v>
      </c>
      <c r="AE133">
        <f t="shared" si="25"/>
        <v>0</v>
      </c>
      <c r="AG133">
        <f t="shared" si="26"/>
        <v>0</v>
      </c>
    </row>
    <row r="134" spans="1:33" x14ac:dyDescent="0.25">
      <c r="A134">
        <v>20</v>
      </c>
      <c r="B134">
        <f>IFERROR(VLOOKUP(A134,Capacity!$A$3:$D$532,4,), "0")</f>
        <v>3.8484509349999994</v>
      </c>
      <c r="C134" s="4">
        <f>IFERROR(VLOOKUP(A134,Capacity!$A$3:$F$532,6,), "0")</f>
        <v>0.17499999999999999</v>
      </c>
      <c r="D134">
        <v>362</v>
      </c>
      <c r="E134">
        <f>IFERROR(VLOOKUP(D134,Capacity!$A$3:$D$532,4,), "0")</f>
        <v>7.6969018699999987</v>
      </c>
      <c r="F134" s="4">
        <f>IFERROR(VLOOKUP(D134,Capacity!$A$3:$F$532,6,), "0")</f>
        <v>0.17499999999999999</v>
      </c>
      <c r="H134" t="str">
        <f>IFERROR(VLOOKUP(G134,Capacity!$A$3:$D$532,4,), "0")</f>
        <v>0</v>
      </c>
      <c r="I134" s="4" t="str">
        <f>IFERROR(VLOOKUP(G134,Capacity!$A$3:$F$532,6,), "0")</f>
        <v>0</v>
      </c>
      <c r="K134" t="str">
        <f>IFERROR(VLOOKUP(J134,Capacity!$A$3:$D$532,4,), "0")</f>
        <v>0</v>
      </c>
      <c r="L134" s="4" t="str">
        <f>IFERROR(VLOOKUP(J134,Capacity!$A$3:$F$532,6,), "0")</f>
        <v>0</v>
      </c>
      <c r="M134" s="5">
        <f t="shared" si="18"/>
        <v>7.6969018699999987</v>
      </c>
      <c r="N134" s="5">
        <f t="shared" si="19"/>
        <v>0.17499999999999999</v>
      </c>
      <c r="O134">
        <v>21</v>
      </c>
      <c r="P134">
        <f>IFERROR(VLOOKUP(O134,Capacity!$A$3:$D$532,4,), "0")</f>
        <v>31.415926000000006</v>
      </c>
      <c r="Q134" s="4">
        <f>IFERROR(VLOOKUP(O134,Capacity!$A$3:$F$532,6,), "0")</f>
        <v>0.2</v>
      </c>
      <c r="R134" s="5">
        <f t="shared" si="20"/>
        <v>31.415926000000006</v>
      </c>
      <c r="S134" s="5">
        <f t="shared" si="24"/>
        <v>0.2</v>
      </c>
      <c r="U134">
        <v>20</v>
      </c>
      <c r="V134">
        <v>2</v>
      </c>
      <c r="W134">
        <v>2</v>
      </c>
      <c r="X134">
        <v>1</v>
      </c>
      <c r="AB134">
        <f t="shared" si="21"/>
        <v>0.24499999999999991</v>
      </c>
      <c r="AC134">
        <f t="shared" si="22"/>
        <v>2</v>
      </c>
      <c r="AD134">
        <f t="shared" si="23"/>
        <v>0.87499999999999989</v>
      </c>
      <c r="AE134">
        <f t="shared" si="25"/>
        <v>1</v>
      </c>
      <c r="AG134">
        <f t="shared" si="26"/>
        <v>0.21826280623608008</v>
      </c>
    </row>
    <row r="135" spans="1:33" x14ac:dyDescent="0.25">
      <c r="A135">
        <v>3</v>
      </c>
      <c r="B135">
        <f>IFERROR(VLOOKUP(A135,Capacity!$A$3:$D$532,4,), "0")</f>
        <v>24.504422280000004</v>
      </c>
      <c r="C135" s="4">
        <f>IFERROR(VLOOKUP(A135,Capacity!$A$3:$F$532,6,), "0")</f>
        <v>0.2</v>
      </c>
      <c r="D135">
        <v>245</v>
      </c>
      <c r="E135">
        <f>IFERROR(VLOOKUP(D135,Capacity!$A$3:$D$532,4,), "0")</f>
        <v>11.545352804999998</v>
      </c>
      <c r="F135" s="4">
        <f>IFERROR(VLOOKUP(D135,Capacity!$A$3:$F$532,6,), "0")</f>
        <v>0.17499999999999999</v>
      </c>
      <c r="G135">
        <v>530</v>
      </c>
      <c r="H135">
        <f>IFERROR(VLOOKUP(G135,Capacity!$A$3:$D$532,4,), "0")</f>
        <v>7.2158455031249993</v>
      </c>
      <c r="I135" s="4">
        <f>IFERROR(VLOOKUP(G135,Capacity!$A$3:$F$532,6,), "0")</f>
        <v>0.17499999999999999</v>
      </c>
      <c r="J135">
        <v>4</v>
      </c>
      <c r="K135">
        <f>IFERROR(VLOOKUP(J135,Capacity!$A$3:$D$532,4,), "0")</f>
        <v>7.2158455031249993</v>
      </c>
      <c r="L135" s="4">
        <f>IFERROR(VLOOKUP(J135,Capacity!$A$3:$F$532,6,), "0")</f>
        <v>0.17499999999999999</v>
      </c>
      <c r="M135" s="5">
        <f t="shared" si="18"/>
        <v>25.977043811249995</v>
      </c>
      <c r="N135" s="5">
        <f t="shared" si="19"/>
        <v>0.52499999999999991</v>
      </c>
      <c r="O135">
        <v>21</v>
      </c>
      <c r="P135">
        <f>IFERROR(VLOOKUP(O135,Capacity!$A$3:$D$532,4,), "0")</f>
        <v>31.415926000000006</v>
      </c>
      <c r="Q135" s="4">
        <f>IFERROR(VLOOKUP(O135,Capacity!$A$3:$F$532,6,), "0")</f>
        <v>0.2</v>
      </c>
      <c r="R135" s="5">
        <f t="shared" si="20"/>
        <v>31.415926000000006</v>
      </c>
      <c r="S135" s="5">
        <f t="shared" si="24"/>
        <v>0.2</v>
      </c>
      <c r="U135">
        <v>3</v>
      </c>
      <c r="V135">
        <v>4</v>
      </c>
      <c r="W135">
        <v>4</v>
      </c>
      <c r="X135">
        <v>1</v>
      </c>
      <c r="AB135">
        <f t="shared" si="21"/>
        <v>0.82687499999999969</v>
      </c>
      <c r="AC135">
        <f t="shared" si="22"/>
        <v>1.0600961538461535</v>
      </c>
      <c r="AD135">
        <f t="shared" si="23"/>
        <v>2.6249999999999996</v>
      </c>
      <c r="AE135">
        <f t="shared" si="25"/>
        <v>2.6249999999999996</v>
      </c>
      <c r="AG135">
        <f t="shared" si="26"/>
        <v>0.46453651685393238</v>
      </c>
    </row>
    <row r="136" spans="1:33" x14ac:dyDescent="0.25">
      <c r="A136">
        <v>247</v>
      </c>
      <c r="B136">
        <f>IFERROR(VLOOKUP(A136,Capacity!$A$3:$D$532,4,), "0")</f>
        <v>11.545352804999998</v>
      </c>
      <c r="C136" s="4">
        <f>IFERROR(VLOOKUP(A136,Capacity!$A$3:$F$532,6,), "0")</f>
        <v>0.17499999999999999</v>
      </c>
      <c r="E136" t="str">
        <f>IFERROR(VLOOKUP(D136,Capacity!$A$3:$D$532,4,), "0")</f>
        <v>0</v>
      </c>
      <c r="F136" s="4" t="str">
        <f>IFERROR(VLOOKUP(D136,Capacity!$A$3:$F$532,6,), "0")</f>
        <v>0</v>
      </c>
      <c r="H136" t="str">
        <f>IFERROR(VLOOKUP(G136,Capacity!$A$3:$D$532,4,), "0")</f>
        <v>0</v>
      </c>
      <c r="I136" s="4" t="str">
        <f>IFERROR(VLOOKUP(G136,Capacity!$A$3:$F$532,6,), "0")</f>
        <v>0</v>
      </c>
      <c r="K136" t="str">
        <f>IFERROR(VLOOKUP(J136,Capacity!$A$3:$D$532,4,), "0")</f>
        <v>0</v>
      </c>
      <c r="L136" s="4" t="str">
        <f>IFERROR(VLOOKUP(J136,Capacity!$A$3:$F$532,6,), "0")</f>
        <v>0</v>
      </c>
      <c r="M136" s="5">
        <f t="shared" si="18"/>
        <v>0</v>
      </c>
      <c r="N136" s="5">
        <f t="shared" si="19"/>
        <v>0</v>
      </c>
      <c r="O136">
        <v>349</v>
      </c>
      <c r="P136">
        <f>IFERROR(VLOOKUP(O136,Capacity!$A$3:$D$532,4,), "0")</f>
        <v>21.205750049999999</v>
      </c>
      <c r="Q136" s="4">
        <f>IFERROR(VLOOKUP(O136,Capacity!$A$3:$F$532,6,), "0")</f>
        <v>0.3</v>
      </c>
      <c r="R136" s="5">
        <f t="shared" si="20"/>
        <v>21.205750049999999</v>
      </c>
      <c r="S136" s="5">
        <f t="shared" si="24"/>
        <v>0.3</v>
      </c>
      <c r="U136">
        <v>247</v>
      </c>
      <c r="V136">
        <v>0</v>
      </c>
      <c r="W136">
        <v>0</v>
      </c>
      <c r="X136">
        <v>1</v>
      </c>
      <c r="AB136">
        <f t="shared" si="21"/>
        <v>0</v>
      </c>
      <c r="AC136">
        <f t="shared" si="22"/>
        <v>0</v>
      </c>
      <c r="AD136">
        <f t="shared" si="23"/>
        <v>0</v>
      </c>
      <c r="AE136">
        <f t="shared" si="25"/>
        <v>0</v>
      </c>
      <c r="AG136">
        <f t="shared" si="26"/>
        <v>0</v>
      </c>
    </row>
    <row r="137" spans="1:33" x14ac:dyDescent="0.25">
      <c r="A137">
        <v>529</v>
      </c>
      <c r="B137">
        <f>IFERROR(VLOOKUP(A137,Capacity!$A$3:$D$532,4,), "0")</f>
        <v>7.2158455031249993</v>
      </c>
      <c r="C137" s="4">
        <f>IFERROR(VLOOKUP(A137,Capacity!$A$3:$F$532,6,), "0")</f>
        <v>0.17499999999999999</v>
      </c>
      <c r="E137" t="str">
        <f>IFERROR(VLOOKUP(D137,Capacity!$A$3:$D$532,4,), "0")</f>
        <v>0</v>
      </c>
      <c r="F137" s="4" t="str">
        <f>IFERROR(VLOOKUP(D137,Capacity!$A$3:$F$532,6,), "0")</f>
        <v>0</v>
      </c>
      <c r="H137" t="str">
        <f>IFERROR(VLOOKUP(G137,Capacity!$A$3:$D$532,4,), "0")</f>
        <v>0</v>
      </c>
      <c r="I137" s="4" t="str">
        <f>IFERROR(VLOOKUP(G137,Capacity!$A$3:$F$532,6,), "0")</f>
        <v>0</v>
      </c>
      <c r="K137" t="str">
        <f>IFERROR(VLOOKUP(J137,Capacity!$A$3:$D$532,4,), "0")</f>
        <v>0</v>
      </c>
      <c r="L137" s="4" t="str">
        <f>IFERROR(VLOOKUP(J137,Capacity!$A$3:$F$532,6,), "0")</f>
        <v>0</v>
      </c>
      <c r="M137" s="5">
        <f t="shared" si="18"/>
        <v>0</v>
      </c>
      <c r="N137" s="5">
        <f t="shared" si="19"/>
        <v>0</v>
      </c>
      <c r="O137">
        <v>347</v>
      </c>
      <c r="P137">
        <f>IFERROR(VLOOKUP(O137,Capacity!$A$3:$D$532,4,), "0")</f>
        <v>9.4247778000000029</v>
      </c>
      <c r="Q137" s="4">
        <f>IFERROR(VLOOKUP(O137,Capacity!$A$3:$F$532,6,), "0")</f>
        <v>0.2</v>
      </c>
      <c r="R137" s="5">
        <f t="shared" si="20"/>
        <v>9.4247778000000029</v>
      </c>
      <c r="S137" s="5">
        <f t="shared" si="24"/>
        <v>0.2</v>
      </c>
      <c r="U137">
        <v>529</v>
      </c>
      <c r="V137">
        <v>0</v>
      </c>
      <c r="W137">
        <v>0</v>
      </c>
      <c r="X137">
        <v>1</v>
      </c>
      <c r="AB137">
        <f t="shared" si="21"/>
        <v>0</v>
      </c>
      <c r="AC137">
        <f t="shared" si="22"/>
        <v>0</v>
      </c>
      <c r="AD137">
        <f t="shared" si="23"/>
        <v>0</v>
      </c>
      <c r="AE137">
        <f t="shared" si="25"/>
        <v>0</v>
      </c>
      <c r="AG137">
        <f t="shared" si="26"/>
        <v>0</v>
      </c>
    </row>
    <row r="138" spans="1:33" x14ac:dyDescent="0.25">
      <c r="A138">
        <v>249</v>
      </c>
      <c r="B138">
        <f>IFERROR(VLOOKUP(A138,Capacity!$A$3:$D$532,4,), "0")</f>
        <v>15.079644480000002</v>
      </c>
      <c r="C138" s="4">
        <f>IFERROR(VLOOKUP(A138,Capacity!$A$3:$F$532,6,), "0")</f>
        <v>0.2</v>
      </c>
      <c r="E138" t="str">
        <f>IFERROR(VLOOKUP(D138,Capacity!$A$3:$D$532,4,), "0")</f>
        <v>0</v>
      </c>
      <c r="F138" s="4" t="str">
        <f>IFERROR(VLOOKUP(D138,Capacity!$A$3:$F$532,6,), "0")</f>
        <v>0</v>
      </c>
      <c r="H138" t="str">
        <f>IFERROR(VLOOKUP(G138,Capacity!$A$3:$D$532,4,), "0")</f>
        <v>0</v>
      </c>
      <c r="I138" s="4" t="str">
        <f>IFERROR(VLOOKUP(G138,Capacity!$A$3:$F$532,6,), "0")</f>
        <v>0</v>
      </c>
      <c r="K138" t="str">
        <f>IFERROR(VLOOKUP(J138,Capacity!$A$3:$D$532,4,), "0")</f>
        <v>0</v>
      </c>
      <c r="L138" s="4" t="str">
        <f>IFERROR(VLOOKUP(J138,Capacity!$A$3:$F$532,6,), "0")</f>
        <v>0</v>
      </c>
      <c r="M138" s="5">
        <f t="shared" si="18"/>
        <v>0</v>
      </c>
      <c r="N138" s="5">
        <f t="shared" si="19"/>
        <v>0</v>
      </c>
      <c r="O138">
        <v>347</v>
      </c>
      <c r="P138">
        <f>IFERROR(VLOOKUP(O138,Capacity!$A$3:$D$532,4,), "0")</f>
        <v>9.4247778000000029</v>
      </c>
      <c r="Q138" s="4">
        <f>IFERROR(VLOOKUP(O138,Capacity!$A$3:$F$532,6,), "0")</f>
        <v>0.2</v>
      </c>
      <c r="R138" s="5">
        <f t="shared" si="20"/>
        <v>9.4247778000000029</v>
      </c>
      <c r="S138" s="5">
        <f t="shared" si="24"/>
        <v>0.2</v>
      </c>
      <c r="U138">
        <v>249</v>
      </c>
      <c r="V138">
        <v>1</v>
      </c>
      <c r="W138">
        <v>1</v>
      </c>
      <c r="X138">
        <v>1</v>
      </c>
      <c r="AB138">
        <f t="shared" si="21"/>
        <v>0</v>
      </c>
      <c r="AC138">
        <f t="shared" si="22"/>
        <v>0</v>
      </c>
      <c r="AD138">
        <f t="shared" si="23"/>
        <v>0</v>
      </c>
      <c r="AE138">
        <f t="shared" si="25"/>
        <v>0</v>
      </c>
      <c r="AG138">
        <f t="shared" si="26"/>
        <v>0</v>
      </c>
    </row>
    <row r="139" spans="1:33" x14ac:dyDescent="0.25">
      <c r="A139">
        <v>346</v>
      </c>
      <c r="B139">
        <f>IFERROR(VLOOKUP(A139,Capacity!$A$3:$D$532,4,), "0")</f>
        <v>115.61060768000002</v>
      </c>
      <c r="C139" s="4">
        <f>IFERROR(VLOOKUP(A139,Capacity!$A$3:$F$532,6,), "0")</f>
        <v>0.4</v>
      </c>
      <c r="D139">
        <v>345</v>
      </c>
      <c r="E139">
        <f>IFERROR(VLOOKUP(D139,Capacity!$A$3:$D$532,4,), "0")</f>
        <v>37.699111200000011</v>
      </c>
      <c r="F139" s="4">
        <f>IFERROR(VLOOKUP(D139,Capacity!$A$3:$F$532,6,), "0")</f>
        <v>0.4</v>
      </c>
      <c r="G139">
        <v>250</v>
      </c>
      <c r="H139">
        <f>IFERROR(VLOOKUP(G139,Capacity!$A$3:$D$532,4,), "0")</f>
        <v>11.545352804999998</v>
      </c>
      <c r="I139" s="4">
        <f>IFERROR(VLOOKUP(G139,Capacity!$A$3:$F$532,6,), "0")</f>
        <v>0.17499999999999999</v>
      </c>
      <c r="K139" t="str">
        <f>IFERROR(VLOOKUP(J139,Capacity!$A$3:$D$532,4,), "0")</f>
        <v>0</v>
      </c>
      <c r="L139" s="4" t="str">
        <f>IFERROR(VLOOKUP(J139,Capacity!$A$3:$F$532,6,), "0")</f>
        <v>0</v>
      </c>
      <c r="M139" s="5">
        <f t="shared" si="18"/>
        <v>49.244464005000012</v>
      </c>
      <c r="N139" s="5">
        <f t="shared" si="19"/>
        <v>0.57499999999999996</v>
      </c>
      <c r="O139">
        <v>26</v>
      </c>
      <c r="P139">
        <f>IFERROR(VLOOKUP(O139,Capacity!$A$3:$D$532,4,), "0")</f>
        <v>70.685833500000001</v>
      </c>
      <c r="Q139" s="4">
        <f>IFERROR(VLOOKUP(O139,Capacity!$A$3:$F$532,6,), "0")</f>
        <v>0.75</v>
      </c>
      <c r="R139" s="5">
        <f t="shared" si="20"/>
        <v>70.685833500000001</v>
      </c>
      <c r="S139" s="5">
        <f t="shared" si="24"/>
        <v>0.75</v>
      </c>
      <c r="U139">
        <v>346</v>
      </c>
      <c r="V139">
        <v>2</v>
      </c>
      <c r="W139">
        <v>2</v>
      </c>
      <c r="X139">
        <v>1</v>
      </c>
      <c r="AB139">
        <f t="shared" si="21"/>
        <v>0.69666666666666677</v>
      </c>
      <c r="AC139">
        <f t="shared" si="22"/>
        <v>0.42595108695652178</v>
      </c>
      <c r="AD139">
        <f t="shared" si="23"/>
        <v>0.76666666666666661</v>
      </c>
      <c r="AE139">
        <f t="shared" si="25"/>
        <v>1.4374999999999998</v>
      </c>
      <c r="AG139">
        <f t="shared" si="26"/>
        <v>0.2643338954468803</v>
      </c>
    </row>
    <row r="140" spans="1:33" x14ac:dyDescent="0.25">
      <c r="A140">
        <v>27</v>
      </c>
      <c r="B140">
        <f>IFERROR(VLOOKUP(A140,Capacity!$A$3:$D$532,4,), "0")</f>
        <v>141.371667</v>
      </c>
      <c r="C140" s="4">
        <f>IFERROR(VLOOKUP(A140,Capacity!$A$3:$F$532,6,), "0")</f>
        <v>0.75</v>
      </c>
      <c r="D140">
        <v>344</v>
      </c>
      <c r="E140">
        <f>IFERROR(VLOOKUP(D140,Capacity!$A$3:$D$532,4,), "0")</f>
        <v>441.78645937499999</v>
      </c>
      <c r="F140" s="4">
        <f>IFERROR(VLOOKUP(D140,Capacity!$A$3:$F$532,6,), "0")</f>
        <v>0.75</v>
      </c>
      <c r="G140">
        <v>28</v>
      </c>
      <c r="H140">
        <f>IFERROR(VLOOKUP(G140,Capacity!$A$3:$D$532,4,), "0")</f>
        <v>90.477866879999993</v>
      </c>
      <c r="I140" s="4">
        <f>IFERROR(VLOOKUP(G140,Capacity!$A$3:$F$532,6,), "0")</f>
        <v>0.6</v>
      </c>
      <c r="K140" t="str">
        <f>IFERROR(VLOOKUP(J140,Capacity!$A$3:$D$532,4,), "0")</f>
        <v>0</v>
      </c>
      <c r="L140" s="4" t="str">
        <f>IFERROR(VLOOKUP(J140,Capacity!$A$3:$F$532,6,), "0")</f>
        <v>0</v>
      </c>
      <c r="M140" s="5">
        <f t="shared" si="18"/>
        <v>532.26432625500001</v>
      </c>
      <c r="N140" s="5">
        <f t="shared" si="19"/>
        <v>1.35</v>
      </c>
      <c r="O140">
        <v>26</v>
      </c>
      <c r="P140">
        <f>IFERROR(VLOOKUP(O140,Capacity!$A$3:$D$532,4,), "0")</f>
        <v>70.685833500000001</v>
      </c>
      <c r="Q140" s="4">
        <f>IFERROR(VLOOKUP(O140,Capacity!$A$3:$F$532,6,), "0")</f>
        <v>0.75</v>
      </c>
      <c r="R140" s="5">
        <f t="shared" si="20"/>
        <v>70.685833500000001</v>
      </c>
      <c r="S140" s="5">
        <f t="shared" si="24"/>
        <v>0.75</v>
      </c>
      <c r="U140">
        <v>27</v>
      </c>
      <c r="V140">
        <v>3</v>
      </c>
      <c r="W140">
        <v>3</v>
      </c>
      <c r="X140">
        <v>1</v>
      </c>
      <c r="AB140">
        <f t="shared" si="21"/>
        <v>7.53</v>
      </c>
      <c r="AC140">
        <f t="shared" si="22"/>
        <v>3.7650000000000001</v>
      </c>
      <c r="AD140">
        <f t="shared" si="23"/>
        <v>1.8</v>
      </c>
      <c r="AE140">
        <f t="shared" si="25"/>
        <v>1.8</v>
      </c>
      <c r="AG140">
        <f t="shared" si="26"/>
        <v>2.5100000000000002</v>
      </c>
    </row>
    <row r="141" spans="1:33" x14ac:dyDescent="0.25">
      <c r="A141">
        <v>414</v>
      </c>
      <c r="B141">
        <f>IFERROR(VLOOKUP(A141,Capacity!$A$3:$D$532,4,), "0")</f>
        <v>21.647536509374998</v>
      </c>
      <c r="C141" s="4">
        <f>IFERROR(VLOOKUP(A141,Capacity!$A$3:$F$532,6,), "0")</f>
        <v>0.17499999999999999</v>
      </c>
      <c r="E141" t="str">
        <f>IFERROR(VLOOKUP(D141,Capacity!$A$3:$D$532,4,), "0")</f>
        <v>0</v>
      </c>
      <c r="F141" s="4" t="str">
        <f>IFERROR(VLOOKUP(D141,Capacity!$A$3:$F$532,6,), "0")</f>
        <v>0</v>
      </c>
      <c r="H141" t="str">
        <f>IFERROR(VLOOKUP(G141,Capacity!$A$3:$D$532,4,), "0")</f>
        <v>0</v>
      </c>
      <c r="I141" s="4" t="str">
        <f>IFERROR(VLOOKUP(G141,Capacity!$A$3:$F$532,6,), "0")</f>
        <v>0</v>
      </c>
      <c r="K141" t="str">
        <f>IFERROR(VLOOKUP(J141,Capacity!$A$3:$D$532,4,), "0")</f>
        <v>0</v>
      </c>
      <c r="L141" s="4" t="str">
        <f>IFERROR(VLOOKUP(J141,Capacity!$A$3:$F$532,6,), "0")</f>
        <v>0</v>
      </c>
      <c r="M141" s="5">
        <f t="shared" si="18"/>
        <v>0</v>
      </c>
      <c r="N141" s="5">
        <f t="shared" si="19"/>
        <v>0</v>
      </c>
      <c r="O141">
        <v>44</v>
      </c>
      <c r="P141">
        <f>IFERROR(VLOOKUP(O141,Capacity!$A$3:$D$532,4,), "0")</f>
        <v>40.212385280000007</v>
      </c>
      <c r="Q141" s="4">
        <f>IFERROR(VLOOKUP(O141,Capacity!$A$3:$F$532,6,), "0")</f>
        <v>0.4</v>
      </c>
      <c r="R141" s="5">
        <f t="shared" si="20"/>
        <v>40.212385280000007</v>
      </c>
      <c r="S141" s="5">
        <f t="shared" si="24"/>
        <v>0.4</v>
      </c>
      <c r="U141">
        <v>414</v>
      </c>
      <c r="V141">
        <v>0</v>
      </c>
      <c r="W141">
        <v>0</v>
      </c>
      <c r="X141">
        <v>1</v>
      </c>
      <c r="AB141">
        <f t="shared" si="21"/>
        <v>0</v>
      </c>
      <c r="AC141">
        <f t="shared" si="22"/>
        <v>0</v>
      </c>
      <c r="AD141">
        <f t="shared" si="23"/>
        <v>0</v>
      </c>
      <c r="AE141">
        <f t="shared" si="25"/>
        <v>0</v>
      </c>
      <c r="AG141">
        <f t="shared" si="26"/>
        <v>0</v>
      </c>
    </row>
    <row r="142" spans="1:33" x14ac:dyDescent="0.25">
      <c r="A142">
        <v>370</v>
      </c>
      <c r="B142">
        <f>IFERROR(VLOOKUP(A142,Capacity!$A$3:$D$532,4,), "0")</f>
        <v>23.090705609999997</v>
      </c>
      <c r="C142" s="4">
        <f>IFERROR(VLOOKUP(A142,Capacity!$A$3:$F$532,6,), "0")</f>
        <v>0.17499999999999999</v>
      </c>
      <c r="E142" t="str">
        <f>IFERROR(VLOOKUP(D142,Capacity!$A$3:$D$532,4,), "0")</f>
        <v>0</v>
      </c>
      <c r="F142" s="4" t="str">
        <f>IFERROR(VLOOKUP(D142,Capacity!$A$3:$F$532,6,), "0")</f>
        <v>0</v>
      </c>
      <c r="H142" t="str">
        <f>IFERROR(VLOOKUP(G142,Capacity!$A$3:$D$532,4,), "0")</f>
        <v>0</v>
      </c>
      <c r="I142" s="4" t="str">
        <f>IFERROR(VLOOKUP(G142,Capacity!$A$3:$F$532,6,), "0")</f>
        <v>0</v>
      </c>
      <c r="K142" t="str">
        <f>IFERROR(VLOOKUP(J142,Capacity!$A$3:$D$532,4,), "0")</f>
        <v>0</v>
      </c>
      <c r="L142" s="4" t="str">
        <f>IFERROR(VLOOKUP(J142,Capacity!$A$3:$F$532,6,), "0")</f>
        <v>0</v>
      </c>
      <c r="M142" s="5">
        <f t="shared" si="18"/>
        <v>0</v>
      </c>
      <c r="N142" s="5">
        <f t="shared" si="19"/>
        <v>0</v>
      </c>
      <c r="O142">
        <v>44</v>
      </c>
      <c r="P142">
        <f>IFERROR(VLOOKUP(O142,Capacity!$A$3:$D$532,4,), "0")</f>
        <v>40.212385280000007</v>
      </c>
      <c r="Q142" s="4">
        <f>IFERROR(VLOOKUP(O142,Capacity!$A$3:$F$532,6,), "0")</f>
        <v>0.4</v>
      </c>
      <c r="R142" s="5">
        <f t="shared" si="20"/>
        <v>40.212385280000007</v>
      </c>
      <c r="S142" s="5">
        <f t="shared" si="24"/>
        <v>0.4</v>
      </c>
      <c r="U142">
        <v>370</v>
      </c>
      <c r="V142">
        <v>0</v>
      </c>
      <c r="W142">
        <v>0</v>
      </c>
      <c r="X142">
        <v>1</v>
      </c>
      <c r="AB142">
        <f t="shared" si="21"/>
        <v>0</v>
      </c>
      <c r="AC142">
        <f t="shared" si="22"/>
        <v>0</v>
      </c>
      <c r="AD142">
        <f t="shared" si="23"/>
        <v>0</v>
      </c>
      <c r="AE142">
        <f t="shared" si="25"/>
        <v>0</v>
      </c>
      <c r="AG142">
        <f t="shared" si="26"/>
        <v>0</v>
      </c>
    </row>
    <row r="143" spans="1:33" x14ac:dyDescent="0.25">
      <c r="A143">
        <v>43</v>
      </c>
      <c r="B143">
        <f>IFERROR(VLOOKUP(A143,Capacity!$A$3:$D$532,4,), "0")</f>
        <v>40.212385280000007</v>
      </c>
      <c r="C143" s="4">
        <f>IFERROR(VLOOKUP(A143,Capacity!$A$3:$F$532,6,), "0")</f>
        <v>0.4</v>
      </c>
      <c r="D143">
        <v>412</v>
      </c>
      <c r="E143">
        <f>IFERROR(VLOOKUP(D143,Capacity!$A$3:$D$532,4,), "0")</f>
        <v>21.647536509374998</v>
      </c>
      <c r="F143" s="4">
        <f>IFERROR(VLOOKUP(D143,Capacity!$A$3:$F$532,6,), "0")</f>
        <v>0.17499999999999999</v>
      </c>
      <c r="G143">
        <v>371</v>
      </c>
      <c r="H143">
        <f>IFERROR(VLOOKUP(G143,Capacity!$A$3:$D$532,4,), "0")</f>
        <v>23.090705609999997</v>
      </c>
      <c r="I143" s="4">
        <f>IFERROR(VLOOKUP(G143,Capacity!$A$3:$F$532,6,), "0")</f>
        <v>0.17499999999999999</v>
      </c>
      <c r="J143">
        <v>42</v>
      </c>
      <c r="K143">
        <f>IFERROR(VLOOKUP(J143,Capacity!$A$3:$D$532,4,), "0")</f>
        <v>40.212385280000007</v>
      </c>
      <c r="L143" s="4">
        <f>IFERROR(VLOOKUP(J143,Capacity!$A$3:$F$532,6,), "0")</f>
        <v>0.4</v>
      </c>
      <c r="M143" s="5">
        <f t="shared" si="18"/>
        <v>84.950627399375009</v>
      </c>
      <c r="N143" s="5">
        <f t="shared" si="19"/>
        <v>0.75</v>
      </c>
      <c r="O143">
        <v>44</v>
      </c>
      <c r="P143">
        <f>IFERROR(VLOOKUP(O143,Capacity!$A$3:$D$532,4,), "0")</f>
        <v>40.212385280000007</v>
      </c>
      <c r="Q143" s="4">
        <f>IFERROR(VLOOKUP(O143,Capacity!$A$3:$F$532,6,), "0")</f>
        <v>0.4</v>
      </c>
      <c r="R143" s="5">
        <f t="shared" si="20"/>
        <v>40.212385280000007</v>
      </c>
      <c r="S143" s="5">
        <f t="shared" si="24"/>
        <v>0.4</v>
      </c>
      <c r="U143">
        <v>43</v>
      </c>
      <c r="V143">
        <v>4</v>
      </c>
      <c r="W143">
        <v>4</v>
      </c>
      <c r="X143">
        <v>1</v>
      </c>
      <c r="AB143">
        <f t="shared" si="21"/>
        <v>2.112548828125</v>
      </c>
      <c r="AC143">
        <f t="shared" si="22"/>
        <v>2.112548828125</v>
      </c>
      <c r="AD143">
        <f t="shared" si="23"/>
        <v>1.875</v>
      </c>
      <c r="AE143">
        <f t="shared" si="25"/>
        <v>1.875</v>
      </c>
      <c r="AG143">
        <f t="shared" si="26"/>
        <v>1.0562744140625</v>
      </c>
    </row>
    <row r="144" spans="1:33" x14ac:dyDescent="0.25">
      <c r="A144">
        <v>82</v>
      </c>
      <c r="B144">
        <f>IFERROR(VLOOKUP(A144,Capacity!$A$3:$D$532,4,), "0")</f>
        <v>90.477866879999993</v>
      </c>
      <c r="C144" s="4">
        <f>IFERROR(VLOOKUP(A144,Capacity!$A$3:$F$532,6,), "0")</f>
        <v>0.6</v>
      </c>
      <c r="D144">
        <v>81</v>
      </c>
      <c r="E144">
        <f>IFERROR(VLOOKUP(D144,Capacity!$A$3:$D$532,4,), "0")</f>
        <v>90.477866879999993</v>
      </c>
      <c r="F144" s="4">
        <f>IFERROR(VLOOKUP(D144,Capacity!$A$3:$F$532,6,), "0")</f>
        <v>0.6</v>
      </c>
      <c r="H144" t="str">
        <f>IFERROR(VLOOKUP(G144,Capacity!$A$3:$D$532,4,), "0")</f>
        <v>0</v>
      </c>
      <c r="I144" s="4" t="str">
        <f>IFERROR(VLOOKUP(G144,Capacity!$A$3:$F$532,6,), "0")</f>
        <v>0</v>
      </c>
      <c r="K144" t="str">
        <f>IFERROR(VLOOKUP(J144,Capacity!$A$3:$D$532,4,), "0")</f>
        <v>0</v>
      </c>
      <c r="L144" s="4" t="str">
        <f>IFERROR(VLOOKUP(J144,Capacity!$A$3:$F$532,6,), "0")</f>
        <v>0</v>
      </c>
      <c r="M144" s="5">
        <f t="shared" si="18"/>
        <v>90.477866879999993</v>
      </c>
      <c r="N144" s="5">
        <f t="shared" si="19"/>
        <v>0.6</v>
      </c>
      <c r="O144">
        <v>83</v>
      </c>
      <c r="P144">
        <f>IFERROR(VLOOKUP(O144,Capacity!$A$3:$D$532,4,), "0")</f>
        <v>90.477866879999993</v>
      </c>
      <c r="Q144" s="4">
        <f>IFERROR(VLOOKUP(O144,Capacity!$A$3:$F$532,6,), "0")</f>
        <v>0.6</v>
      </c>
      <c r="R144" s="5">
        <f t="shared" si="20"/>
        <v>90.477866879999993</v>
      </c>
      <c r="S144" s="5">
        <f t="shared" si="24"/>
        <v>0.6</v>
      </c>
      <c r="U144">
        <v>82</v>
      </c>
      <c r="V144">
        <v>1</v>
      </c>
      <c r="W144">
        <v>1</v>
      </c>
      <c r="X144">
        <v>1</v>
      </c>
      <c r="AB144">
        <f t="shared" si="21"/>
        <v>1</v>
      </c>
      <c r="AC144">
        <f t="shared" si="22"/>
        <v>1</v>
      </c>
      <c r="AD144">
        <f t="shared" si="23"/>
        <v>1</v>
      </c>
      <c r="AE144">
        <f t="shared" si="25"/>
        <v>1</v>
      </c>
      <c r="AG144">
        <f t="shared" si="26"/>
        <v>0.5</v>
      </c>
    </row>
    <row r="145" spans="1:33" x14ac:dyDescent="0.25">
      <c r="A145">
        <v>411</v>
      </c>
      <c r="B145">
        <f>IFERROR(VLOOKUP(A145,Capacity!$A$3:$D$532,4,), "0")</f>
        <v>21.166480142499999</v>
      </c>
      <c r="C145" s="4">
        <f>IFERROR(VLOOKUP(A145,Capacity!$A$3:$F$532,6,), "0")</f>
        <v>0.17499999999999999</v>
      </c>
      <c r="E145" t="str">
        <f>IFERROR(VLOOKUP(D145,Capacity!$A$3:$D$532,4,), "0")</f>
        <v>0</v>
      </c>
      <c r="F145" s="4" t="str">
        <f>IFERROR(VLOOKUP(D145,Capacity!$A$3:$F$532,6,), "0")</f>
        <v>0</v>
      </c>
      <c r="H145" t="str">
        <f>IFERROR(VLOOKUP(G145,Capacity!$A$3:$D$532,4,), "0")</f>
        <v>0</v>
      </c>
      <c r="I145" s="4" t="str">
        <f>IFERROR(VLOOKUP(G145,Capacity!$A$3:$F$532,6,), "0")</f>
        <v>0</v>
      </c>
      <c r="K145" t="str">
        <f>IFERROR(VLOOKUP(J145,Capacity!$A$3:$D$532,4,), "0")</f>
        <v>0</v>
      </c>
      <c r="L145" s="4" t="str">
        <f>IFERROR(VLOOKUP(J145,Capacity!$A$3:$F$532,6,), "0")</f>
        <v>0</v>
      </c>
      <c r="M145" s="5">
        <f t="shared" si="18"/>
        <v>0</v>
      </c>
      <c r="N145" s="5">
        <f t="shared" si="19"/>
        <v>0</v>
      </c>
      <c r="O145">
        <v>178</v>
      </c>
      <c r="P145">
        <f>IFERROR(VLOOKUP(O145,Capacity!$A$3:$D$532,4,), "0")</f>
        <v>22.619466719999998</v>
      </c>
      <c r="Q145" s="4">
        <f>IFERROR(VLOOKUP(O145,Capacity!$A$3:$F$532,6,), "0")</f>
        <v>0.3</v>
      </c>
      <c r="R145" s="5">
        <f t="shared" si="20"/>
        <v>22.619466719999998</v>
      </c>
      <c r="S145" s="5">
        <f t="shared" si="24"/>
        <v>0.3</v>
      </c>
      <c r="U145">
        <v>411</v>
      </c>
      <c r="V145">
        <v>0</v>
      </c>
      <c r="W145">
        <v>0</v>
      </c>
      <c r="X145">
        <v>1</v>
      </c>
      <c r="AB145">
        <f t="shared" si="21"/>
        <v>0</v>
      </c>
      <c r="AC145">
        <f t="shared" si="22"/>
        <v>0</v>
      </c>
      <c r="AD145">
        <f t="shared" si="23"/>
        <v>0</v>
      </c>
      <c r="AE145">
        <f t="shared" si="25"/>
        <v>0</v>
      </c>
      <c r="AG145">
        <f t="shared" si="26"/>
        <v>0</v>
      </c>
    </row>
    <row r="146" spans="1:33" x14ac:dyDescent="0.25">
      <c r="A146">
        <v>184</v>
      </c>
      <c r="B146">
        <f>IFERROR(VLOOKUP(A146,Capacity!$A$3:$D$532,4,), "0")</f>
        <v>22.619466719999998</v>
      </c>
      <c r="C146" s="4">
        <f>IFERROR(VLOOKUP(A146,Capacity!$A$3:$F$532,6,), "0")</f>
        <v>0.3</v>
      </c>
      <c r="D146">
        <v>408</v>
      </c>
      <c r="E146">
        <f>IFERROR(VLOOKUP(D146,Capacity!$A$3:$D$532,4,), "0")</f>
        <v>21.166480142499999</v>
      </c>
      <c r="F146" s="4">
        <f>IFERROR(VLOOKUP(D146,Capacity!$A$3:$F$532,6,), "0")</f>
        <v>0.17499999999999999</v>
      </c>
      <c r="G146">
        <v>189</v>
      </c>
      <c r="H146">
        <f>IFERROR(VLOOKUP(G146,Capacity!$A$3:$D$532,4,), "0")</f>
        <v>22.619466719999998</v>
      </c>
      <c r="I146" s="4">
        <f>IFERROR(VLOOKUP(G146,Capacity!$A$3:$F$532,6,), "0")</f>
        <v>0.3</v>
      </c>
      <c r="K146" t="str">
        <f>IFERROR(VLOOKUP(J146,Capacity!$A$3:$D$532,4,), "0")</f>
        <v>0</v>
      </c>
      <c r="L146" s="4" t="str">
        <f>IFERROR(VLOOKUP(J146,Capacity!$A$3:$F$532,6,), "0")</f>
        <v>0</v>
      </c>
      <c r="M146" s="5">
        <f t="shared" si="18"/>
        <v>43.785946862499998</v>
      </c>
      <c r="N146" s="5">
        <f t="shared" si="19"/>
        <v>0.47499999999999998</v>
      </c>
      <c r="O146">
        <v>178</v>
      </c>
      <c r="P146">
        <f>IFERROR(VLOOKUP(O146,Capacity!$A$3:$D$532,4,), "0")</f>
        <v>22.619466719999998</v>
      </c>
      <c r="Q146" s="4">
        <f>IFERROR(VLOOKUP(O146,Capacity!$A$3:$F$532,6,), "0")</f>
        <v>0.3</v>
      </c>
      <c r="R146" s="5">
        <f t="shared" si="20"/>
        <v>22.619466719999998</v>
      </c>
      <c r="S146" s="5">
        <f t="shared" si="24"/>
        <v>0.3</v>
      </c>
      <c r="U146">
        <v>184</v>
      </c>
      <c r="V146">
        <v>2</v>
      </c>
      <c r="W146">
        <v>2</v>
      </c>
      <c r="X146">
        <v>1</v>
      </c>
      <c r="AB146">
        <f t="shared" si="21"/>
        <v>1.9357638888888888</v>
      </c>
      <c r="AC146">
        <f t="shared" si="22"/>
        <v>1.9357638888888888</v>
      </c>
      <c r="AD146">
        <f t="shared" si="23"/>
        <v>1.5833333333333333</v>
      </c>
      <c r="AE146">
        <f t="shared" si="25"/>
        <v>1.5833333333333333</v>
      </c>
      <c r="AG146">
        <f t="shared" si="26"/>
        <v>0.96788194444444442</v>
      </c>
    </row>
    <row r="147" spans="1:33" x14ac:dyDescent="0.25">
      <c r="A147">
        <v>457</v>
      </c>
      <c r="B147">
        <f>IFERROR(VLOOKUP(A147,Capacity!$A$3:$D$532,4,), "0")</f>
        <v>15.874860106874999</v>
      </c>
      <c r="C147" s="4">
        <f>IFERROR(VLOOKUP(A147,Capacity!$A$3:$F$532,6,), "0")</f>
        <v>0.17499999999999999</v>
      </c>
      <c r="E147" t="str">
        <f>IFERROR(VLOOKUP(D147,Capacity!$A$3:$D$532,4,), "0")</f>
        <v>0</v>
      </c>
      <c r="F147" s="4" t="str">
        <f>IFERROR(VLOOKUP(D147,Capacity!$A$3:$F$532,6,), "0")</f>
        <v>0</v>
      </c>
      <c r="H147" t="str">
        <f>IFERROR(VLOOKUP(G147,Capacity!$A$3:$D$532,4,), "0")</f>
        <v>0</v>
      </c>
      <c r="I147" s="4" t="str">
        <f>IFERROR(VLOOKUP(G147,Capacity!$A$3:$F$532,6,), "0")</f>
        <v>0</v>
      </c>
      <c r="K147" t="str">
        <f>IFERROR(VLOOKUP(J147,Capacity!$A$3:$D$532,4,), "0")</f>
        <v>0</v>
      </c>
      <c r="L147" s="4" t="str">
        <f>IFERROR(VLOOKUP(J147,Capacity!$A$3:$F$532,6,), "0")</f>
        <v>0</v>
      </c>
      <c r="M147" s="5">
        <f t="shared" si="18"/>
        <v>0</v>
      </c>
      <c r="N147" s="5">
        <f t="shared" si="19"/>
        <v>0</v>
      </c>
      <c r="O147">
        <v>180</v>
      </c>
      <c r="P147">
        <f>IFERROR(VLOOKUP(O147,Capacity!$A$3:$D$532,4,), "0")</f>
        <v>20.734511160000007</v>
      </c>
      <c r="Q147" s="4">
        <f>IFERROR(VLOOKUP(O147,Capacity!$A$3:$F$532,6,), "0")</f>
        <v>0.2</v>
      </c>
      <c r="R147" s="5">
        <f t="shared" si="20"/>
        <v>20.734511160000007</v>
      </c>
      <c r="S147" s="5">
        <f t="shared" si="24"/>
        <v>0.2</v>
      </c>
      <c r="U147">
        <v>457</v>
      </c>
      <c r="V147">
        <v>0</v>
      </c>
      <c r="W147">
        <v>0</v>
      </c>
      <c r="X147">
        <v>1</v>
      </c>
      <c r="AB147">
        <f t="shared" si="21"/>
        <v>0</v>
      </c>
      <c r="AC147">
        <f t="shared" si="22"/>
        <v>0</v>
      </c>
      <c r="AD147">
        <f t="shared" si="23"/>
        <v>0</v>
      </c>
      <c r="AE147">
        <f t="shared" si="25"/>
        <v>0</v>
      </c>
      <c r="AG147">
        <f t="shared" si="26"/>
        <v>0</v>
      </c>
    </row>
    <row r="148" spans="1:33" x14ac:dyDescent="0.25">
      <c r="A148">
        <v>185</v>
      </c>
      <c r="B148">
        <f>IFERROR(VLOOKUP(A148,Capacity!$A$3:$D$532,4,), "0")</f>
        <v>628.31852000000003</v>
      </c>
      <c r="C148" s="4">
        <f>IFERROR(VLOOKUP(A148,Capacity!$A$3:$F$532,6,), "0")</f>
        <v>1</v>
      </c>
      <c r="D148">
        <v>459</v>
      </c>
      <c r="E148">
        <f>IFERROR(VLOOKUP(D148,Capacity!$A$3:$D$532,4,), "0")</f>
        <v>19.242254674999998</v>
      </c>
      <c r="F148" s="4">
        <f>IFERROR(VLOOKUP(D148,Capacity!$A$3:$F$532,6,), "0")</f>
        <v>0.17499999999999999</v>
      </c>
      <c r="G148">
        <v>192</v>
      </c>
      <c r="H148">
        <f>IFERROR(VLOOKUP(G148,Capacity!$A$3:$D$532,4,), "0")</f>
        <v>20.106192640000003</v>
      </c>
      <c r="I148" s="4">
        <f>IFERROR(VLOOKUP(G148,Capacity!$A$3:$F$532,6,), "0")</f>
        <v>0.2</v>
      </c>
      <c r="K148" t="str">
        <f>IFERROR(VLOOKUP(J148,Capacity!$A$3:$D$532,4,), "0")</f>
        <v>0</v>
      </c>
      <c r="L148" s="4" t="str">
        <f>IFERROR(VLOOKUP(J148,Capacity!$A$3:$F$532,6,), "0")</f>
        <v>0</v>
      </c>
      <c r="M148" s="5">
        <f t="shared" si="18"/>
        <v>39.348447315000001</v>
      </c>
      <c r="N148" s="5">
        <f t="shared" si="19"/>
        <v>0.375</v>
      </c>
      <c r="O148">
        <v>186</v>
      </c>
      <c r="P148">
        <f>IFERROR(VLOOKUP(O148,Capacity!$A$3:$D$532,4,), "0")</f>
        <v>17.649467226800002</v>
      </c>
      <c r="Q148" s="4">
        <f>IFERROR(VLOOKUP(O148,Capacity!$A$3:$F$532,6,), "0")</f>
        <v>0.26500000000000001</v>
      </c>
      <c r="R148" s="5">
        <f t="shared" si="20"/>
        <v>17.649467226800002</v>
      </c>
      <c r="S148" s="5">
        <f t="shared" si="24"/>
        <v>0.26500000000000001</v>
      </c>
      <c r="U148">
        <v>185</v>
      </c>
      <c r="V148">
        <v>3</v>
      </c>
      <c r="W148">
        <v>3</v>
      </c>
      <c r="X148">
        <v>1</v>
      </c>
      <c r="AB148">
        <f t="shared" si="21"/>
        <v>2.2294410822356707</v>
      </c>
      <c r="AC148">
        <f t="shared" si="22"/>
        <v>6.2625E-2</v>
      </c>
      <c r="AD148">
        <f t="shared" si="23"/>
        <v>1.4150943396226414</v>
      </c>
      <c r="AE148">
        <f t="shared" si="25"/>
        <v>0.375</v>
      </c>
      <c r="AG148">
        <f t="shared" si="26"/>
        <v>6.0913927768969645E-2</v>
      </c>
    </row>
    <row r="149" spans="1:33" x14ac:dyDescent="0.25">
      <c r="A149">
        <v>462</v>
      </c>
      <c r="B149">
        <f>IFERROR(VLOOKUP(A149,Capacity!$A$3:$D$532,4,), "0")</f>
        <v>19.242254674999998</v>
      </c>
      <c r="C149" s="4">
        <f>IFERROR(VLOOKUP(A149,Capacity!$A$3:$F$532,6,), "0")</f>
        <v>0.17499999999999999</v>
      </c>
      <c r="E149" t="str">
        <f>IFERROR(VLOOKUP(D149,Capacity!$A$3:$D$532,4,), "0")</f>
        <v>0</v>
      </c>
      <c r="F149" s="4" t="str">
        <f>IFERROR(VLOOKUP(D149,Capacity!$A$3:$F$532,6,), "0")</f>
        <v>0</v>
      </c>
      <c r="H149" t="str">
        <f>IFERROR(VLOOKUP(G149,Capacity!$A$3:$D$532,4,), "0")</f>
        <v>0</v>
      </c>
      <c r="I149" s="4" t="str">
        <f>IFERROR(VLOOKUP(G149,Capacity!$A$3:$F$532,6,), "0")</f>
        <v>0</v>
      </c>
      <c r="K149" t="str">
        <f>IFERROR(VLOOKUP(J149,Capacity!$A$3:$D$532,4,), "0")</f>
        <v>0</v>
      </c>
      <c r="L149" s="4" t="str">
        <f>IFERROR(VLOOKUP(J149,Capacity!$A$3:$F$532,6,), "0")</f>
        <v>0</v>
      </c>
      <c r="M149" s="5">
        <f t="shared" si="18"/>
        <v>0</v>
      </c>
      <c r="N149" s="5">
        <f t="shared" si="19"/>
        <v>0</v>
      </c>
      <c r="O149">
        <v>193</v>
      </c>
      <c r="P149">
        <f>IFERROR(VLOOKUP(O149,Capacity!$A$3:$D$532,4,), "0")</f>
        <v>19.242254674999998</v>
      </c>
      <c r="Q149" s="4">
        <f>IFERROR(VLOOKUP(O149,Capacity!$A$3:$F$532,6,), "0")</f>
        <v>0.17499999999999999</v>
      </c>
      <c r="R149" s="5">
        <f t="shared" si="20"/>
        <v>19.242254674999998</v>
      </c>
      <c r="S149" s="5">
        <f t="shared" si="24"/>
        <v>0.17499999999999999</v>
      </c>
      <c r="U149">
        <v>462</v>
      </c>
      <c r="V149">
        <v>0</v>
      </c>
      <c r="W149">
        <v>0</v>
      </c>
      <c r="X149">
        <v>1</v>
      </c>
      <c r="AB149">
        <f t="shared" si="21"/>
        <v>0</v>
      </c>
      <c r="AC149">
        <f t="shared" si="22"/>
        <v>0</v>
      </c>
      <c r="AD149">
        <f t="shared" si="23"/>
        <v>0</v>
      </c>
      <c r="AE149">
        <f t="shared" si="25"/>
        <v>0</v>
      </c>
      <c r="AG149">
        <f t="shared" si="26"/>
        <v>0</v>
      </c>
    </row>
    <row r="150" spans="1:33" x14ac:dyDescent="0.25">
      <c r="A150">
        <v>206</v>
      </c>
      <c r="B150">
        <f>IFERROR(VLOOKUP(A150,Capacity!$A$3:$D$532,4,), "0")</f>
        <v>17.318029207499997</v>
      </c>
      <c r="C150" s="4">
        <f>IFERROR(VLOOKUP(A150,Capacity!$A$3:$F$532,6,), "0")</f>
        <v>0.17499999999999999</v>
      </c>
      <c r="D150">
        <v>463</v>
      </c>
      <c r="E150">
        <f>IFERROR(VLOOKUP(D150,Capacity!$A$3:$D$532,4,), "0")</f>
        <v>10.58324007125</v>
      </c>
      <c r="F150" s="4">
        <f>IFERROR(VLOOKUP(D150,Capacity!$A$3:$F$532,6,), "0")</f>
        <v>0.17499999999999999</v>
      </c>
      <c r="H150" t="str">
        <f>IFERROR(VLOOKUP(G150,Capacity!$A$3:$D$532,4,), "0")</f>
        <v>0</v>
      </c>
      <c r="I150" s="4" t="str">
        <f>IFERROR(VLOOKUP(G150,Capacity!$A$3:$F$532,6,), "0")</f>
        <v>0</v>
      </c>
      <c r="K150" t="str">
        <f>IFERROR(VLOOKUP(J150,Capacity!$A$3:$D$532,4,), "0")</f>
        <v>0</v>
      </c>
      <c r="L150" s="4" t="str">
        <f>IFERROR(VLOOKUP(J150,Capacity!$A$3:$F$532,6,), "0")</f>
        <v>0</v>
      </c>
      <c r="M150" s="5">
        <f t="shared" si="18"/>
        <v>10.58324007125</v>
      </c>
      <c r="N150" s="5">
        <f t="shared" si="19"/>
        <v>0.17499999999999999</v>
      </c>
      <c r="O150">
        <v>207</v>
      </c>
      <c r="P150">
        <f>IFERROR(VLOOKUP(O150,Capacity!$A$3:$D$532,4,), "0")</f>
        <v>31.101766740000002</v>
      </c>
      <c r="Q150" s="4">
        <f>IFERROR(VLOOKUP(O150,Capacity!$A$3:$F$532,6,), "0")</f>
        <v>0.3</v>
      </c>
      <c r="R150" s="5">
        <f t="shared" si="20"/>
        <v>31.101766740000002</v>
      </c>
      <c r="S150" s="5">
        <f t="shared" si="24"/>
        <v>0.3</v>
      </c>
      <c r="U150">
        <v>206</v>
      </c>
      <c r="V150">
        <v>2</v>
      </c>
      <c r="W150">
        <v>2</v>
      </c>
      <c r="X150">
        <v>1</v>
      </c>
      <c r="AB150">
        <f t="shared" si="21"/>
        <v>0.34027777777777773</v>
      </c>
      <c r="AC150">
        <f t="shared" si="22"/>
        <v>0.61111111111111116</v>
      </c>
      <c r="AD150">
        <f t="shared" si="23"/>
        <v>0.58333333333333337</v>
      </c>
      <c r="AE150">
        <f t="shared" si="25"/>
        <v>1</v>
      </c>
      <c r="AG150">
        <f t="shared" si="26"/>
        <v>0.21857258718572586</v>
      </c>
    </row>
    <row r="151" spans="1:33" x14ac:dyDescent="0.25">
      <c r="A151">
        <v>208</v>
      </c>
      <c r="B151">
        <f>IFERROR(VLOOKUP(A151,Capacity!$A$3:$D$532,4,), "0")</f>
        <v>25.132740800000008</v>
      </c>
      <c r="C151" s="4">
        <f>IFERROR(VLOOKUP(A151,Capacity!$A$3:$F$532,6,), "0")</f>
        <v>0.4</v>
      </c>
      <c r="D151">
        <v>205</v>
      </c>
      <c r="E151">
        <f>IFERROR(VLOOKUP(D151,Capacity!$A$3:$D$532,4,), "0")</f>
        <v>309.25052156250001</v>
      </c>
      <c r="F151" s="4">
        <f>IFERROR(VLOOKUP(D151,Capacity!$A$3:$F$532,6,), "0")</f>
        <v>0.75</v>
      </c>
      <c r="G151">
        <v>209</v>
      </c>
      <c r="H151">
        <f>IFERROR(VLOOKUP(G151,Capacity!$A$3:$D$532,4,), "0")</f>
        <v>123.700208625</v>
      </c>
      <c r="I151" s="4">
        <f>IFERROR(VLOOKUP(G151,Capacity!$A$3:$F$532,6,), "0")</f>
        <v>0.75</v>
      </c>
      <c r="K151" t="str">
        <f>IFERROR(VLOOKUP(J151,Capacity!$A$3:$D$532,4,), "0")</f>
        <v>0</v>
      </c>
      <c r="L151" s="4" t="str">
        <f>IFERROR(VLOOKUP(J151,Capacity!$A$3:$F$532,6,), "0")</f>
        <v>0</v>
      </c>
      <c r="M151" s="5">
        <f t="shared" si="18"/>
        <v>432.95073018750003</v>
      </c>
      <c r="N151" s="5">
        <f t="shared" si="19"/>
        <v>1.5</v>
      </c>
      <c r="O151">
        <v>207</v>
      </c>
      <c r="P151">
        <f>IFERROR(VLOOKUP(O151,Capacity!$A$3:$D$532,4,), "0")</f>
        <v>31.101766740000002</v>
      </c>
      <c r="Q151" s="4">
        <f>IFERROR(VLOOKUP(O151,Capacity!$A$3:$F$532,6,), "0")</f>
        <v>0.3</v>
      </c>
      <c r="R151" s="5">
        <f t="shared" si="20"/>
        <v>31.101766740000002</v>
      </c>
      <c r="S151" s="5">
        <f t="shared" si="24"/>
        <v>0.3</v>
      </c>
      <c r="U151">
        <v>208</v>
      </c>
      <c r="V151">
        <v>2</v>
      </c>
      <c r="W151">
        <v>2</v>
      </c>
      <c r="X151">
        <v>1</v>
      </c>
      <c r="AB151">
        <f t="shared" si="21"/>
        <v>13.920454545454545</v>
      </c>
      <c r="AC151">
        <f t="shared" si="22"/>
        <v>17.226562499999996</v>
      </c>
      <c r="AD151">
        <f t="shared" si="23"/>
        <v>5</v>
      </c>
      <c r="AE151">
        <f t="shared" si="25"/>
        <v>3.75</v>
      </c>
      <c r="AG151">
        <f t="shared" si="26"/>
        <v>7.6990223463687144</v>
      </c>
    </row>
    <row r="152" spans="1:33" x14ac:dyDescent="0.25">
      <c r="A152">
        <v>472</v>
      </c>
      <c r="B152">
        <f>IFERROR(VLOOKUP(A152,Capacity!$A$3:$D$532,4,), "0")</f>
        <v>24.052818343749998</v>
      </c>
      <c r="C152" s="4">
        <f>IFERROR(VLOOKUP(A152,Capacity!$A$3:$F$532,6,), "0")</f>
        <v>0.17499999999999999</v>
      </c>
      <c r="E152" t="str">
        <f>IFERROR(VLOOKUP(D152,Capacity!$A$3:$D$532,4,), "0")</f>
        <v>0</v>
      </c>
      <c r="F152" s="4" t="str">
        <f>IFERROR(VLOOKUP(D152,Capacity!$A$3:$F$532,6,), "0")</f>
        <v>0</v>
      </c>
      <c r="H152" t="str">
        <f>IFERROR(VLOOKUP(G152,Capacity!$A$3:$D$532,4,), "0")</f>
        <v>0</v>
      </c>
      <c r="I152" s="4" t="str">
        <f>IFERROR(VLOOKUP(G152,Capacity!$A$3:$F$532,6,), "0")</f>
        <v>0</v>
      </c>
      <c r="K152" t="str">
        <f>IFERROR(VLOOKUP(J152,Capacity!$A$3:$D$532,4,), "0")</f>
        <v>0</v>
      </c>
      <c r="L152" s="4" t="str">
        <f>IFERROR(VLOOKUP(J152,Capacity!$A$3:$F$532,6,), "0")</f>
        <v>0</v>
      </c>
      <c r="M152" s="5">
        <f t="shared" si="18"/>
        <v>0</v>
      </c>
      <c r="N152" s="5">
        <f t="shared" si="19"/>
        <v>0</v>
      </c>
      <c r="O152">
        <v>215</v>
      </c>
      <c r="P152">
        <f>IFERROR(VLOOKUP(O152,Capacity!$A$3:$D$532,4,), "0")</f>
        <v>6.2831852000000019</v>
      </c>
      <c r="Q152" s="4">
        <f>IFERROR(VLOOKUP(O152,Capacity!$A$3:$F$532,6,), "0")</f>
        <v>0.2</v>
      </c>
      <c r="R152" s="5">
        <f t="shared" si="20"/>
        <v>6.2831852000000019</v>
      </c>
      <c r="S152" s="5">
        <f t="shared" si="24"/>
        <v>0.2</v>
      </c>
      <c r="U152">
        <v>472</v>
      </c>
      <c r="V152">
        <v>0</v>
      </c>
      <c r="W152">
        <v>0</v>
      </c>
      <c r="X152">
        <v>1</v>
      </c>
      <c r="AB152">
        <f t="shared" si="21"/>
        <v>0</v>
      </c>
      <c r="AC152">
        <f t="shared" si="22"/>
        <v>0</v>
      </c>
      <c r="AD152">
        <f t="shared" si="23"/>
        <v>0</v>
      </c>
      <c r="AE152">
        <f t="shared" si="25"/>
        <v>0</v>
      </c>
      <c r="AG152">
        <f t="shared" si="26"/>
        <v>0</v>
      </c>
    </row>
    <row r="153" spans="1:33" x14ac:dyDescent="0.25">
      <c r="A153">
        <v>214</v>
      </c>
      <c r="B153">
        <f>IFERROR(VLOOKUP(A153,Capacity!$A$3:$D$532,4,), "0")</f>
        <v>5.7726764024999992</v>
      </c>
      <c r="C153" s="4">
        <f>IFERROR(VLOOKUP(A153,Capacity!$A$3:$F$532,6,), "0")</f>
        <v>0.17499999999999999</v>
      </c>
      <c r="D153">
        <v>473</v>
      </c>
      <c r="E153">
        <f>IFERROR(VLOOKUP(D153,Capacity!$A$3:$D$532,4,), "0")</f>
        <v>25.977043811249995</v>
      </c>
      <c r="F153" s="4">
        <f>IFERROR(VLOOKUP(D153,Capacity!$A$3:$F$532,6,), "0")</f>
        <v>0.17499999999999999</v>
      </c>
      <c r="G153">
        <v>213</v>
      </c>
      <c r="H153">
        <f>IFERROR(VLOOKUP(G153,Capacity!$A$3:$D$532,4,), "0")</f>
        <v>9.621127337499999</v>
      </c>
      <c r="I153" s="4">
        <f>IFERROR(VLOOKUP(G153,Capacity!$A$3:$F$532,6,), "0")</f>
        <v>0.17499999999999999</v>
      </c>
      <c r="K153" t="str">
        <f>IFERROR(VLOOKUP(J153,Capacity!$A$3:$D$532,4,), "0")</f>
        <v>0</v>
      </c>
      <c r="L153" s="4" t="str">
        <f>IFERROR(VLOOKUP(J153,Capacity!$A$3:$F$532,6,), "0")</f>
        <v>0</v>
      </c>
      <c r="M153" s="5">
        <f t="shared" si="18"/>
        <v>35.598171148749998</v>
      </c>
      <c r="N153" s="5">
        <f t="shared" si="19"/>
        <v>0.35</v>
      </c>
      <c r="O153">
        <v>215</v>
      </c>
      <c r="P153">
        <f>IFERROR(VLOOKUP(O153,Capacity!$A$3:$D$532,4,), "0")</f>
        <v>6.2831852000000019</v>
      </c>
      <c r="Q153" s="4">
        <f>IFERROR(VLOOKUP(O153,Capacity!$A$3:$F$532,6,), "0")</f>
        <v>0.2</v>
      </c>
      <c r="R153" s="5">
        <f t="shared" si="20"/>
        <v>6.2831852000000019</v>
      </c>
      <c r="S153" s="5">
        <f t="shared" si="24"/>
        <v>0.2</v>
      </c>
      <c r="U153">
        <v>214</v>
      </c>
      <c r="V153">
        <v>2</v>
      </c>
      <c r="W153">
        <v>2</v>
      </c>
      <c r="X153">
        <v>1</v>
      </c>
      <c r="AB153">
        <f t="shared" si="21"/>
        <v>5.6656249999999977</v>
      </c>
      <c r="AC153">
        <f t="shared" si="22"/>
        <v>6.166666666666667</v>
      </c>
      <c r="AD153">
        <f t="shared" si="23"/>
        <v>1.7499999999999998</v>
      </c>
      <c r="AE153">
        <f t="shared" si="25"/>
        <v>2</v>
      </c>
      <c r="AG153">
        <f t="shared" si="26"/>
        <v>2.9527687296416931</v>
      </c>
    </row>
    <row r="154" spans="1:33" x14ac:dyDescent="0.25">
      <c r="A154">
        <v>277</v>
      </c>
      <c r="B154">
        <f>IFERROR(VLOOKUP(A154,Capacity!$A$3:$D$532,4,), "0")</f>
        <v>14.431691006249999</v>
      </c>
      <c r="C154" s="4">
        <f>IFERROR(VLOOKUP(A154,Capacity!$A$3:$F$532,6,), "0")</f>
        <v>0.17499999999999999</v>
      </c>
      <c r="E154" t="str">
        <f>IFERROR(VLOOKUP(D154,Capacity!$A$3:$D$532,4,), "0")</f>
        <v>0</v>
      </c>
      <c r="F154" s="4" t="str">
        <f>IFERROR(VLOOKUP(D154,Capacity!$A$3:$F$532,6,), "0")</f>
        <v>0</v>
      </c>
      <c r="H154" t="str">
        <f>IFERROR(VLOOKUP(G154,Capacity!$A$3:$D$532,4,), "0")</f>
        <v>0</v>
      </c>
      <c r="I154" s="4" t="str">
        <f>IFERROR(VLOOKUP(G154,Capacity!$A$3:$F$532,6,), "0")</f>
        <v>0</v>
      </c>
      <c r="K154" t="str">
        <f>IFERROR(VLOOKUP(J154,Capacity!$A$3:$D$532,4,), "0")</f>
        <v>0</v>
      </c>
      <c r="L154" s="4" t="str">
        <f>IFERROR(VLOOKUP(J154,Capacity!$A$3:$F$532,6,), "0")</f>
        <v>0</v>
      </c>
      <c r="M154" s="5">
        <f t="shared" si="18"/>
        <v>0</v>
      </c>
      <c r="N154" s="5">
        <f t="shared" si="19"/>
        <v>0</v>
      </c>
      <c r="O154">
        <v>119</v>
      </c>
      <c r="P154">
        <f>IFERROR(VLOOKUP(O154,Capacity!$A$3:$D$532,4,), "0")</f>
        <v>361.28314899999998</v>
      </c>
      <c r="Q154" s="4">
        <f>IFERROR(VLOOKUP(O154,Capacity!$A$3:$F$532,6,), "0")</f>
        <v>1</v>
      </c>
      <c r="R154" s="5">
        <f t="shared" si="20"/>
        <v>361.28314899999998</v>
      </c>
      <c r="S154" s="5">
        <f t="shared" si="24"/>
        <v>1</v>
      </c>
      <c r="U154">
        <v>277</v>
      </c>
      <c r="V154">
        <v>0</v>
      </c>
      <c r="W154">
        <v>0</v>
      </c>
      <c r="X154">
        <v>1</v>
      </c>
      <c r="AB154">
        <f t="shared" si="21"/>
        <v>0</v>
      </c>
      <c r="AC154">
        <f t="shared" si="22"/>
        <v>0</v>
      </c>
      <c r="AD154">
        <f t="shared" si="23"/>
        <v>0</v>
      </c>
      <c r="AE154">
        <f t="shared" si="25"/>
        <v>0</v>
      </c>
      <c r="AG154">
        <f t="shared" si="26"/>
        <v>0</v>
      </c>
    </row>
    <row r="155" spans="1:33" x14ac:dyDescent="0.25">
      <c r="A155">
        <v>118</v>
      </c>
      <c r="B155">
        <f>IFERROR(VLOOKUP(A155,Capacity!$A$3:$D$532,4,), "0")</f>
        <v>14.431691006249999</v>
      </c>
      <c r="C155" s="4">
        <f>IFERROR(VLOOKUP(A155,Capacity!$A$3:$F$532,6,), "0")</f>
        <v>0.17499999999999999</v>
      </c>
      <c r="D155">
        <v>117</v>
      </c>
      <c r="E155">
        <f>IFERROR(VLOOKUP(D155,Capacity!$A$3:$D$532,4,), "0")</f>
        <v>16.836972840624998</v>
      </c>
      <c r="F155" s="4">
        <f>IFERROR(VLOOKUP(D155,Capacity!$A$3:$F$532,6,), "0")</f>
        <v>0.17499999999999999</v>
      </c>
      <c r="H155" t="str">
        <f>IFERROR(VLOOKUP(G155,Capacity!$A$3:$D$532,4,), "0")</f>
        <v>0</v>
      </c>
      <c r="I155" s="4" t="str">
        <f>IFERROR(VLOOKUP(G155,Capacity!$A$3:$F$532,6,), "0")</f>
        <v>0</v>
      </c>
      <c r="K155" t="str">
        <f>IFERROR(VLOOKUP(J155,Capacity!$A$3:$D$532,4,), "0")</f>
        <v>0</v>
      </c>
      <c r="L155" s="4" t="str">
        <f>IFERROR(VLOOKUP(J155,Capacity!$A$3:$F$532,6,), "0")</f>
        <v>0</v>
      </c>
      <c r="M155" s="5">
        <f t="shared" si="18"/>
        <v>16.836972840624998</v>
      </c>
      <c r="N155" s="5">
        <f t="shared" si="19"/>
        <v>0.17499999999999999</v>
      </c>
      <c r="O155">
        <v>119</v>
      </c>
      <c r="P155">
        <f>IFERROR(VLOOKUP(O155,Capacity!$A$3:$D$532,4,), "0")</f>
        <v>361.28314899999998</v>
      </c>
      <c r="Q155" s="4">
        <f>IFERROR(VLOOKUP(O155,Capacity!$A$3:$F$532,6,), "0")</f>
        <v>1</v>
      </c>
      <c r="R155" s="5">
        <f t="shared" si="20"/>
        <v>361.28314899999998</v>
      </c>
      <c r="S155" s="5">
        <f t="shared" si="24"/>
        <v>1</v>
      </c>
      <c r="U155">
        <v>118</v>
      </c>
      <c r="V155">
        <v>1</v>
      </c>
      <c r="W155">
        <v>1</v>
      </c>
      <c r="X155">
        <v>1</v>
      </c>
      <c r="AB155">
        <f t="shared" si="21"/>
        <v>4.6603260869565212E-2</v>
      </c>
      <c r="AC155">
        <f t="shared" si="22"/>
        <v>1.1666666666666667</v>
      </c>
      <c r="AD155">
        <f t="shared" si="23"/>
        <v>0.17499999999999999</v>
      </c>
      <c r="AE155">
        <f t="shared" si="25"/>
        <v>1</v>
      </c>
      <c r="AG155">
        <f t="shared" si="26"/>
        <v>4.4813169584530965E-2</v>
      </c>
    </row>
    <row r="156" spans="1:33" x14ac:dyDescent="0.25">
      <c r="A156">
        <v>111</v>
      </c>
      <c r="B156">
        <f>IFERROR(VLOOKUP(A156,Capacity!$A$3:$D$532,4,), "0")</f>
        <v>12.566370400000004</v>
      </c>
      <c r="C156" s="4">
        <f>IFERROR(VLOOKUP(A156,Capacity!$A$3:$F$532,6,), "0")</f>
        <v>0.2</v>
      </c>
      <c r="D156">
        <v>110</v>
      </c>
      <c r="E156">
        <f>IFERROR(VLOOKUP(D156,Capacity!$A$3:$D$532,4,), "0")</f>
        <v>17.592918560000005</v>
      </c>
      <c r="F156" s="4">
        <f>IFERROR(VLOOKUP(D156,Capacity!$A$3:$F$532,6,), "0")</f>
        <v>0.2</v>
      </c>
      <c r="G156">
        <v>114</v>
      </c>
      <c r="H156">
        <f>IFERROR(VLOOKUP(G156,Capacity!$A$3:$D$532,4,), "0")</f>
        <v>15.079644480000002</v>
      </c>
      <c r="I156" s="4">
        <f>IFERROR(VLOOKUP(G156,Capacity!$A$3:$F$532,6,), "0")</f>
        <v>0.2</v>
      </c>
      <c r="K156" t="str">
        <f>IFERROR(VLOOKUP(J156,Capacity!$A$3:$D$532,4,), "0")</f>
        <v>0</v>
      </c>
      <c r="L156" s="4" t="str">
        <f>IFERROR(VLOOKUP(J156,Capacity!$A$3:$F$532,6,), "0")</f>
        <v>0</v>
      </c>
      <c r="M156" s="5">
        <f t="shared" si="18"/>
        <v>32.672563040000007</v>
      </c>
      <c r="N156" s="5">
        <f t="shared" si="19"/>
        <v>0.4</v>
      </c>
      <c r="O156">
        <v>119</v>
      </c>
      <c r="P156">
        <f>IFERROR(VLOOKUP(O156,Capacity!$A$3:$D$532,4,), "0")</f>
        <v>361.28314899999998</v>
      </c>
      <c r="Q156" s="4">
        <f>IFERROR(VLOOKUP(O156,Capacity!$A$3:$F$532,6,), "0")</f>
        <v>1</v>
      </c>
      <c r="R156" s="5">
        <f t="shared" si="20"/>
        <v>361.28314899999998</v>
      </c>
      <c r="S156" s="5">
        <f t="shared" si="24"/>
        <v>1</v>
      </c>
      <c r="U156">
        <v>111</v>
      </c>
      <c r="V156">
        <v>3</v>
      </c>
      <c r="W156">
        <v>3</v>
      </c>
      <c r="X156">
        <v>1</v>
      </c>
      <c r="AB156">
        <f t="shared" si="21"/>
        <v>9.0434782608695682E-2</v>
      </c>
      <c r="AC156">
        <f t="shared" si="22"/>
        <v>2.5999999999999996</v>
      </c>
      <c r="AD156">
        <f t="shared" si="23"/>
        <v>0.4</v>
      </c>
      <c r="AE156">
        <f t="shared" si="25"/>
        <v>2</v>
      </c>
      <c r="AG156">
        <f t="shared" si="26"/>
        <v>8.73949579831933E-2</v>
      </c>
    </row>
    <row r="157" spans="1:33" x14ac:dyDescent="0.25">
      <c r="A157">
        <v>122</v>
      </c>
      <c r="B157">
        <f>IFERROR(VLOOKUP(A157,Capacity!$A$3:$D$532,4,), "0")</f>
        <v>16.836972840624998</v>
      </c>
      <c r="C157" s="4">
        <f>IFERROR(VLOOKUP(A157,Capacity!$A$3:$F$532,6,), "0")</f>
        <v>0.17499999999999999</v>
      </c>
      <c r="E157" t="str">
        <f>IFERROR(VLOOKUP(D157,Capacity!$A$3:$D$532,4,), "0")</f>
        <v>0</v>
      </c>
      <c r="F157" s="4" t="str">
        <f>IFERROR(VLOOKUP(D157,Capacity!$A$3:$F$532,6,), "0")</f>
        <v>0</v>
      </c>
      <c r="H157" t="str">
        <f>IFERROR(VLOOKUP(G157,Capacity!$A$3:$D$532,4,), "0")</f>
        <v>0</v>
      </c>
      <c r="I157" s="4" t="str">
        <f>IFERROR(VLOOKUP(G157,Capacity!$A$3:$F$532,6,), "0")</f>
        <v>0</v>
      </c>
      <c r="K157" t="str">
        <f>IFERROR(VLOOKUP(J157,Capacity!$A$3:$D$532,4,), "0")</f>
        <v>0</v>
      </c>
      <c r="L157" s="4" t="str">
        <f>IFERROR(VLOOKUP(J157,Capacity!$A$3:$F$532,6,), "0")</f>
        <v>0</v>
      </c>
      <c r="M157" s="5">
        <f t="shared" si="18"/>
        <v>0</v>
      </c>
      <c r="N157" s="5">
        <f t="shared" si="19"/>
        <v>0</v>
      </c>
      <c r="O157">
        <v>121</v>
      </c>
      <c r="P157">
        <f>IFERROR(VLOOKUP(O157,Capacity!$A$3:$D$532,4,), "0")</f>
        <v>309.25052156250001</v>
      </c>
      <c r="Q157" s="4">
        <f>IFERROR(VLOOKUP(O157,Capacity!$A$3:$F$532,6,), "0")</f>
        <v>0.75</v>
      </c>
      <c r="R157" s="5">
        <f t="shared" si="20"/>
        <v>309.25052156250001</v>
      </c>
      <c r="S157" s="5">
        <f t="shared" si="24"/>
        <v>0.75</v>
      </c>
      <c r="U157">
        <v>122</v>
      </c>
      <c r="V157">
        <v>0</v>
      </c>
      <c r="W157">
        <v>0</v>
      </c>
      <c r="X157">
        <v>1</v>
      </c>
      <c r="AB157">
        <f t="shared" si="21"/>
        <v>0</v>
      </c>
      <c r="AC157">
        <f t="shared" si="22"/>
        <v>0</v>
      </c>
      <c r="AD157">
        <f t="shared" si="23"/>
        <v>0</v>
      </c>
      <c r="AE157">
        <f t="shared" si="25"/>
        <v>0</v>
      </c>
      <c r="AG157">
        <f t="shared" si="26"/>
        <v>0</v>
      </c>
    </row>
    <row r="158" spans="1:33" x14ac:dyDescent="0.25">
      <c r="A158">
        <v>441</v>
      </c>
      <c r="B158">
        <f>IFERROR(VLOOKUP(A158,Capacity!$A$3:$D$532,4,), "0")</f>
        <v>180.95573375999999</v>
      </c>
      <c r="C158" s="4">
        <f>IFERROR(VLOOKUP(A158,Capacity!$A$3:$F$532,6,), "0")</f>
        <v>0.6</v>
      </c>
      <c r="E158" t="str">
        <f>IFERROR(VLOOKUP(D158,Capacity!$A$3:$D$532,4,), "0")</f>
        <v>0</v>
      </c>
      <c r="F158" s="4" t="str">
        <f>IFERROR(VLOOKUP(D158,Capacity!$A$3:$F$532,6,), "0")</f>
        <v>0</v>
      </c>
      <c r="H158" t="str">
        <f>IFERROR(VLOOKUP(G158,Capacity!$A$3:$D$532,4,), "0")</f>
        <v>0</v>
      </c>
      <c r="I158" s="4" t="str">
        <f>IFERROR(VLOOKUP(G158,Capacity!$A$3:$F$532,6,), "0")</f>
        <v>0</v>
      </c>
      <c r="K158" t="str">
        <f>IFERROR(VLOOKUP(J158,Capacity!$A$3:$D$532,4,), "0")</f>
        <v>0</v>
      </c>
      <c r="L158" s="4" t="str">
        <f>IFERROR(VLOOKUP(J158,Capacity!$A$3:$F$532,6,), "0")</f>
        <v>0</v>
      </c>
      <c r="M158" s="5">
        <f t="shared" si="18"/>
        <v>0</v>
      </c>
      <c r="N158" s="5">
        <f t="shared" si="19"/>
        <v>0</v>
      </c>
      <c r="O158">
        <v>125</v>
      </c>
      <c r="P158">
        <f>IFERROR(VLOOKUP(O158,Capacity!$A$3:$D$532,4,), "0")</f>
        <v>21.647536509374998</v>
      </c>
      <c r="Q158" s="4">
        <f>IFERROR(VLOOKUP(O158,Capacity!$A$3:$F$532,6,), "0")</f>
        <v>0.17499999999999999</v>
      </c>
      <c r="R158" s="5">
        <f t="shared" si="20"/>
        <v>21.647536509374998</v>
      </c>
      <c r="S158" s="5">
        <f t="shared" si="24"/>
        <v>0.17499999999999999</v>
      </c>
      <c r="U158">
        <v>441</v>
      </c>
      <c r="V158">
        <v>0</v>
      </c>
      <c r="W158">
        <v>0</v>
      </c>
      <c r="X158">
        <v>1</v>
      </c>
      <c r="AB158">
        <f t="shared" si="21"/>
        <v>0</v>
      </c>
      <c r="AC158">
        <f t="shared" si="22"/>
        <v>0</v>
      </c>
      <c r="AD158">
        <f t="shared" si="23"/>
        <v>0</v>
      </c>
      <c r="AE158">
        <f t="shared" si="25"/>
        <v>0</v>
      </c>
      <c r="AG158">
        <f t="shared" si="26"/>
        <v>0</v>
      </c>
    </row>
    <row r="159" spans="1:33" x14ac:dyDescent="0.25">
      <c r="A159">
        <v>437</v>
      </c>
      <c r="B159">
        <f>IFERROR(VLOOKUP(A159,Capacity!$A$3:$D$532,4,), "0")</f>
        <v>90.477866879999993</v>
      </c>
      <c r="C159" s="4">
        <f>IFERROR(VLOOKUP(A159,Capacity!$A$3:$F$532,6,), "0")</f>
        <v>0.6</v>
      </c>
      <c r="E159" t="str">
        <f>IFERROR(VLOOKUP(D159,Capacity!$A$3:$D$532,4,), "0")</f>
        <v>0</v>
      </c>
      <c r="F159" s="4" t="str">
        <f>IFERROR(VLOOKUP(D159,Capacity!$A$3:$F$532,6,), "0")</f>
        <v>0</v>
      </c>
      <c r="H159" t="str">
        <f>IFERROR(VLOOKUP(G159,Capacity!$A$3:$D$532,4,), "0")</f>
        <v>0</v>
      </c>
      <c r="I159" s="4" t="str">
        <f>IFERROR(VLOOKUP(G159,Capacity!$A$3:$F$532,6,), "0")</f>
        <v>0</v>
      </c>
      <c r="K159" t="str">
        <f>IFERROR(VLOOKUP(J159,Capacity!$A$3:$D$532,4,), "0")</f>
        <v>0</v>
      </c>
      <c r="L159" s="4" t="str">
        <f>IFERROR(VLOOKUP(J159,Capacity!$A$3:$F$532,6,), "0")</f>
        <v>0</v>
      </c>
      <c r="M159" s="5">
        <f t="shared" si="18"/>
        <v>0</v>
      </c>
      <c r="N159" s="5">
        <f t="shared" si="19"/>
        <v>0</v>
      </c>
      <c r="O159">
        <v>125</v>
      </c>
      <c r="P159">
        <f>IFERROR(VLOOKUP(O159,Capacity!$A$3:$D$532,4,), "0")</f>
        <v>21.647536509374998</v>
      </c>
      <c r="Q159" s="4">
        <f>IFERROR(VLOOKUP(O159,Capacity!$A$3:$F$532,6,), "0")</f>
        <v>0.17499999999999999</v>
      </c>
      <c r="R159" s="5">
        <f t="shared" si="20"/>
        <v>21.647536509374998</v>
      </c>
      <c r="S159" s="5">
        <f t="shared" si="24"/>
        <v>0.17499999999999999</v>
      </c>
      <c r="U159">
        <v>437</v>
      </c>
      <c r="V159">
        <v>0</v>
      </c>
      <c r="W159">
        <v>0</v>
      </c>
      <c r="X159">
        <v>1</v>
      </c>
      <c r="AB159">
        <f t="shared" si="21"/>
        <v>0</v>
      </c>
      <c r="AC159">
        <f t="shared" si="22"/>
        <v>0</v>
      </c>
      <c r="AD159">
        <f t="shared" si="23"/>
        <v>0</v>
      </c>
      <c r="AE159">
        <f t="shared" si="25"/>
        <v>0</v>
      </c>
      <c r="AG159">
        <f t="shared" si="26"/>
        <v>0</v>
      </c>
    </row>
    <row r="160" spans="1:33" x14ac:dyDescent="0.25">
      <c r="A160">
        <v>424</v>
      </c>
      <c r="B160">
        <f>IFERROR(VLOOKUP(A160,Capacity!$A$3:$D$532,4,), "0")</f>
        <v>7.6969018699999987</v>
      </c>
      <c r="C160" s="4">
        <f>IFERROR(VLOOKUP(A160,Capacity!$A$3:$F$532,6,), "0")</f>
        <v>0.17499999999999999</v>
      </c>
      <c r="E160" t="str">
        <f>IFERROR(VLOOKUP(D160,Capacity!$A$3:$D$532,4,), "0")</f>
        <v>0</v>
      </c>
      <c r="F160" s="4" t="str">
        <f>IFERROR(VLOOKUP(D160,Capacity!$A$3:$F$532,6,), "0")</f>
        <v>0</v>
      </c>
      <c r="H160" t="str">
        <f>IFERROR(VLOOKUP(G160,Capacity!$A$3:$D$532,4,), "0")</f>
        <v>0</v>
      </c>
      <c r="I160" s="4" t="str">
        <f>IFERROR(VLOOKUP(G160,Capacity!$A$3:$F$532,6,), "0")</f>
        <v>0</v>
      </c>
      <c r="K160" t="str">
        <f>IFERROR(VLOOKUP(J160,Capacity!$A$3:$D$532,4,), "0")</f>
        <v>0</v>
      </c>
      <c r="L160" s="4" t="str">
        <f>IFERROR(VLOOKUP(J160,Capacity!$A$3:$F$532,6,), "0")</f>
        <v>0</v>
      </c>
      <c r="M160" s="5">
        <f t="shared" si="18"/>
        <v>0</v>
      </c>
      <c r="N160" s="5">
        <f t="shared" si="19"/>
        <v>0</v>
      </c>
      <c r="O160">
        <v>93</v>
      </c>
      <c r="P160">
        <f>IFERROR(VLOOKUP(O160,Capacity!$A$3:$D$532,4,), "0")</f>
        <v>25.132740800000008</v>
      </c>
      <c r="Q160" s="4">
        <f>IFERROR(VLOOKUP(O160,Capacity!$A$3:$F$532,6,), "0")</f>
        <v>0.2</v>
      </c>
      <c r="R160" s="5">
        <f t="shared" si="20"/>
        <v>25.132740800000008</v>
      </c>
      <c r="S160" s="5">
        <f t="shared" si="24"/>
        <v>0.2</v>
      </c>
      <c r="U160">
        <v>424</v>
      </c>
      <c r="V160">
        <v>0</v>
      </c>
      <c r="W160">
        <v>0</v>
      </c>
      <c r="X160">
        <v>1</v>
      </c>
      <c r="AB160">
        <f t="shared" si="21"/>
        <v>0</v>
      </c>
      <c r="AC160">
        <f t="shared" si="22"/>
        <v>0</v>
      </c>
      <c r="AD160">
        <f t="shared" si="23"/>
        <v>0</v>
      </c>
      <c r="AE160">
        <f t="shared" si="25"/>
        <v>0</v>
      </c>
      <c r="AG160">
        <f t="shared" si="26"/>
        <v>0</v>
      </c>
    </row>
    <row r="161" spans="1:33" x14ac:dyDescent="0.25">
      <c r="A161">
        <v>94</v>
      </c>
      <c r="B161">
        <f>IFERROR(VLOOKUP(A161,Capacity!$A$3:$D$532,4,), "0")</f>
        <v>7.6969018699999987</v>
      </c>
      <c r="C161" s="4">
        <f>IFERROR(VLOOKUP(A161,Capacity!$A$3:$F$532,6,), "0")</f>
        <v>0.17499999999999999</v>
      </c>
      <c r="E161" t="str">
        <f>IFERROR(VLOOKUP(D161,Capacity!$A$3:$D$532,4,), "0")</f>
        <v>0</v>
      </c>
      <c r="F161" s="4" t="str">
        <f>IFERROR(VLOOKUP(D161,Capacity!$A$3:$F$532,6,), "0")</f>
        <v>0</v>
      </c>
      <c r="H161" t="str">
        <f>IFERROR(VLOOKUP(G161,Capacity!$A$3:$D$532,4,), "0")</f>
        <v>0</v>
      </c>
      <c r="I161" s="4" t="str">
        <f>IFERROR(VLOOKUP(G161,Capacity!$A$3:$F$532,6,), "0")</f>
        <v>0</v>
      </c>
      <c r="K161" t="str">
        <f>IFERROR(VLOOKUP(J161,Capacity!$A$3:$D$532,4,), "0")</f>
        <v>0</v>
      </c>
      <c r="L161" s="4" t="str">
        <f>IFERROR(VLOOKUP(J161,Capacity!$A$3:$F$532,6,), "0")</f>
        <v>0</v>
      </c>
      <c r="M161" s="5">
        <f t="shared" si="18"/>
        <v>0</v>
      </c>
      <c r="N161" s="5">
        <f t="shared" si="19"/>
        <v>0</v>
      </c>
      <c r="O161">
        <v>93</v>
      </c>
      <c r="P161">
        <f>IFERROR(VLOOKUP(O161,Capacity!$A$3:$D$532,4,), "0")</f>
        <v>25.132740800000008</v>
      </c>
      <c r="Q161" s="4">
        <f>IFERROR(VLOOKUP(O161,Capacity!$A$3:$F$532,6,), "0")</f>
        <v>0.2</v>
      </c>
      <c r="R161" s="5">
        <f t="shared" si="20"/>
        <v>25.132740800000008</v>
      </c>
      <c r="S161" s="5">
        <f t="shared" si="24"/>
        <v>0.2</v>
      </c>
      <c r="U161">
        <v>94</v>
      </c>
      <c r="V161">
        <v>1</v>
      </c>
      <c r="W161">
        <v>1</v>
      </c>
      <c r="X161">
        <v>1</v>
      </c>
      <c r="AB161">
        <f t="shared" si="21"/>
        <v>0</v>
      </c>
      <c r="AC161">
        <f t="shared" si="22"/>
        <v>0</v>
      </c>
      <c r="AD161">
        <f t="shared" si="23"/>
        <v>0</v>
      </c>
      <c r="AE161">
        <f t="shared" si="25"/>
        <v>0</v>
      </c>
      <c r="AG161">
        <f t="shared" si="26"/>
        <v>0</v>
      </c>
    </row>
    <row r="162" spans="1:33" x14ac:dyDescent="0.25">
      <c r="A162">
        <v>53</v>
      </c>
      <c r="B162">
        <f>IFERROR(VLOOKUP(A162,Capacity!$A$3:$D$532,4,), "0")</f>
        <v>28.274333400000007</v>
      </c>
      <c r="C162" s="4">
        <f>IFERROR(VLOOKUP(A162,Capacity!$A$3:$F$532,6,), "0")</f>
        <v>0.2</v>
      </c>
      <c r="D162">
        <v>54</v>
      </c>
      <c r="E162">
        <f>IFERROR(VLOOKUP(D162,Capacity!$A$3:$D$532,4,), "0")</f>
        <v>7.6969018699999987</v>
      </c>
      <c r="F162" s="4">
        <f>IFERROR(VLOOKUP(D162,Capacity!$A$3:$F$532,6,), "0")</f>
        <v>0.17499999999999999</v>
      </c>
      <c r="G162">
        <v>18</v>
      </c>
      <c r="H162">
        <f>IFERROR(VLOOKUP(G162,Capacity!$A$3:$D$532,4,), "0")</f>
        <v>32.672563040000007</v>
      </c>
      <c r="I162" s="4">
        <f>IFERROR(VLOOKUP(G162,Capacity!$A$3:$F$532,6,), "0")</f>
        <v>0.2</v>
      </c>
      <c r="K162" t="str">
        <f>IFERROR(VLOOKUP(J162,Capacity!$A$3:$D$532,4,), "0")</f>
        <v>0</v>
      </c>
      <c r="L162" s="4" t="str">
        <f>IFERROR(VLOOKUP(J162,Capacity!$A$3:$F$532,6,), "0")</f>
        <v>0</v>
      </c>
      <c r="M162" s="5">
        <f t="shared" si="18"/>
        <v>40.369464910000005</v>
      </c>
      <c r="N162" s="5">
        <f t="shared" si="19"/>
        <v>0.375</v>
      </c>
      <c r="O162">
        <v>93</v>
      </c>
      <c r="P162">
        <f>IFERROR(VLOOKUP(O162,Capacity!$A$3:$D$532,4,), "0")</f>
        <v>25.132740800000008</v>
      </c>
      <c r="Q162" s="4">
        <f>IFERROR(VLOOKUP(O162,Capacity!$A$3:$F$532,6,), "0")</f>
        <v>0.2</v>
      </c>
      <c r="R162" s="5">
        <f t="shared" si="20"/>
        <v>25.132740800000008</v>
      </c>
      <c r="S162" s="5">
        <f t="shared" si="24"/>
        <v>0.2</v>
      </c>
      <c r="U162">
        <v>53</v>
      </c>
      <c r="V162">
        <v>3</v>
      </c>
      <c r="W162">
        <v>3</v>
      </c>
      <c r="X162">
        <v>1</v>
      </c>
      <c r="AB162">
        <f t="shared" si="21"/>
        <v>1.6062499999999997</v>
      </c>
      <c r="AC162">
        <f t="shared" si="22"/>
        <v>1.4277777777777776</v>
      </c>
      <c r="AD162">
        <f t="shared" si="23"/>
        <v>1.875</v>
      </c>
      <c r="AE162">
        <f t="shared" si="25"/>
        <v>1.875</v>
      </c>
      <c r="AG162">
        <f t="shared" si="26"/>
        <v>0.75588235294117645</v>
      </c>
    </row>
    <row r="163" spans="1:33" x14ac:dyDescent="0.25">
      <c r="A163">
        <v>123</v>
      </c>
      <c r="B163">
        <f>IFERROR(VLOOKUP(A163,Capacity!$A$3:$D$532,4,), "0")</f>
        <v>7.6969018699999987</v>
      </c>
      <c r="C163" s="4">
        <f>IFERROR(VLOOKUP(A163,Capacity!$A$3:$F$532,6,), "0")</f>
        <v>0.17499999999999999</v>
      </c>
      <c r="D163">
        <v>438</v>
      </c>
      <c r="E163">
        <f>IFERROR(VLOOKUP(D163,Capacity!$A$3:$D$532,4,), "0")</f>
        <v>124.40706696000001</v>
      </c>
      <c r="F163" s="4">
        <f>IFERROR(VLOOKUP(D163,Capacity!$A$3:$F$532,6,), "0")</f>
        <v>0.6</v>
      </c>
      <c r="G163">
        <v>98</v>
      </c>
      <c r="H163">
        <f>IFERROR(VLOOKUP(G163,Capacity!$A$3:$D$532,4,), "0")</f>
        <v>25.446900060000001</v>
      </c>
      <c r="I163" s="4">
        <f>IFERROR(VLOOKUP(G163,Capacity!$A$3:$F$532,6,), "0")</f>
        <v>0.3</v>
      </c>
      <c r="K163" t="str">
        <f>IFERROR(VLOOKUP(J163,Capacity!$A$3:$D$532,4,), "0")</f>
        <v>0</v>
      </c>
      <c r="L163" s="4" t="str">
        <f>IFERROR(VLOOKUP(J163,Capacity!$A$3:$F$532,6,), "0")</f>
        <v>0</v>
      </c>
      <c r="M163" s="5">
        <f t="shared" si="18"/>
        <v>149.85396702</v>
      </c>
      <c r="N163" s="5">
        <f t="shared" si="19"/>
        <v>0.89999999999999991</v>
      </c>
      <c r="O163">
        <v>130</v>
      </c>
      <c r="P163">
        <f>IFERROR(VLOOKUP(O163,Capacity!$A$3:$D$532,4,), "0")</f>
        <v>133.5176855</v>
      </c>
      <c r="Q163" s="4">
        <f>IFERROR(VLOOKUP(O163,Capacity!$A$3:$F$532,6,), "0")</f>
        <v>0.5</v>
      </c>
      <c r="R163" s="5">
        <f t="shared" si="20"/>
        <v>133.5176855</v>
      </c>
      <c r="S163" s="5">
        <f t="shared" si="24"/>
        <v>0.5</v>
      </c>
      <c r="U163">
        <v>123</v>
      </c>
      <c r="V163">
        <v>3</v>
      </c>
      <c r="W163">
        <v>3</v>
      </c>
      <c r="X163">
        <v>1</v>
      </c>
      <c r="AB163">
        <f t="shared" si="21"/>
        <v>1.1223529411764706</v>
      </c>
      <c r="AC163">
        <f t="shared" si="22"/>
        <v>19.469387755102044</v>
      </c>
      <c r="AD163">
        <f t="shared" si="23"/>
        <v>1.7999999999999998</v>
      </c>
      <c r="AE163">
        <f t="shared" si="25"/>
        <v>5.1428571428571423</v>
      </c>
      <c r="AG163">
        <f t="shared" si="26"/>
        <v>1.061179087875417</v>
      </c>
    </row>
    <row r="164" spans="1:33" x14ac:dyDescent="0.25">
      <c r="A164">
        <v>95</v>
      </c>
      <c r="B164">
        <f>IFERROR(VLOOKUP(A164,Capacity!$A$3:$D$532,4,), "0")</f>
        <v>30.886567646900005</v>
      </c>
      <c r="C164" s="4">
        <f>IFERROR(VLOOKUP(A164,Capacity!$A$3:$F$532,6,), "0")</f>
        <v>0.26500000000000001</v>
      </c>
      <c r="D164">
        <v>426</v>
      </c>
      <c r="E164">
        <f>IFERROR(VLOOKUP(D164,Capacity!$A$3:$D$532,4,), "0")</f>
        <v>7.6969018699999987</v>
      </c>
      <c r="F164" s="4">
        <f>IFERROR(VLOOKUP(D164,Capacity!$A$3:$F$532,6,), "0")</f>
        <v>0.17499999999999999</v>
      </c>
      <c r="G164">
        <v>96</v>
      </c>
      <c r="H164">
        <f>IFERROR(VLOOKUP(G164,Capacity!$A$3:$D$532,4,), "0")</f>
        <v>7.6969018699999987</v>
      </c>
      <c r="I164" s="4">
        <f>IFERROR(VLOOKUP(G164,Capacity!$A$3:$F$532,6,), "0")</f>
        <v>0.17499999999999999</v>
      </c>
      <c r="J164">
        <v>55</v>
      </c>
      <c r="K164">
        <f>IFERROR(VLOOKUP(J164,Capacity!$A$3:$D$532,4,), "0")</f>
        <v>21.647536509374998</v>
      </c>
      <c r="L164" s="4">
        <f>IFERROR(VLOOKUP(J164,Capacity!$A$3:$F$532,6,), "0")</f>
        <v>0.17499999999999999</v>
      </c>
      <c r="M164" s="5">
        <f t="shared" si="18"/>
        <v>37.041340249374997</v>
      </c>
      <c r="N164" s="5">
        <f t="shared" si="19"/>
        <v>0.52499999999999991</v>
      </c>
      <c r="O164">
        <v>130</v>
      </c>
      <c r="P164">
        <f>IFERROR(VLOOKUP(O164,Capacity!$A$3:$D$532,4,), "0")</f>
        <v>133.5176855</v>
      </c>
      <c r="Q164" s="4">
        <f>IFERROR(VLOOKUP(O164,Capacity!$A$3:$F$532,6,), "0")</f>
        <v>0.5</v>
      </c>
      <c r="R164" s="5">
        <f t="shared" si="20"/>
        <v>133.5176855</v>
      </c>
      <c r="S164" s="5">
        <f t="shared" si="24"/>
        <v>0.5</v>
      </c>
      <c r="U164">
        <v>95</v>
      </c>
      <c r="V164">
        <v>4</v>
      </c>
      <c r="W164">
        <v>4</v>
      </c>
      <c r="X164">
        <v>1</v>
      </c>
      <c r="AB164">
        <f t="shared" si="21"/>
        <v>0.27742647058823527</v>
      </c>
      <c r="AC164">
        <f t="shared" si="22"/>
        <v>1.199270202919188</v>
      </c>
      <c r="AD164">
        <f t="shared" si="23"/>
        <v>1.0499999999999998</v>
      </c>
      <c r="AE164">
        <f t="shared" si="25"/>
        <v>1.9811320754716977</v>
      </c>
      <c r="AG164">
        <f t="shared" si="26"/>
        <v>0.22530645978043815</v>
      </c>
    </row>
    <row r="165" spans="1:33" x14ac:dyDescent="0.25">
      <c r="A165">
        <v>378</v>
      </c>
      <c r="B165">
        <f>IFERROR(VLOOKUP(A165,Capacity!$A$3:$D$532,4,), "0")</f>
        <v>7.6969018699999987</v>
      </c>
      <c r="C165" s="4">
        <f>IFERROR(VLOOKUP(A165,Capacity!$A$3:$F$532,6,), "0")</f>
        <v>0.17499999999999999</v>
      </c>
      <c r="E165" t="str">
        <f>IFERROR(VLOOKUP(D165,Capacity!$A$3:$D$532,4,), "0")</f>
        <v>0</v>
      </c>
      <c r="F165" s="4" t="str">
        <f>IFERROR(VLOOKUP(D165,Capacity!$A$3:$F$532,6,), "0")</f>
        <v>0</v>
      </c>
      <c r="H165" t="str">
        <f>IFERROR(VLOOKUP(G165,Capacity!$A$3:$D$532,4,), "0")</f>
        <v>0</v>
      </c>
      <c r="I165" s="4" t="str">
        <f>IFERROR(VLOOKUP(G165,Capacity!$A$3:$F$532,6,), "0")</f>
        <v>0</v>
      </c>
      <c r="K165" t="str">
        <f>IFERROR(VLOOKUP(J165,Capacity!$A$3:$D$532,4,), "0")</f>
        <v>0</v>
      </c>
      <c r="L165" s="4" t="str">
        <f>IFERROR(VLOOKUP(J165,Capacity!$A$3:$F$532,6,), "0")</f>
        <v>0</v>
      </c>
      <c r="M165" s="5">
        <f t="shared" si="18"/>
        <v>0</v>
      </c>
      <c r="N165" s="5">
        <f t="shared" si="19"/>
        <v>0</v>
      </c>
      <c r="O165">
        <v>52</v>
      </c>
      <c r="P165">
        <f>IFERROR(VLOOKUP(O165,Capacity!$A$3:$D$532,4,), "0")</f>
        <v>49.639126575375009</v>
      </c>
      <c r="Q165" s="4">
        <f>IFERROR(VLOOKUP(O165,Capacity!$A$3:$F$532,6,), "0")</f>
        <v>0.26500000000000001</v>
      </c>
      <c r="R165" s="5">
        <f t="shared" si="20"/>
        <v>49.639126575375009</v>
      </c>
      <c r="S165" s="5">
        <f t="shared" si="24"/>
        <v>0.26500000000000001</v>
      </c>
      <c r="U165">
        <v>378</v>
      </c>
      <c r="V165">
        <v>0</v>
      </c>
      <c r="W165">
        <v>0</v>
      </c>
      <c r="X165">
        <v>1</v>
      </c>
      <c r="AB165">
        <f t="shared" si="21"/>
        <v>0</v>
      </c>
      <c r="AC165">
        <f t="shared" si="22"/>
        <v>0</v>
      </c>
      <c r="AD165">
        <f t="shared" si="23"/>
        <v>0</v>
      </c>
      <c r="AE165">
        <f t="shared" si="25"/>
        <v>0</v>
      </c>
      <c r="AG165">
        <f t="shared" si="26"/>
        <v>0</v>
      </c>
    </row>
    <row r="166" spans="1:33" x14ac:dyDescent="0.25">
      <c r="A166">
        <v>19</v>
      </c>
      <c r="B166">
        <f>IFERROR(VLOOKUP(A166,Capacity!$A$3:$D$532,4,), "0")</f>
        <v>57.36076848710001</v>
      </c>
      <c r="C166" s="4">
        <f>IFERROR(VLOOKUP(A166,Capacity!$A$3:$F$532,6,), "0")</f>
        <v>0.26500000000000001</v>
      </c>
      <c r="D166">
        <v>361</v>
      </c>
      <c r="E166">
        <f>IFERROR(VLOOKUP(D166,Capacity!$A$3:$D$532,4,), "0")</f>
        <v>3.8484509349999994</v>
      </c>
      <c r="F166" s="4">
        <f>IFERROR(VLOOKUP(D166,Capacity!$A$3:$F$532,6,), "0")</f>
        <v>0.17499999999999999</v>
      </c>
      <c r="G166">
        <v>5</v>
      </c>
      <c r="H166">
        <f>IFERROR(VLOOKUP(G166,Capacity!$A$3:$D$532,4,), "0")</f>
        <v>39.711301260300004</v>
      </c>
      <c r="I166" s="4">
        <f>IFERROR(VLOOKUP(G166,Capacity!$A$3:$F$532,6,), "0")</f>
        <v>0.26500000000000001</v>
      </c>
      <c r="K166" t="str">
        <f>IFERROR(VLOOKUP(J166,Capacity!$A$3:$D$532,4,), "0")</f>
        <v>0</v>
      </c>
      <c r="L166" s="4" t="str">
        <f>IFERROR(VLOOKUP(J166,Capacity!$A$3:$F$532,6,), "0")</f>
        <v>0</v>
      </c>
      <c r="M166" s="5">
        <f t="shared" si="18"/>
        <v>43.559752195300007</v>
      </c>
      <c r="N166" s="5">
        <f t="shared" si="19"/>
        <v>0.44</v>
      </c>
      <c r="O166">
        <v>52</v>
      </c>
      <c r="P166">
        <f>IFERROR(VLOOKUP(O166,Capacity!$A$3:$D$532,4,), "0")</f>
        <v>49.639126575375009</v>
      </c>
      <c r="Q166" s="4">
        <f>IFERROR(VLOOKUP(O166,Capacity!$A$3:$F$532,6,), "0")</f>
        <v>0.26500000000000001</v>
      </c>
      <c r="R166" s="5">
        <f t="shared" si="20"/>
        <v>49.639126575375009</v>
      </c>
      <c r="S166" s="5">
        <f t="shared" si="24"/>
        <v>0.26500000000000001</v>
      </c>
      <c r="U166">
        <v>19</v>
      </c>
      <c r="V166">
        <v>2</v>
      </c>
      <c r="W166">
        <v>2</v>
      </c>
      <c r="X166">
        <v>1</v>
      </c>
      <c r="AB166">
        <f t="shared" si="21"/>
        <v>0.8775285787745738</v>
      </c>
      <c r="AC166">
        <f t="shared" si="22"/>
        <v>0.75939973163184271</v>
      </c>
      <c r="AD166">
        <f t="shared" si="23"/>
        <v>1.6603773584905659</v>
      </c>
      <c r="AE166">
        <f t="shared" si="25"/>
        <v>1.6603773584905659</v>
      </c>
      <c r="AG166">
        <f t="shared" si="26"/>
        <v>0.40710088706036929</v>
      </c>
    </row>
    <row r="167" spans="1:33" x14ac:dyDescent="0.25">
      <c r="A167">
        <v>530</v>
      </c>
      <c r="B167">
        <f>IFERROR(VLOOKUP(A167,Capacity!$A$3:$D$532,4,), "0")</f>
        <v>7.2158455031249993</v>
      </c>
      <c r="C167" s="4">
        <f>IFERROR(VLOOKUP(A167,Capacity!$A$3:$F$532,6,), "0")</f>
        <v>0.17499999999999999</v>
      </c>
      <c r="E167" t="str">
        <f>IFERROR(VLOOKUP(D167,Capacity!$A$3:$D$532,4,), "0")</f>
        <v>0</v>
      </c>
      <c r="F167" s="4" t="str">
        <f>IFERROR(VLOOKUP(D167,Capacity!$A$3:$F$532,6,), "0")</f>
        <v>0</v>
      </c>
      <c r="H167" t="str">
        <f>IFERROR(VLOOKUP(G167,Capacity!$A$3:$D$532,4,), "0")</f>
        <v>0</v>
      </c>
      <c r="I167" s="4" t="str">
        <f>IFERROR(VLOOKUP(G167,Capacity!$A$3:$F$532,6,), "0")</f>
        <v>0</v>
      </c>
      <c r="K167" t="str">
        <f>IFERROR(VLOOKUP(J167,Capacity!$A$3:$D$532,4,), "0")</f>
        <v>0</v>
      </c>
      <c r="L167" s="4" t="str">
        <f>IFERROR(VLOOKUP(J167,Capacity!$A$3:$F$532,6,), "0")</f>
        <v>0</v>
      </c>
      <c r="M167" s="5">
        <f t="shared" si="18"/>
        <v>0</v>
      </c>
      <c r="N167" s="5">
        <f t="shared" si="19"/>
        <v>0</v>
      </c>
      <c r="O167">
        <v>3</v>
      </c>
      <c r="P167">
        <f>IFERROR(VLOOKUP(O167,Capacity!$A$3:$D$532,4,), "0")</f>
        <v>24.504422280000004</v>
      </c>
      <c r="Q167" s="4">
        <f>IFERROR(VLOOKUP(O167,Capacity!$A$3:$F$532,6,), "0")</f>
        <v>0.2</v>
      </c>
      <c r="R167" s="5">
        <f t="shared" si="20"/>
        <v>24.504422280000004</v>
      </c>
      <c r="S167" s="5">
        <f t="shared" si="24"/>
        <v>0.2</v>
      </c>
      <c r="U167">
        <v>530</v>
      </c>
      <c r="V167">
        <v>0</v>
      </c>
      <c r="W167">
        <v>0</v>
      </c>
      <c r="X167">
        <v>1</v>
      </c>
      <c r="AB167">
        <f t="shared" si="21"/>
        <v>0</v>
      </c>
      <c r="AC167">
        <f t="shared" si="22"/>
        <v>0</v>
      </c>
      <c r="AD167">
        <f t="shared" si="23"/>
        <v>0</v>
      </c>
      <c r="AE167">
        <f t="shared" si="25"/>
        <v>0</v>
      </c>
      <c r="AG167">
        <f t="shared" si="26"/>
        <v>0</v>
      </c>
    </row>
    <row r="168" spans="1:33" x14ac:dyDescent="0.25">
      <c r="A168">
        <v>245</v>
      </c>
      <c r="B168">
        <f>IFERROR(VLOOKUP(A168,Capacity!$A$3:$D$532,4,), "0")</f>
        <v>11.545352804999998</v>
      </c>
      <c r="C168" s="4">
        <f>IFERROR(VLOOKUP(A168,Capacity!$A$3:$F$532,6,), "0")</f>
        <v>0.17499999999999999</v>
      </c>
      <c r="E168" t="str">
        <f>IFERROR(VLOOKUP(D168,Capacity!$A$3:$D$532,4,), "0")</f>
        <v>0</v>
      </c>
      <c r="F168" s="4" t="str">
        <f>IFERROR(VLOOKUP(D168,Capacity!$A$3:$F$532,6,), "0")</f>
        <v>0</v>
      </c>
      <c r="H168" t="str">
        <f>IFERROR(VLOOKUP(G168,Capacity!$A$3:$D$532,4,), "0")</f>
        <v>0</v>
      </c>
      <c r="I168" s="4" t="str">
        <f>IFERROR(VLOOKUP(G168,Capacity!$A$3:$F$532,6,), "0")</f>
        <v>0</v>
      </c>
      <c r="K168" t="str">
        <f>IFERROR(VLOOKUP(J168,Capacity!$A$3:$D$532,4,), "0")</f>
        <v>0</v>
      </c>
      <c r="L168" s="4" t="str">
        <f>IFERROR(VLOOKUP(J168,Capacity!$A$3:$F$532,6,), "0")</f>
        <v>0</v>
      </c>
      <c r="M168" s="5">
        <f t="shared" si="18"/>
        <v>0</v>
      </c>
      <c r="N168" s="5">
        <f t="shared" si="19"/>
        <v>0</v>
      </c>
      <c r="O168">
        <v>3</v>
      </c>
      <c r="P168">
        <f>IFERROR(VLOOKUP(O168,Capacity!$A$3:$D$532,4,), "0")</f>
        <v>24.504422280000004</v>
      </c>
      <c r="Q168" s="4">
        <f>IFERROR(VLOOKUP(O168,Capacity!$A$3:$F$532,6,), "0")</f>
        <v>0.2</v>
      </c>
      <c r="R168" s="5">
        <f t="shared" si="20"/>
        <v>24.504422280000004</v>
      </c>
      <c r="S168" s="5">
        <f t="shared" si="24"/>
        <v>0.2</v>
      </c>
      <c r="U168">
        <v>245</v>
      </c>
      <c r="V168">
        <v>1</v>
      </c>
      <c r="W168">
        <v>1</v>
      </c>
      <c r="X168">
        <v>1</v>
      </c>
      <c r="AB168">
        <f t="shared" si="21"/>
        <v>0</v>
      </c>
      <c r="AC168">
        <f t="shared" si="22"/>
        <v>0</v>
      </c>
      <c r="AD168">
        <f t="shared" si="23"/>
        <v>0</v>
      </c>
      <c r="AE168">
        <f t="shared" si="25"/>
        <v>0</v>
      </c>
      <c r="AG168">
        <f t="shared" si="26"/>
        <v>0</v>
      </c>
    </row>
    <row r="169" spans="1:33" x14ac:dyDescent="0.25">
      <c r="A169">
        <v>4</v>
      </c>
      <c r="B169">
        <f>IFERROR(VLOOKUP(A169,Capacity!$A$3:$D$532,4,), "0")</f>
        <v>7.2158455031249993</v>
      </c>
      <c r="C169" s="4">
        <f>IFERROR(VLOOKUP(A169,Capacity!$A$3:$F$532,6,), "0")</f>
        <v>0.17499999999999999</v>
      </c>
      <c r="D169">
        <v>244</v>
      </c>
      <c r="E169">
        <f>IFERROR(VLOOKUP(D169,Capacity!$A$3:$D$532,4,), "0")</f>
        <v>11.545352804999998</v>
      </c>
      <c r="F169" s="4">
        <f>IFERROR(VLOOKUP(D169,Capacity!$A$3:$F$532,6,), "0")</f>
        <v>0.17499999999999999</v>
      </c>
      <c r="H169" t="str">
        <f>IFERROR(VLOOKUP(G169,Capacity!$A$3:$D$532,4,), "0")</f>
        <v>0</v>
      </c>
      <c r="I169" s="4" t="str">
        <f>IFERROR(VLOOKUP(G169,Capacity!$A$3:$F$532,6,), "0")</f>
        <v>0</v>
      </c>
      <c r="K169" t="str">
        <f>IFERROR(VLOOKUP(J169,Capacity!$A$3:$D$532,4,), "0")</f>
        <v>0</v>
      </c>
      <c r="L169" s="4" t="str">
        <f>IFERROR(VLOOKUP(J169,Capacity!$A$3:$F$532,6,), "0")</f>
        <v>0</v>
      </c>
      <c r="M169" s="5">
        <f t="shared" si="18"/>
        <v>11.545352804999998</v>
      </c>
      <c r="N169" s="5">
        <f t="shared" si="19"/>
        <v>0.17499999999999999</v>
      </c>
      <c r="O169">
        <v>3</v>
      </c>
      <c r="P169">
        <f>IFERROR(VLOOKUP(O169,Capacity!$A$3:$D$532,4,), "0")</f>
        <v>24.504422280000004</v>
      </c>
      <c r="Q169" s="4">
        <f>IFERROR(VLOOKUP(O169,Capacity!$A$3:$F$532,6,), "0")</f>
        <v>0.2</v>
      </c>
      <c r="R169" s="5">
        <f t="shared" si="20"/>
        <v>24.504422280000004</v>
      </c>
      <c r="S169" s="5">
        <f t="shared" si="24"/>
        <v>0.2</v>
      </c>
      <c r="U169">
        <v>4</v>
      </c>
      <c r="V169">
        <v>1</v>
      </c>
      <c r="W169">
        <v>1</v>
      </c>
      <c r="X169">
        <v>1</v>
      </c>
      <c r="AB169">
        <f t="shared" si="21"/>
        <v>0.47115384615384603</v>
      </c>
      <c r="AC169">
        <f t="shared" si="22"/>
        <v>1.5999999999999999</v>
      </c>
      <c r="AD169">
        <f t="shared" si="23"/>
        <v>0.87499999999999989</v>
      </c>
      <c r="AE169">
        <f t="shared" si="25"/>
        <v>1</v>
      </c>
      <c r="AG169">
        <f t="shared" si="26"/>
        <v>0.36397400185701012</v>
      </c>
    </row>
    <row r="170" spans="1:33" x14ac:dyDescent="0.25">
      <c r="A170">
        <v>362</v>
      </c>
      <c r="B170">
        <f>IFERROR(VLOOKUP(A170,Capacity!$A$3:$D$532,4,), "0")</f>
        <v>7.6969018699999987</v>
      </c>
      <c r="C170" s="4">
        <f>IFERROR(VLOOKUP(A170,Capacity!$A$3:$F$532,6,), "0")</f>
        <v>0.17499999999999999</v>
      </c>
      <c r="E170" t="str">
        <f>IFERROR(VLOOKUP(D170,Capacity!$A$3:$D$532,4,), "0")</f>
        <v>0</v>
      </c>
      <c r="F170" s="4" t="str">
        <f>IFERROR(VLOOKUP(D170,Capacity!$A$3:$F$532,6,), "0")</f>
        <v>0</v>
      </c>
      <c r="H170" t="str">
        <f>IFERROR(VLOOKUP(G170,Capacity!$A$3:$D$532,4,), "0")</f>
        <v>0</v>
      </c>
      <c r="I170" s="4" t="str">
        <f>IFERROR(VLOOKUP(G170,Capacity!$A$3:$F$532,6,), "0")</f>
        <v>0</v>
      </c>
      <c r="K170" t="str">
        <f>IFERROR(VLOOKUP(J170,Capacity!$A$3:$D$532,4,), "0")</f>
        <v>0</v>
      </c>
      <c r="L170" s="4" t="str">
        <f>IFERROR(VLOOKUP(J170,Capacity!$A$3:$F$532,6,), "0")</f>
        <v>0</v>
      </c>
      <c r="M170" s="5">
        <f t="shared" si="18"/>
        <v>0</v>
      </c>
      <c r="N170" s="5">
        <f t="shared" si="19"/>
        <v>0</v>
      </c>
      <c r="O170">
        <v>20</v>
      </c>
      <c r="P170">
        <f>IFERROR(VLOOKUP(O170,Capacity!$A$3:$D$532,4,), "0")</f>
        <v>3.8484509349999994</v>
      </c>
      <c r="Q170" s="4">
        <f>IFERROR(VLOOKUP(O170,Capacity!$A$3:$F$532,6,), "0")</f>
        <v>0.17499999999999999</v>
      </c>
      <c r="R170" s="5">
        <f t="shared" si="20"/>
        <v>3.8484509349999994</v>
      </c>
      <c r="S170" s="5">
        <f t="shared" si="24"/>
        <v>0.17499999999999999</v>
      </c>
      <c r="U170">
        <v>362</v>
      </c>
      <c r="V170">
        <v>0</v>
      </c>
      <c r="W170">
        <v>0</v>
      </c>
      <c r="X170">
        <v>1</v>
      </c>
      <c r="AB170">
        <f t="shared" si="21"/>
        <v>0</v>
      </c>
      <c r="AC170">
        <f t="shared" si="22"/>
        <v>0</v>
      </c>
      <c r="AD170">
        <f t="shared" si="23"/>
        <v>0</v>
      </c>
      <c r="AE170">
        <f t="shared" si="25"/>
        <v>0</v>
      </c>
      <c r="AG170">
        <f t="shared" si="26"/>
        <v>0</v>
      </c>
    </row>
    <row r="171" spans="1:33" x14ac:dyDescent="0.25">
      <c r="A171">
        <v>344</v>
      </c>
      <c r="B171">
        <f>IFERROR(VLOOKUP(A171,Capacity!$A$3:$D$532,4,), "0")</f>
        <v>441.78645937499999</v>
      </c>
      <c r="C171" s="4">
        <f>IFERROR(VLOOKUP(A171,Capacity!$A$3:$F$532,6,), "0")</f>
        <v>0.75</v>
      </c>
      <c r="D171">
        <v>319</v>
      </c>
      <c r="E171">
        <f>IFERROR(VLOOKUP(D171,Capacity!$A$3:$D$532,4,), "0")</f>
        <v>132.53593781250001</v>
      </c>
      <c r="F171" s="4">
        <f>IFERROR(VLOOKUP(D171,Capacity!$A$3:$F$532,6,), "0")</f>
        <v>0.75</v>
      </c>
      <c r="G171">
        <v>252</v>
      </c>
      <c r="H171">
        <f>IFERROR(VLOOKUP(G171,Capacity!$A$3:$D$532,4,), "0")</f>
        <v>15.079644480000002</v>
      </c>
      <c r="I171" s="4">
        <f>IFERROR(VLOOKUP(G171,Capacity!$A$3:$F$532,6,), "0")</f>
        <v>0.2</v>
      </c>
      <c r="K171" t="str">
        <f>IFERROR(VLOOKUP(J171,Capacity!$A$3:$D$532,4,), "0")</f>
        <v>0</v>
      </c>
      <c r="L171" s="4" t="str">
        <f>IFERROR(VLOOKUP(J171,Capacity!$A$3:$F$532,6,), "0")</f>
        <v>0</v>
      </c>
      <c r="M171" s="5">
        <f t="shared" si="18"/>
        <v>147.61558229250002</v>
      </c>
      <c r="N171" s="5">
        <f t="shared" si="19"/>
        <v>0.95</v>
      </c>
      <c r="O171">
        <v>27</v>
      </c>
      <c r="P171">
        <f>IFERROR(VLOOKUP(O171,Capacity!$A$3:$D$532,4,), "0")</f>
        <v>141.371667</v>
      </c>
      <c r="Q171" s="4">
        <f>IFERROR(VLOOKUP(O171,Capacity!$A$3:$F$532,6,), "0")</f>
        <v>0.75</v>
      </c>
      <c r="R171" s="5">
        <f t="shared" si="20"/>
        <v>141.371667</v>
      </c>
      <c r="S171" s="5">
        <f t="shared" si="24"/>
        <v>0.75</v>
      </c>
      <c r="U171">
        <v>344</v>
      </c>
      <c r="V171">
        <v>2</v>
      </c>
      <c r="W171">
        <v>2</v>
      </c>
      <c r="X171">
        <v>1</v>
      </c>
      <c r="AB171">
        <f t="shared" si="21"/>
        <v>1.0441666666666669</v>
      </c>
      <c r="AC171">
        <f t="shared" si="22"/>
        <v>0.33413333333333339</v>
      </c>
      <c r="AD171">
        <f t="shared" si="23"/>
        <v>1.2666666666666666</v>
      </c>
      <c r="AE171">
        <f t="shared" si="25"/>
        <v>1.2666666666666666</v>
      </c>
      <c r="AG171">
        <f t="shared" si="26"/>
        <v>0.25313131313131321</v>
      </c>
    </row>
    <row r="172" spans="1:33" x14ac:dyDescent="0.25">
      <c r="A172">
        <v>28</v>
      </c>
      <c r="B172">
        <f>IFERROR(VLOOKUP(A172,Capacity!$A$3:$D$532,4,), "0")</f>
        <v>90.477866879999993</v>
      </c>
      <c r="C172" s="4">
        <f>IFERROR(VLOOKUP(A172,Capacity!$A$3:$F$532,6,), "0")</f>
        <v>0.6</v>
      </c>
      <c r="D172">
        <v>343</v>
      </c>
      <c r="E172">
        <f>IFERROR(VLOOKUP(D172,Capacity!$A$3:$D$532,4,), "0")</f>
        <v>45.238933439999997</v>
      </c>
      <c r="F172" s="4">
        <f>IFERROR(VLOOKUP(D172,Capacity!$A$3:$F$532,6,), "0")</f>
        <v>0.6</v>
      </c>
      <c r="H172" t="str">
        <f>IFERROR(VLOOKUP(G172,Capacity!$A$3:$D$532,4,), "0")</f>
        <v>0</v>
      </c>
      <c r="I172" s="4" t="str">
        <f>IFERROR(VLOOKUP(G172,Capacity!$A$3:$F$532,6,), "0")</f>
        <v>0</v>
      </c>
      <c r="K172" t="str">
        <f>IFERROR(VLOOKUP(J172,Capacity!$A$3:$D$532,4,), "0")</f>
        <v>0</v>
      </c>
      <c r="L172" s="4" t="str">
        <f>IFERROR(VLOOKUP(J172,Capacity!$A$3:$F$532,6,), "0")</f>
        <v>0</v>
      </c>
      <c r="M172" s="5">
        <f t="shared" si="18"/>
        <v>45.238933439999997</v>
      </c>
      <c r="N172" s="5">
        <f t="shared" si="19"/>
        <v>0.6</v>
      </c>
      <c r="O172">
        <v>27</v>
      </c>
      <c r="P172">
        <f>IFERROR(VLOOKUP(O172,Capacity!$A$3:$D$532,4,), "0")</f>
        <v>141.371667</v>
      </c>
      <c r="Q172" s="4">
        <f>IFERROR(VLOOKUP(O172,Capacity!$A$3:$F$532,6,), "0")</f>
        <v>0.75</v>
      </c>
      <c r="R172" s="5">
        <f t="shared" si="20"/>
        <v>141.371667</v>
      </c>
      <c r="S172" s="5">
        <f t="shared" si="24"/>
        <v>0.75</v>
      </c>
      <c r="U172">
        <v>28</v>
      </c>
      <c r="V172">
        <v>1</v>
      </c>
      <c r="W172">
        <v>1</v>
      </c>
      <c r="X172">
        <v>1</v>
      </c>
      <c r="AB172">
        <f t="shared" si="21"/>
        <v>0.31999999999999995</v>
      </c>
      <c r="AC172">
        <f t="shared" si="22"/>
        <v>0.5</v>
      </c>
      <c r="AD172">
        <f t="shared" si="23"/>
        <v>0.79999999999999993</v>
      </c>
      <c r="AE172">
        <f t="shared" si="25"/>
        <v>1</v>
      </c>
      <c r="AG172">
        <f t="shared" si="26"/>
        <v>0.19512195121951217</v>
      </c>
    </row>
    <row r="173" spans="1:33" x14ac:dyDescent="0.25">
      <c r="A173">
        <v>345</v>
      </c>
      <c r="B173">
        <f>IFERROR(VLOOKUP(A173,Capacity!$A$3:$D$532,4,), "0")</f>
        <v>37.699111200000011</v>
      </c>
      <c r="C173" s="4">
        <f>IFERROR(VLOOKUP(A173,Capacity!$A$3:$F$532,6,), "0")</f>
        <v>0.4</v>
      </c>
      <c r="D173">
        <v>528</v>
      </c>
      <c r="E173">
        <f>IFERROR(VLOOKUP(D173,Capacity!$A$3:$D$532,4,), "0")</f>
        <v>7.2158455031249993</v>
      </c>
      <c r="F173" s="4">
        <f>IFERROR(VLOOKUP(D173,Capacity!$A$3:$F$532,6,), "0")</f>
        <v>0.17499999999999999</v>
      </c>
      <c r="G173">
        <v>251</v>
      </c>
      <c r="H173">
        <f>IFERROR(VLOOKUP(G173,Capacity!$A$3:$D$532,4,), "0")</f>
        <v>15.079644480000002</v>
      </c>
      <c r="I173" s="4">
        <f>IFERROR(VLOOKUP(G173,Capacity!$A$3:$F$532,6,), "0")</f>
        <v>0.2</v>
      </c>
      <c r="K173" t="str">
        <f>IFERROR(VLOOKUP(J173,Capacity!$A$3:$D$532,4,), "0")</f>
        <v>0</v>
      </c>
      <c r="L173" s="4" t="str">
        <f>IFERROR(VLOOKUP(J173,Capacity!$A$3:$F$532,6,), "0")</f>
        <v>0</v>
      </c>
      <c r="M173" s="5">
        <f t="shared" si="18"/>
        <v>22.295489983125002</v>
      </c>
      <c r="N173" s="5">
        <f t="shared" si="19"/>
        <v>0.375</v>
      </c>
      <c r="O173">
        <v>346</v>
      </c>
      <c r="P173">
        <f>IFERROR(VLOOKUP(O173,Capacity!$A$3:$D$532,4,), "0")</f>
        <v>115.61060768000002</v>
      </c>
      <c r="Q173" s="4">
        <f>IFERROR(VLOOKUP(O173,Capacity!$A$3:$F$532,6,), "0")</f>
        <v>0.4</v>
      </c>
      <c r="R173" s="5">
        <f t="shared" si="20"/>
        <v>115.61060768000002</v>
      </c>
      <c r="S173" s="5">
        <f t="shared" si="24"/>
        <v>0.4</v>
      </c>
      <c r="U173">
        <v>345</v>
      </c>
      <c r="V173">
        <v>2</v>
      </c>
      <c r="W173">
        <v>2</v>
      </c>
      <c r="X173">
        <v>1</v>
      </c>
      <c r="AB173">
        <f t="shared" si="21"/>
        <v>0.19284986413043478</v>
      </c>
      <c r="AC173">
        <f t="shared" si="22"/>
        <v>0.59140624999999991</v>
      </c>
      <c r="AD173">
        <f t="shared" si="23"/>
        <v>0.9375</v>
      </c>
      <c r="AE173">
        <f t="shared" si="25"/>
        <v>0.9375</v>
      </c>
      <c r="AG173">
        <f t="shared" si="26"/>
        <v>0.14542776639344263</v>
      </c>
    </row>
    <row r="174" spans="1:33" x14ac:dyDescent="0.25">
      <c r="A174">
        <v>250</v>
      </c>
      <c r="B174">
        <f>IFERROR(VLOOKUP(A174,Capacity!$A$3:$D$532,4,), "0")</f>
        <v>11.545352804999998</v>
      </c>
      <c r="C174" s="4">
        <f>IFERROR(VLOOKUP(A174,Capacity!$A$3:$F$532,6,), "0")</f>
        <v>0.17499999999999999</v>
      </c>
      <c r="E174" t="str">
        <f>IFERROR(VLOOKUP(D174,Capacity!$A$3:$D$532,4,), "0")</f>
        <v>0</v>
      </c>
      <c r="F174" s="4" t="str">
        <f>IFERROR(VLOOKUP(D174,Capacity!$A$3:$F$532,6,), "0")</f>
        <v>0</v>
      </c>
      <c r="H174" t="str">
        <f>IFERROR(VLOOKUP(G174,Capacity!$A$3:$D$532,4,), "0")</f>
        <v>0</v>
      </c>
      <c r="I174" s="4" t="str">
        <f>IFERROR(VLOOKUP(G174,Capacity!$A$3:$F$532,6,), "0")</f>
        <v>0</v>
      </c>
      <c r="K174" t="str">
        <f>IFERROR(VLOOKUP(J174,Capacity!$A$3:$D$532,4,), "0")</f>
        <v>0</v>
      </c>
      <c r="L174" s="4" t="str">
        <f>IFERROR(VLOOKUP(J174,Capacity!$A$3:$F$532,6,), "0")</f>
        <v>0</v>
      </c>
      <c r="M174" s="5">
        <f t="shared" si="18"/>
        <v>0</v>
      </c>
      <c r="N174" s="5">
        <f t="shared" si="19"/>
        <v>0</v>
      </c>
      <c r="O174">
        <v>346</v>
      </c>
      <c r="P174">
        <f>IFERROR(VLOOKUP(O174,Capacity!$A$3:$D$532,4,), "0")</f>
        <v>115.61060768000002</v>
      </c>
      <c r="Q174" s="4">
        <f>IFERROR(VLOOKUP(O174,Capacity!$A$3:$F$532,6,), "0")</f>
        <v>0.4</v>
      </c>
      <c r="R174" s="5">
        <f t="shared" si="20"/>
        <v>115.61060768000002</v>
      </c>
      <c r="S174" s="5">
        <f t="shared" si="24"/>
        <v>0.4</v>
      </c>
      <c r="U174">
        <v>250</v>
      </c>
      <c r="V174">
        <v>1</v>
      </c>
      <c r="W174">
        <v>1</v>
      </c>
      <c r="X174">
        <v>1</v>
      </c>
      <c r="AB174">
        <f t="shared" si="21"/>
        <v>0</v>
      </c>
      <c r="AC174">
        <f t="shared" si="22"/>
        <v>0</v>
      </c>
      <c r="AD174">
        <f t="shared" si="23"/>
        <v>0</v>
      </c>
      <c r="AE174">
        <f t="shared" si="25"/>
        <v>0</v>
      </c>
      <c r="AG174">
        <f t="shared" si="26"/>
        <v>0</v>
      </c>
    </row>
    <row r="175" spans="1:33" x14ac:dyDescent="0.25">
      <c r="A175">
        <v>412</v>
      </c>
      <c r="B175">
        <f>IFERROR(VLOOKUP(A175,Capacity!$A$3:$D$532,4,), "0")</f>
        <v>21.647536509374998</v>
      </c>
      <c r="C175" s="4">
        <f>IFERROR(VLOOKUP(A175,Capacity!$A$3:$F$532,6,), "0")</f>
        <v>0.17499999999999999</v>
      </c>
      <c r="E175" t="str">
        <f>IFERROR(VLOOKUP(D175,Capacity!$A$3:$D$532,4,), "0")</f>
        <v>0</v>
      </c>
      <c r="F175" s="4" t="str">
        <f>IFERROR(VLOOKUP(D175,Capacity!$A$3:$F$532,6,), "0")</f>
        <v>0</v>
      </c>
      <c r="H175" t="str">
        <f>IFERROR(VLOOKUP(G175,Capacity!$A$3:$D$532,4,), "0")</f>
        <v>0</v>
      </c>
      <c r="I175" s="4" t="str">
        <f>IFERROR(VLOOKUP(G175,Capacity!$A$3:$F$532,6,), "0")</f>
        <v>0</v>
      </c>
      <c r="K175" t="str">
        <f>IFERROR(VLOOKUP(J175,Capacity!$A$3:$D$532,4,), "0")</f>
        <v>0</v>
      </c>
      <c r="L175" s="4" t="str">
        <f>IFERROR(VLOOKUP(J175,Capacity!$A$3:$F$532,6,), "0")</f>
        <v>0</v>
      </c>
      <c r="M175" s="5">
        <f t="shared" si="18"/>
        <v>0</v>
      </c>
      <c r="N175" s="5">
        <f t="shared" si="19"/>
        <v>0</v>
      </c>
      <c r="O175">
        <v>43</v>
      </c>
      <c r="P175">
        <f>IFERROR(VLOOKUP(O175,Capacity!$A$3:$D$532,4,), "0")</f>
        <v>40.212385280000007</v>
      </c>
      <c r="Q175" s="4">
        <f>IFERROR(VLOOKUP(O175,Capacity!$A$3:$F$532,6,), "0")</f>
        <v>0.4</v>
      </c>
      <c r="R175" s="5">
        <f t="shared" si="20"/>
        <v>40.212385280000007</v>
      </c>
      <c r="S175" s="5">
        <f t="shared" si="24"/>
        <v>0.4</v>
      </c>
      <c r="U175">
        <v>412</v>
      </c>
      <c r="V175">
        <v>0</v>
      </c>
      <c r="W175">
        <v>0</v>
      </c>
      <c r="X175">
        <v>1</v>
      </c>
      <c r="AB175">
        <f t="shared" si="21"/>
        <v>0</v>
      </c>
      <c r="AC175">
        <f t="shared" si="22"/>
        <v>0</v>
      </c>
      <c r="AD175">
        <f t="shared" si="23"/>
        <v>0</v>
      </c>
      <c r="AE175">
        <f t="shared" si="25"/>
        <v>0</v>
      </c>
      <c r="AG175">
        <f t="shared" si="26"/>
        <v>0</v>
      </c>
    </row>
    <row r="176" spans="1:33" x14ac:dyDescent="0.25">
      <c r="A176">
        <v>371</v>
      </c>
      <c r="B176">
        <f>IFERROR(VLOOKUP(A176,Capacity!$A$3:$D$532,4,), "0")</f>
        <v>23.090705609999997</v>
      </c>
      <c r="C176" s="4">
        <f>IFERROR(VLOOKUP(A176,Capacity!$A$3:$F$532,6,), "0")</f>
        <v>0.17499999999999999</v>
      </c>
      <c r="E176" t="str">
        <f>IFERROR(VLOOKUP(D176,Capacity!$A$3:$D$532,4,), "0")</f>
        <v>0</v>
      </c>
      <c r="F176" s="4" t="str">
        <f>IFERROR(VLOOKUP(D176,Capacity!$A$3:$F$532,6,), "0")</f>
        <v>0</v>
      </c>
      <c r="H176" t="str">
        <f>IFERROR(VLOOKUP(G176,Capacity!$A$3:$D$532,4,), "0")</f>
        <v>0</v>
      </c>
      <c r="I176" s="4" t="str">
        <f>IFERROR(VLOOKUP(G176,Capacity!$A$3:$F$532,6,), "0")</f>
        <v>0</v>
      </c>
      <c r="K176" t="str">
        <f>IFERROR(VLOOKUP(J176,Capacity!$A$3:$D$532,4,), "0")</f>
        <v>0</v>
      </c>
      <c r="L176" s="4" t="str">
        <f>IFERROR(VLOOKUP(J176,Capacity!$A$3:$F$532,6,), "0")</f>
        <v>0</v>
      </c>
      <c r="M176" s="5">
        <f t="shared" si="18"/>
        <v>0</v>
      </c>
      <c r="N176" s="5">
        <f t="shared" si="19"/>
        <v>0</v>
      </c>
      <c r="O176">
        <v>43</v>
      </c>
      <c r="P176">
        <f>IFERROR(VLOOKUP(O176,Capacity!$A$3:$D$532,4,), "0")</f>
        <v>40.212385280000007</v>
      </c>
      <c r="Q176" s="4">
        <f>IFERROR(VLOOKUP(O176,Capacity!$A$3:$F$532,6,), "0")</f>
        <v>0.4</v>
      </c>
      <c r="R176" s="5">
        <f t="shared" si="20"/>
        <v>40.212385280000007</v>
      </c>
      <c r="S176" s="5">
        <f t="shared" si="24"/>
        <v>0.4</v>
      </c>
      <c r="U176">
        <v>371</v>
      </c>
      <c r="V176">
        <v>0</v>
      </c>
      <c r="W176">
        <v>0</v>
      </c>
      <c r="X176">
        <v>1</v>
      </c>
      <c r="AB176">
        <f t="shared" si="21"/>
        <v>0</v>
      </c>
      <c r="AC176">
        <f t="shared" si="22"/>
        <v>0</v>
      </c>
      <c r="AD176">
        <f t="shared" si="23"/>
        <v>0</v>
      </c>
      <c r="AE176">
        <f t="shared" si="25"/>
        <v>0</v>
      </c>
      <c r="AG176">
        <f t="shared" si="26"/>
        <v>0</v>
      </c>
    </row>
    <row r="177" spans="1:33" x14ac:dyDescent="0.25">
      <c r="A177">
        <v>42</v>
      </c>
      <c r="B177">
        <f>IFERROR(VLOOKUP(A177,Capacity!$A$3:$D$532,4,), "0")</f>
        <v>40.212385280000007</v>
      </c>
      <c r="C177" s="4">
        <f>IFERROR(VLOOKUP(A177,Capacity!$A$3:$F$532,6,), "0")</f>
        <v>0.4</v>
      </c>
      <c r="D177">
        <v>527</v>
      </c>
      <c r="E177">
        <f>IFERROR(VLOOKUP(D177,Capacity!$A$3:$D$532,4,), "0")</f>
        <v>23.090705609999997</v>
      </c>
      <c r="F177" s="4">
        <f>IFERROR(VLOOKUP(D177,Capacity!$A$3:$F$532,6,), "0")</f>
        <v>0.17499999999999999</v>
      </c>
      <c r="G177">
        <v>409</v>
      </c>
      <c r="H177">
        <f>IFERROR(VLOOKUP(G177,Capacity!$A$3:$D$532,4,), "0")</f>
        <v>21.647536509374998</v>
      </c>
      <c r="I177" s="4">
        <f>IFERROR(VLOOKUP(G177,Capacity!$A$3:$F$532,6,), "0")</f>
        <v>0.17499999999999999</v>
      </c>
      <c r="J177">
        <v>41</v>
      </c>
      <c r="K177">
        <f>IFERROR(VLOOKUP(J177,Capacity!$A$3:$D$532,4,), "0")</f>
        <v>40.212385280000007</v>
      </c>
      <c r="L177" s="4">
        <f>IFERROR(VLOOKUP(J177,Capacity!$A$3:$F$532,6,), "0")</f>
        <v>0.4</v>
      </c>
      <c r="M177" s="5">
        <f t="shared" si="18"/>
        <v>84.950627399375009</v>
      </c>
      <c r="N177" s="5">
        <f t="shared" si="19"/>
        <v>0.75</v>
      </c>
      <c r="O177">
        <v>43</v>
      </c>
      <c r="P177">
        <f>IFERROR(VLOOKUP(O177,Capacity!$A$3:$D$532,4,), "0")</f>
        <v>40.212385280000007</v>
      </c>
      <c r="Q177" s="4">
        <f>IFERROR(VLOOKUP(O177,Capacity!$A$3:$F$532,6,), "0")</f>
        <v>0.4</v>
      </c>
      <c r="R177" s="5">
        <f t="shared" si="20"/>
        <v>40.212385280000007</v>
      </c>
      <c r="S177" s="5">
        <f t="shared" si="24"/>
        <v>0.4</v>
      </c>
      <c r="U177">
        <v>42</v>
      </c>
      <c r="V177">
        <v>3</v>
      </c>
      <c r="W177">
        <v>3</v>
      </c>
      <c r="X177">
        <v>1</v>
      </c>
      <c r="AB177">
        <f t="shared" si="21"/>
        <v>2.112548828125</v>
      </c>
      <c r="AC177">
        <f t="shared" si="22"/>
        <v>2.112548828125</v>
      </c>
      <c r="AD177">
        <f t="shared" si="23"/>
        <v>1.875</v>
      </c>
      <c r="AE177">
        <f t="shared" si="25"/>
        <v>1.875</v>
      </c>
      <c r="AG177">
        <f t="shared" si="26"/>
        <v>1.0562744140625</v>
      </c>
    </row>
    <row r="178" spans="1:33" x14ac:dyDescent="0.25">
      <c r="A178">
        <v>81</v>
      </c>
      <c r="B178">
        <f>IFERROR(VLOOKUP(A178,Capacity!$A$3:$D$532,4,), "0")</f>
        <v>90.477866879999993</v>
      </c>
      <c r="C178" s="4">
        <f>IFERROR(VLOOKUP(A178,Capacity!$A$3:$F$532,6,), "0")</f>
        <v>0.6</v>
      </c>
      <c r="D178">
        <v>80</v>
      </c>
      <c r="E178">
        <f>IFERROR(VLOOKUP(D178,Capacity!$A$3:$D$532,4,), "0")</f>
        <v>90.477866879999993</v>
      </c>
      <c r="F178" s="4">
        <f>IFERROR(VLOOKUP(D178,Capacity!$A$3:$F$532,6,), "0")</f>
        <v>0.6</v>
      </c>
      <c r="H178" t="str">
        <f>IFERROR(VLOOKUP(G178,Capacity!$A$3:$D$532,4,), "0")</f>
        <v>0</v>
      </c>
      <c r="I178" s="4" t="str">
        <f>IFERROR(VLOOKUP(G178,Capacity!$A$3:$F$532,6,), "0")</f>
        <v>0</v>
      </c>
      <c r="K178" t="str">
        <f>IFERROR(VLOOKUP(J178,Capacity!$A$3:$D$532,4,), "0")</f>
        <v>0</v>
      </c>
      <c r="L178" s="4" t="str">
        <f>IFERROR(VLOOKUP(J178,Capacity!$A$3:$F$532,6,), "0")</f>
        <v>0</v>
      </c>
      <c r="M178" s="5">
        <f t="shared" si="18"/>
        <v>90.477866879999993</v>
      </c>
      <c r="N178" s="5">
        <f t="shared" si="19"/>
        <v>0.6</v>
      </c>
      <c r="O178">
        <v>82</v>
      </c>
      <c r="P178">
        <f>IFERROR(VLOOKUP(O178,Capacity!$A$3:$D$532,4,), "0")</f>
        <v>90.477866879999993</v>
      </c>
      <c r="Q178" s="4">
        <f>IFERROR(VLOOKUP(O178,Capacity!$A$3:$F$532,6,), "0")</f>
        <v>0.6</v>
      </c>
      <c r="R178" s="5">
        <f t="shared" si="20"/>
        <v>90.477866879999993</v>
      </c>
      <c r="S178" s="5">
        <f t="shared" si="24"/>
        <v>0.6</v>
      </c>
      <c r="U178">
        <v>81</v>
      </c>
      <c r="V178">
        <v>1</v>
      </c>
      <c r="W178">
        <v>1</v>
      </c>
      <c r="X178">
        <v>1</v>
      </c>
      <c r="AB178">
        <f t="shared" si="21"/>
        <v>1</v>
      </c>
      <c r="AC178">
        <f t="shared" si="22"/>
        <v>1</v>
      </c>
      <c r="AD178">
        <f t="shared" si="23"/>
        <v>1</v>
      </c>
      <c r="AE178">
        <f t="shared" si="25"/>
        <v>1</v>
      </c>
      <c r="AG178">
        <f t="shared" si="26"/>
        <v>0.5</v>
      </c>
    </row>
    <row r="179" spans="1:33" x14ac:dyDescent="0.25">
      <c r="A179">
        <v>408</v>
      </c>
      <c r="B179">
        <f>IFERROR(VLOOKUP(A179,Capacity!$A$3:$D$532,4,), "0")</f>
        <v>21.166480142499999</v>
      </c>
      <c r="C179" s="4">
        <f>IFERROR(VLOOKUP(A179,Capacity!$A$3:$F$532,6,), "0")</f>
        <v>0.17499999999999999</v>
      </c>
      <c r="E179" t="str">
        <f>IFERROR(VLOOKUP(D179,Capacity!$A$3:$D$532,4,), "0")</f>
        <v>0</v>
      </c>
      <c r="F179" s="4" t="str">
        <f>IFERROR(VLOOKUP(D179,Capacity!$A$3:$F$532,6,), "0")</f>
        <v>0</v>
      </c>
      <c r="H179" t="str">
        <f>IFERROR(VLOOKUP(G179,Capacity!$A$3:$D$532,4,), "0")</f>
        <v>0</v>
      </c>
      <c r="I179" s="4" t="str">
        <f>IFERROR(VLOOKUP(G179,Capacity!$A$3:$F$532,6,), "0")</f>
        <v>0</v>
      </c>
      <c r="K179" t="str">
        <f>IFERROR(VLOOKUP(J179,Capacity!$A$3:$D$532,4,), "0")</f>
        <v>0</v>
      </c>
      <c r="L179" s="4" t="str">
        <f>IFERROR(VLOOKUP(J179,Capacity!$A$3:$F$532,6,), "0")</f>
        <v>0</v>
      </c>
      <c r="M179" s="5">
        <f t="shared" si="18"/>
        <v>0</v>
      </c>
      <c r="N179" s="5">
        <f t="shared" si="19"/>
        <v>0</v>
      </c>
      <c r="O179">
        <v>184</v>
      </c>
      <c r="P179">
        <f>IFERROR(VLOOKUP(O179,Capacity!$A$3:$D$532,4,), "0")</f>
        <v>22.619466719999998</v>
      </c>
      <c r="Q179" s="4">
        <f>IFERROR(VLOOKUP(O179,Capacity!$A$3:$F$532,6,), "0")</f>
        <v>0.3</v>
      </c>
      <c r="R179" s="5">
        <f t="shared" si="20"/>
        <v>22.619466719999998</v>
      </c>
      <c r="S179" s="5">
        <f t="shared" si="24"/>
        <v>0.3</v>
      </c>
      <c r="U179">
        <v>408</v>
      </c>
      <c r="V179">
        <v>0</v>
      </c>
      <c r="W179">
        <v>0</v>
      </c>
      <c r="X179">
        <v>1</v>
      </c>
      <c r="AB179">
        <f t="shared" si="21"/>
        <v>0</v>
      </c>
      <c r="AC179">
        <f t="shared" si="22"/>
        <v>0</v>
      </c>
      <c r="AD179">
        <f t="shared" si="23"/>
        <v>0</v>
      </c>
      <c r="AE179">
        <f t="shared" si="25"/>
        <v>0</v>
      </c>
      <c r="AG179">
        <f t="shared" si="26"/>
        <v>0</v>
      </c>
    </row>
    <row r="180" spans="1:33" x14ac:dyDescent="0.25">
      <c r="A180">
        <v>189</v>
      </c>
      <c r="B180">
        <f>IFERROR(VLOOKUP(A180,Capacity!$A$3:$D$532,4,), "0")</f>
        <v>22.619466719999998</v>
      </c>
      <c r="C180" s="4">
        <f>IFERROR(VLOOKUP(A180,Capacity!$A$3:$F$532,6,), "0")</f>
        <v>0.3</v>
      </c>
      <c r="D180">
        <v>406</v>
      </c>
      <c r="E180">
        <f>IFERROR(VLOOKUP(D180,Capacity!$A$3:$D$532,4,), "0")</f>
        <v>21.166480142499999</v>
      </c>
      <c r="F180" s="4">
        <f>IFERROR(VLOOKUP(D180,Capacity!$A$3:$F$532,6,), "0")</f>
        <v>0.17499999999999999</v>
      </c>
      <c r="G180">
        <v>191</v>
      </c>
      <c r="H180">
        <f>IFERROR(VLOOKUP(G180,Capacity!$A$3:$D$532,4,), "0")</f>
        <v>22.619466719999998</v>
      </c>
      <c r="I180" s="4">
        <f>IFERROR(VLOOKUP(G180,Capacity!$A$3:$F$532,6,), "0")</f>
        <v>0.3</v>
      </c>
      <c r="K180" t="str">
        <f>IFERROR(VLOOKUP(J180,Capacity!$A$3:$D$532,4,), "0")</f>
        <v>0</v>
      </c>
      <c r="L180" s="4" t="str">
        <f>IFERROR(VLOOKUP(J180,Capacity!$A$3:$F$532,6,), "0")</f>
        <v>0</v>
      </c>
      <c r="M180" s="5">
        <f t="shared" si="18"/>
        <v>43.785946862499998</v>
      </c>
      <c r="N180" s="5">
        <f t="shared" si="19"/>
        <v>0.47499999999999998</v>
      </c>
      <c r="O180">
        <v>184</v>
      </c>
      <c r="P180">
        <f>IFERROR(VLOOKUP(O180,Capacity!$A$3:$D$532,4,), "0")</f>
        <v>22.619466719999998</v>
      </c>
      <c r="Q180" s="4">
        <f>IFERROR(VLOOKUP(O180,Capacity!$A$3:$F$532,6,), "0")</f>
        <v>0.3</v>
      </c>
      <c r="R180" s="5">
        <f t="shared" si="20"/>
        <v>22.619466719999998</v>
      </c>
      <c r="S180" s="5">
        <f t="shared" si="24"/>
        <v>0.3</v>
      </c>
      <c r="U180">
        <v>189</v>
      </c>
      <c r="V180">
        <v>3</v>
      </c>
      <c r="W180">
        <v>3</v>
      </c>
      <c r="X180">
        <v>1</v>
      </c>
      <c r="AB180">
        <f t="shared" si="21"/>
        <v>1.9357638888888888</v>
      </c>
      <c r="AC180">
        <f t="shared" si="22"/>
        <v>1.9357638888888888</v>
      </c>
      <c r="AD180">
        <f t="shared" si="23"/>
        <v>1.5833333333333333</v>
      </c>
      <c r="AE180">
        <f t="shared" si="25"/>
        <v>1.5833333333333333</v>
      </c>
      <c r="AG180">
        <f t="shared" si="26"/>
        <v>0.96788194444444442</v>
      </c>
    </row>
    <row r="181" spans="1:33" x14ac:dyDescent="0.25">
      <c r="A181">
        <v>459</v>
      </c>
      <c r="B181">
        <f>IFERROR(VLOOKUP(A181,Capacity!$A$3:$D$532,4,), "0")</f>
        <v>19.242254674999998</v>
      </c>
      <c r="C181" s="4">
        <f>IFERROR(VLOOKUP(A181,Capacity!$A$3:$F$532,6,), "0")</f>
        <v>0.17499999999999999</v>
      </c>
      <c r="E181" t="str">
        <f>IFERROR(VLOOKUP(D181,Capacity!$A$3:$D$532,4,), "0")</f>
        <v>0</v>
      </c>
      <c r="F181" s="4" t="str">
        <f>IFERROR(VLOOKUP(D181,Capacity!$A$3:$F$532,6,), "0")</f>
        <v>0</v>
      </c>
      <c r="H181" t="str">
        <f>IFERROR(VLOOKUP(G181,Capacity!$A$3:$D$532,4,), "0")</f>
        <v>0</v>
      </c>
      <c r="I181" s="4" t="str">
        <f>IFERROR(VLOOKUP(G181,Capacity!$A$3:$F$532,6,), "0")</f>
        <v>0</v>
      </c>
      <c r="K181" t="str">
        <f>IFERROR(VLOOKUP(J181,Capacity!$A$3:$D$532,4,), "0")</f>
        <v>0</v>
      </c>
      <c r="L181" s="4" t="str">
        <f>IFERROR(VLOOKUP(J181,Capacity!$A$3:$F$532,6,), "0")</f>
        <v>0</v>
      </c>
      <c r="M181" s="5">
        <f t="shared" si="18"/>
        <v>0</v>
      </c>
      <c r="N181" s="5">
        <f t="shared" si="19"/>
        <v>0</v>
      </c>
      <c r="O181">
        <v>185</v>
      </c>
      <c r="P181">
        <f>IFERROR(VLOOKUP(O181,Capacity!$A$3:$D$532,4,), "0")</f>
        <v>628.31852000000003</v>
      </c>
      <c r="Q181" s="4">
        <f>IFERROR(VLOOKUP(O181,Capacity!$A$3:$F$532,6,), "0")</f>
        <v>1</v>
      </c>
      <c r="R181" s="5">
        <f t="shared" si="20"/>
        <v>628.31852000000003</v>
      </c>
      <c r="S181" s="5">
        <f t="shared" si="24"/>
        <v>1</v>
      </c>
      <c r="U181">
        <v>459</v>
      </c>
      <c r="V181">
        <v>0</v>
      </c>
      <c r="W181">
        <v>0</v>
      </c>
      <c r="X181">
        <v>1</v>
      </c>
      <c r="AB181">
        <f t="shared" si="21"/>
        <v>0</v>
      </c>
      <c r="AC181">
        <f t="shared" si="22"/>
        <v>0</v>
      </c>
      <c r="AD181">
        <f t="shared" si="23"/>
        <v>0</v>
      </c>
      <c r="AE181">
        <f t="shared" si="25"/>
        <v>0</v>
      </c>
      <c r="AG181">
        <f t="shared" si="26"/>
        <v>0</v>
      </c>
    </row>
    <row r="182" spans="1:33" x14ac:dyDescent="0.25">
      <c r="A182">
        <v>192</v>
      </c>
      <c r="B182">
        <f>IFERROR(VLOOKUP(A182,Capacity!$A$3:$D$532,4,), "0")</f>
        <v>20.106192640000003</v>
      </c>
      <c r="C182" s="4">
        <f>IFERROR(VLOOKUP(A182,Capacity!$A$3:$F$532,6,), "0")</f>
        <v>0.2</v>
      </c>
      <c r="D182">
        <v>461</v>
      </c>
      <c r="E182">
        <f>IFERROR(VLOOKUP(D182,Capacity!$A$3:$D$532,4,), "0")</f>
        <v>19.242254674999998</v>
      </c>
      <c r="F182" s="4">
        <f>IFERROR(VLOOKUP(D182,Capacity!$A$3:$F$532,6,), "0")</f>
        <v>0.17499999999999999</v>
      </c>
      <c r="G182">
        <v>202</v>
      </c>
      <c r="H182">
        <f>IFERROR(VLOOKUP(G182,Capacity!$A$3:$D$532,4,), "0")</f>
        <v>28.902651920000004</v>
      </c>
      <c r="I182" s="4">
        <f>IFERROR(VLOOKUP(G182,Capacity!$A$3:$F$532,6,), "0")</f>
        <v>0.2</v>
      </c>
      <c r="K182" t="str">
        <f>IFERROR(VLOOKUP(J182,Capacity!$A$3:$D$532,4,), "0")</f>
        <v>0</v>
      </c>
      <c r="L182" s="4" t="str">
        <f>IFERROR(VLOOKUP(J182,Capacity!$A$3:$F$532,6,), "0")</f>
        <v>0</v>
      </c>
      <c r="M182" s="5">
        <f t="shared" si="18"/>
        <v>48.144906595000002</v>
      </c>
      <c r="N182" s="5">
        <f t="shared" si="19"/>
        <v>0.375</v>
      </c>
      <c r="O182">
        <v>185</v>
      </c>
      <c r="P182">
        <f>IFERROR(VLOOKUP(O182,Capacity!$A$3:$D$532,4,), "0")</f>
        <v>628.31852000000003</v>
      </c>
      <c r="Q182" s="4">
        <f>IFERROR(VLOOKUP(O182,Capacity!$A$3:$F$532,6,), "0")</f>
        <v>1</v>
      </c>
      <c r="R182" s="5">
        <f t="shared" si="20"/>
        <v>628.31852000000003</v>
      </c>
      <c r="S182" s="5">
        <f t="shared" si="24"/>
        <v>1</v>
      </c>
      <c r="U182">
        <v>192</v>
      </c>
      <c r="V182">
        <v>2</v>
      </c>
      <c r="W182">
        <v>2</v>
      </c>
      <c r="X182">
        <v>1</v>
      </c>
      <c r="AB182">
        <f t="shared" si="21"/>
        <v>7.6624999999999999E-2</v>
      </c>
      <c r="AC182">
        <f t="shared" si="22"/>
        <v>2.3945312499999996</v>
      </c>
      <c r="AD182">
        <f t="shared" si="23"/>
        <v>0.375</v>
      </c>
      <c r="AE182">
        <f t="shared" si="25"/>
        <v>1.875</v>
      </c>
      <c r="AG182">
        <f t="shared" si="26"/>
        <v>7.4249031007751931E-2</v>
      </c>
    </row>
    <row r="183" spans="1:33" x14ac:dyDescent="0.25">
      <c r="A183">
        <v>209</v>
      </c>
      <c r="B183">
        <f>IFERROR(VLOOKUP(A183,Capacity!$A$3:$D$532,4,), "0")</f>
        <v>123.700208625</v>
      </c>
      <c r="C183" s="4">
        <f>IFERROR(VLOOKUP(A183,Capacity!$A$3:$F$532,6,), "0")</f>
        <v>0.75</v>
      </c>
      <c r="D183">
        <v>469</v>
      </c>
      <c r="E183">
        <f>IFERROR(VLOOKUP(D183,Capacity!$A$3:$D$532,4,), "0")</f>
        <v>16.836972840624998</v>
      </c>
      <c r="F183" s="4">
        <f>IFERROR(VLOOKUP(D183,Capacity!$A$3:$F$532,6,), "0")</f>
        <v>0.17499999999999999</v>
      </c>
      <c r="G183">
        <v>201</v>
      </c>
      <c r="H183">
        <f>IFERROR(VLOOKUP(G183,Capacity!$A$3:$D$532,4,), "0")</f>
        <v>16.355916473749996</v>
      </c>
      <c r="I183" s="4">
        <f>IFERROR(VLOOKUP(G183,Capacity!$A$3:$F$532,6,), "0")</f>
        <v>0.17499999999999999</v>
      </c>
      <c r="K183" t="str">
        <f>IFERROR(VLOOKUP(J183,Capacity!$A$3:$D$532,4,), "0")</f>
        <v>0</v>
      </c>
      <c r="L183" s="4" t="str">
        <f>IFERROR(VLOOKUP(J183,Capacity!$A$3:$F$532,6,), "0")</f>
        <v>0</v>
      </c>
      <c r="M183" s="5">
        <f t="shared" si="18"/>
        <v>33.192889314374995</v>
      </c>
      <c r="N183" s="5">
        <f t="shared" si="19"/>
        <v>0.35</v>
      </c>
      <c r="O183">
        <v>208</v>
      </c>
      <c r="P183">
        <f>IFERROR(VLOOKUP(O183,Capacity!$A$3:$D$532,4,), "0")</f>
        <v>25.132740800000008</v>
      </c>
      <c r="Q183" s="4">
        <f>IFERROR(VLOOKUP(O183,Capacity!$A$3:$F$532,6,), "0")</f>
        <v>0.4</v>
      </c>
      <c r="R183" s="5">
        <f t="shared" si="20"/>
        <v>25.132740800000008</v>
      </c>
      <c r="S183" s="5">
        <f t="shared" si="24"/>
        <v>0.4</v>
      </c>
      <c r="U183">
        <v>209</v>
      </c>
      <c r="V183">
        <v>2</v>
      </c>
      <c r="W183">
        <v>2</v>
      </c>
      <c r="X183">
        <v>1</v>
      </c>
      <c r="AB183">
        <f t="shared" si="21"/>
        <v>1.3207031249999994</v>
      </c>
      <c r="AC183">
        <f t="shared" si="22"/>
        <v>0.26833333333333331</v>
      </c>
      <c r="AD183">
        <f t="shared" si="23"/>
        <v>0.87499999999999989</v>
      </c>
      <c r="AE183">
        <f t="shared" si="25"/>
        <v>0.46666666666666662</v>
      </c>
      <c r="AG183">
        <f t="shared" si="26"/>
        <v>0.22302110817941947</v>
      </c>
    </row>
    <row r="184" spans="1:33" x14ac:dyDescent="0.25">
      <c r="A184">
        <v>205</v>
      </c>
      <c r="B184">
        <f>IFERROR(VLOOKUP(A184,Capacity!$A$3:$D$532,4,), "0")</f>
        <v>309.25052156250001</v>
      </c>
      <c r="C184" s="4">
        <f>IFERROR(VLOOKUP(A184,Capacity!$A$3:$F$532,6,), "0")</f>
        <v>0.75</v>
      </c>
      <c r="D184">
        <v>470</v>
      </c>
      <c r="E184">
        <f>IFERROR(VLOOKUP(D184,Capacity!$A$3:$D$532,4,), "0")</f>
        <v>4.8105636687499995</v>
      </c>
      <c r="F184" s="4">
        <f>IFERROR(VLOOKUP(D184,Capacity!$A$3:$F$532,6,), "0")</f>
        <v>0.17499999999999999</v>
      </c>
      <c r="G184">
        <v>204</v>
      </c>
      <c r="H184">
        <f>IFERROR(VLOOKUP(G184,Capacity!$A$3:$D$532,4,), "0")</f>
        <v>6.734789136249999</v>
      </c>
      <c r="I184" s="4">
        <f>IFERROR(VLOOKUP(G184,Capacity!$A$3:$F$532,6,), "0")</f>
        <v>0.17499999999999999</v>
      </c>
      <c r="K184" t="str">
        <f>IFERROR(VLOOKUP(J184,Capacity!$A$3:$D$532,4,), "0")</f>
        <v>0</v>
      </c>
      <c r="L184" s="4" t="str">
        <f>IFERROR(VLOOKUP(J184,Capacity!$A$3:$F$532,6,), "0")</f>
        <v>0</v>
      </c>
      <c r="M184" s="5">
        <f t="shared" si="18"/>
        <v>11.545352804999998</v>
      </c>
      <c r="N184" s="5">
        <f t="shared" si="19"/>
        <v>0.35</v>
      </c>
      <c r="O184">
        <v>208</v>
      </c>
      <c r="P184">
        <f>IFERROR(VLOOKUP(O184,Capacity!$A$3:$D$532,4,), "0")</f>
        <v>25.132740800000008</v>
      </c>
      <c r="Q184" s="4">
        <f>IFERROR(VLOOKUP(O184,Capacity!$A$3:$F$532,6,), "0")</f>
        <v>0.4</v>
      </c>
      <c r="R184" s="5">
        <f t="shared" si="20"/>
        <v>25.132740800000008</v>
      </c>
      <c r="S184" s="5">
        <f t="shared" si="24"/>
        <v>0.4</v>
      </c>
      <c r="U184">
        <v>205</v>
      </c>
      <c r="V184">
        <v>2</v>
      </c>
      <c r="W184">
        <v>2</v>
      </c>
      <c r="X184">
        <v>1</v>
      </c>
      <c r="AB184">
        <f t="shared" si="21"/>
        <v>0.45937499999999981</v>
      </c>
      <c r="AC184">
        <f t="shared" si="22"/>
        <v>3.7333333333333329E-2</v>
      </c>
      <c r="AD184">
        <f t="shared" si="23"/>
        <v>0.87499999999999989</v>
      </c>
      <c r="AE184">
        <f t="shared" si="25"/>
        <v>0.46666666666666662</v>
      </c>
      <c r="AG184">
        <f t="shared" si="26"/>
        <v>3.4527304756312382E-2</v>
      </c>
    </row>
    <row r="185" spans="1:33" x14ac:dyDescent="0.25">
      <c r="A185">
        <v>463</v>
      </c>
      <c r="B185">
        <f>IFERROR(VLOOKUP(A185,Capacity!$A$3:$D$532,4,), "0")</f>
        <v>10.58324007125</v>
      </c>
      <c r="C185" s="4">
        <f>IFERROR(VLOOKUP(A185,Capacity!$A$3:$F$532,6,), "0")</f>
        <v>0.17499999999999999</v>
      </c>
      <c r="E185" t="str">
        <f>IFERROR(VLOOKUP(D185,Capacity!$A$3:$D$532,4,), "0")</f>
        <v>0</v>
      </c>
      <c r="F185" s="4" t="str">
        <f>IFERROR(VLOOKUP(D185,Capacity!$A$3:$F$532,6,), "0")</f>
        <v>0</v>
      </c>
      <c r="H185" t="str">
        <f>IFERROR(VLOOKUP(G185,Capacity!$A$3:$D$532,4,), "0")</f>
        <v>0</v>
      </c>
      <c r="I185" s="4" t="str">
        <f>IFERROR(VLOOKUP(G185,Capacity!$A$3:$F$532,6,), "0")</f>
        <v>0</v>
      </c>
      <c r="K185" t="str">
        <f>IFERROR(VLOOKUP(J185,Capacity!$A$3:$D$532,4,), "0")</f>
        <v>0</v>
      </c>
      <c r="L185" s="4" t="str">
        <f>IFERROR(VLOOKUP(J185,Capacity!$A$3:$F$532,6,), "0")</f>
        <v>0</v>
      </c>
      <c r="M185" s="5">
        <f t="shared" si="18"/>
        <v>0</v>
      </c>
      <c r="N185" s="5">
        <f t="shared" si="19"/>
        <v>0</v>
      </c>
      <c r="O185">
        <v>206</v>
      </c>
      <c r="P185">
        <f>IFERROR(VLOOKUP(O185,Capacity!$A$3:$D$532,4,), "0")</f>
        <v>17.318029207499997</v>
      </c>
      <c r="Q185" s="4">
        <f>IFERROR(VLOOKUP(O185,Capacity!$A$3:$F$532,6,), "0")</f>
        <v>0.17499999999999999</v>
      </c>
      <c r="R185" s="5">
        <f t="shared" si="20"/>
        <v>17.318029207499997</v>
      </c>
      <c r="S185" s="5">
        <f t="shared" si="24"/>
        <v>0.17499999999999999</v>
      </c>
      <c r="U185">
        <v>463</v>
      </c>
      <c r="V185">
        <v>0</v>
      </c>
      <c r="W185">
        <v>0</v>
      </c>
      <c r="X185">
        <v>1</v>
      </c>
      <c r="AB185">
        <f t="shared" si="21"/>
        <v>0</v>
      </c>
      <c r="AC185">
        <f t="shared" si="22"/>
        <v>0</v>
      </c>
      <c r="AD185">
        <f t="shared" si="23"/>
        <v>0</v>
      </c>
      <c r="AE185">
        <f t="shared" si="25"/>
        <v>0</v>
      </c>
      <c r="AG185">
        <f t="shared" si="26"/>
        <v>0</v>
      </c>
    </row>
    <row r="186" spans="1:33" x14ac:dyDescent="0.25">
      <c r="A186">
        <v>473</v>
      </c>
      <c r="B186">
        <f>IFERROR(VLOOKUP(A186,Capacity!$A$3:$D$532,4,), "0")</f>
        <v>25.977043811249995</v>
      </c>
      <c r="C186" s="4">
        <f>IFERROR(VLOOKUP(A186,Capacity!$A$3:$F$532,6,), "0")</f>
        <v>0.17499999999999999</v>
      </c>
      <c r="E186" t="str">
        <f>IFERROR(VLOOKUP(D186,Capacity!$A$3:$D$532,4,), "0")</f>
        <v>0</v>
      </c>
      <c r="F186" s="4" t="str">
        <f>IFERROR(VLOOKUP(D186,Capacity!$A$3:$F$532,6,), "0")</f>
        <v>0</v>
      </c>
      <c r="H186" t="str">
        <f>IFERROR(VLOOKUP(G186,Capacity!$A$3:$D$532,4,), "0")</f>
        <v>0</v>
      </c>
      <c r="I186" s="4" t="str">
        <f>IFERROR(VLOOKUP(G186,Capacity!$A$3:$F$532,6,), "0")</f>
        <v>0</v>
      </c>
      <c r="K186" t="str">
        <f>IFERROR(VLOOKUP(J186,Capacity!$A$3:$D$532,4,), "0")</f>
        <v>0</v>
      </c>
      <c r="L186" s="4" t="str">
        <f>IFERROR(VLOOKUP(J186,Capacity!$A$3:$F$532,6,), "0")</f>
        <v>0</v>
      </c>
      <c r="M186" s="5">
        <f t="shared" si="18"/>
        <v>0</v>
      </c>
      <c r="N186" s="5">
        <f t="shared" si="19"/>
        <v>0</v>
      </c>
      <c r="O186">
        <v>214</v>
      </c>
      <c r="P186">
        <f>IFERROR(VLOOKUP(O186,Capacity!$A$3:$D$532,4,), "0")</f>
        <v>5.7726764024999992</v>
      </c>
      <c r="Q186" s="4">
        <f>IFERROR(VLOOKUP(O186,Capacity!$A$3:$F$532,6,), "0")</f>
        <v>0.17499999999999999</v>
      </c>
      <c r="R186" s="5">
        <f t="shared" si="20"/>
        <v>5.7726764024999992</v>
      </c>
      <c r="S186" s="5">
        <f t="shared" si="24"/>
        <v>0.17499999999999999</v>
      </c>
      <c r="U186">
        <v>473</v>
      </c>
      <c r="V186">
        <v>0</v>
      </c>
      <c r="W186">
        <v>0</v>
      </c>
      <c r="X186">
        <v>1</v>
      </c>
      <c r="AB186">
        <f t="shared" si="21"/>
        <v>0</v>
      </c>
      <c r="AC186">
        <f t="shared" si="22"/>
        <v>0</v>
      </c>
      <c r="AD186">
        <f t="shared" si="23"/>
        <v>0</v>
      </c>
      <c r="AE186">
        <f t="shared" si="25"/>
        <v>0</v>
      </c>
      <c r="AG186">
        <f t="shared" si="26"/>
        <v>0</v>
      </c>
    </row>
    <row r="187" spans="1:33" x14ac:dyDescent="0.25">
      <c r="A187">
        <v>213</v>
      </c>
      <c r="B187">
        <f>IFERROR(VLOOKUP(A187,Capacity!$A$3:$D$532,4,), "0")</f>
        <v>9.621127337499999</v>
      </c>
      <c r="C187" s="4">
        <f>IFERROR(VLOOKUP(A187,Capacity!$A$3:$F$532,6,), "0")</f>
        <v>0.17499999999999999</v>
      </c>
      <c r="D187">
        <v>474</v>
      </c>
      <c r="E187">
        <f>IFERROR(VLOOKUP(D187,Capacity!$A$3:$D$532,4,), "0")</f>
        <v>24.052818343749998</v>
      </c>
      <c r="F187" s="4">
        <f>IFERROR(VLOOKUP(D187,Capacity!$A$3:$F$532,6,), "0")</f>
        <v>0.17499999999999999</v>
      </c>
      <c r="G187">
        <v>217</v>
      </c>
      <c r="H187">
        <f>IFERROR(VLOOKUP(G187,Capacity!$A$3:$D$532,4,), "0")</f>
        <v>19.242254674999998</v>
      </c>
      <c r="I187" s="4">
        <f>IFERROR(VLOOKUP(G187,Capacity!$A$3:$F$532,6,), "0")</f>
        <v>0.17499999999999999</v>
      </c>
      <c r="K187" t="str">
        <f>IFERROR(VLOOKUP(J187,Capacity!$A$3:$D$532,4,), "0")</f>
        <v>0</v>
      </c>
      <c r="L187" s="4" t="str">
        <f>IFERROR(VLOOKUP(J187,Capacity!$A$3:$F$532,6,), "0")</f>
        <v>0</v>
      </c>
      <c r="M187" s="5">
        <f t="shared" si="18"/>
        <v>43.295073018749996</v>
      </c>
      <c r="N187" s="5">
        <f t="shared" si="19"/>
        <v>0.35</v>
      </c>
      <c r="O187">
        <v>214</v>
      </c>
      <c r="P187">
        <f>IFERROR(VLOOKUP(O187,Capacity!$A$3:$D$532,4,), "0")</f>
        <v>5.7726764024999992</v>
      </c>
      <c r="Q187" s="4">
        <f>IFERROR(VLOOKUP(O187,Capacity!$A$3:$F$532,6,), "0")</f>
        <v>0.17499999999999999</v>
      </c>
      <c r="R187" s="5">
        <f t="shared" si="20"/>
        <v>5.7726764024999992</v>
      </c>
      <c r="S187" s="5">
        <f t="shared" si="24"/>
        <v>0.17499999999999999</v>
      </c>
      <c r="U187">
        <v>213</v>
      </c>
      <c r="V187">
        <v>3</v>
      </c>
      <c r="W187">
        <v>3</v>
      </c>
      <c r="X187">
        <v>1</v>
      </c>
      <c r="AB187">
        <f t="shared" si="21"/>
        <v>7.5</v>
      </c>
      <c r="AC187">
        <f t="shared" si="22"/>
        <v>4.5</v>
      </c>
      <c r="AD187">
        <f t="shared" si="23"/>
        <v>2</v>
      </c>
      <c r="AE187">
        <f t="shared" si="25"/>
        <v>2</v>
      </c>
      <c r="AG187">
        <f t="shared" si="26"/>
        <v>2.8125</v>
      </c>
    </row>
    <row r="188" spans="1:33" x14ac:dyDescent="0.25">
      <c r="A188">
        <v>114</v>
      </c>
      <c r="B188">
        <f>IFERROR(VLOOKUP(A188,Capacity!$A$3:$D$532,4,), "0")</f>
        <v>15.079644480000002</v>
      </c>
      <c r="C188" s="4">
        <f>IFERROR(VLOOKUP(A188,Capacity!$A$3:$F$532,6,), "0")</f>
        <v>0.2</v>
      </c>
      <c r="D188">
        <v>115</v>
      </c>
      <c r="E188">
        <f>IFERROR(VLOOKUP(D188,Capacity!$A$3:$D$532,4,), "0")</f>
        <v>18.849555600000006</v>
      </c>
      <c r="F188" s="4">
        <f>IFERROR(VLOOKUP(D188,Capacity!$A$3:$F$532,6,), "0")</f>
        <v>0.2</v>
      </c>
      <c r="H188" t="str">
        <f>IFERROR(VLOOKUP(G188,Capacity!$A$3:$D$532,4,), "0")</f>
        <v>0</v>
      </c>
      <c r="I188" s="4" t="str">
        <f>IFERROR(VLOOKUP(G188,Capacity!$A$3:$F$532,6,), "0")</f>
        <v>0</v>
      </c>
      <c r="K188" t="str">
        <f>IFERROR(VLOOKUP(J188,Capacity!$A$3:$D$532,4,), "0")</f>
        <v>0</v>
      </c>
      <c r="L188" s="4" t="str">
        <f>IFERROR(VLOOKUP(J188,Capacity!$A$3:$F$532,6,), "0")</f>
        <v>0</v>
      </c>
      <c r="M188" s="5">
        <f t="shared" si="18"/>
        <v>18.849555600000006</v>
      </c>
      <c r="N188" s="5">
        <f t="shared" si="19"/>
        <v>0.2</v>
      </c>
      <c r="O188">
        <v>111</v>
      </c>
      <c r="P188">
        <f>IFERROR(VLOOKUP(O188,Capacity!$A$3:$D$532,4,), "0")</f>
        <v>12.566370400000004</v>
      </c>
      <c r="Q188" s="4">
        <f>IFERROR(VLOOKUP(O188,Capacity!$A$3:$F$532,6,), "0")</f>
        <v>0.2</v>
      </c>
      <c r="R188" s="5">
        <f t="shared" si="20"/>
        <v>12.566370400000004</v>
      </c>
      <c r="S188" s="5">
        <f t="shared" si="24"/>
        <v>0.2</v>
      </c>
      <c r="U188">
        <v>114</v>
      </c>
      <c r="V188">
        <v>1</v>
      </c>
      <c r="W188">
        <v>1</v>
      </c>
      <c r="X188">
        <v>1</v>
      </c>
      <c r="AB188">
        <f t="shared" si="21"/>
        <v>1.5</v>
      </c>
      <c r="AC188">
        <f t="shared" si="22"/>
        <v>1.2500000000000002</v>
      </c>
      <c r="AD188">
        <f t="shared" si="23"/>
        <v>1</v>
      </c>
      <c r="AE188">
        <f t="shared" si="25"/>
        <v>1</v>
      </c>
      <c r="AG188">
        <f t="shared" si="26"/>
        <v>0.68181818181818188</v>
      </c>
    </row>
    <row r="189" spans="1:33" x14ac:dyDescent="0.25">
      <c r="A189">
        <v>110</v>
      </c>
      <c r="B189">
        <f>IFERROR(VLOOKUP(A189,Capacity!$A$3:$D$532,4,), "0")</f>
        <v>17.592918560000005</v>
      </c>
      <c r="C189" s="4">
        <f>IFERROR(VLOOKUP(A189,Capacity!$A$3:$F$532,6,), "0")</f>
        <v>0.2</v>
      </c>
      <c r="D189">
        <v>109</v>
      </c>
      <c r="E189">
        <f>IFERROR(VLOOKUP(D189,Capacity!$A$3:$D$532,4,), "0")</f>
        <v>14.431691006249999</v>
      </c>
      <c r="F189" s="4">
        <f>IFERROR(VLOOKUP(D189,Capacity!$A$3:$F$532,6,), "0")</f>
        <v>0.17499999999999999</v>
      </c>
      <c r="G189">
        <v>106</v>
      </c>
      <c r="H189">
        <f>IFERROR(VLOOKUP(G189,Capacity!$A$3:$D$532,4,), "0")</f>
        <v>13.469578272499998</v>
      </c>
      <c r="I189" s="4">
        <f>IFERROR(VLOOKUP(G189,Capacity!$A$3:$F$532,6,), "0")</f>
        <v>0.17499999999999999</v>
      </c>
      <c r="K189" t="str">
        <f>IFERROR(VLOOKUP(J189,Capacity!$A$3:$D$532,4,), "0")</f>
        <v>0</v>
      </c>
      <c r="L189" s="4" t="str">
        <f>IFERROR(VLOOKUP(J189,Capacity!$A$3:$F$532,6,), "0")</f>
        <v>0</v>
      </c>
      <c r="M189" s="5">
        <f t="shared" si="18"/>
        <v>27.901269278749997</v>
      </c>
      <c r="N189" s="5">
        <f t="shared" si="19"/>
        <v>0.35</v>
      </c>
      <c r="O189">
        <v>111</v>
      </c>
      <c r="P189">
        <f>IFERROR(VLOOKUP(O189,Capacity!$A$3:$D$532,4,), "0")</f>
        <v>12.566370400000004</v>
      </c>
      <c r="Q189" s="4">
        <f>IFERROR(VLOOKUP(O189,Capacity!$A$3:$F$532,6,), "0")</f>
        <v>0.2</v>
      </c>
      <c r="R189" s="5">
        <f t="shared" si="20"/>
        <v>12.566370400000004</v>
      </c>
      <c r="S189" s="5">
        <f t="shared" si="24"/>
        <v>0.2</v>
      </c>
      <c r="U189">
        <v>110</v>
      </c>
      <c r="V189">
        <v>2</v>
      </c>
      <c r="W189">
        <v>2</v>
      </c>
      <c r="X189">
        <v>1</v>
      </c>
      <c r="AB189">
        <f t="shared" si="21"/>
        <v>2.220312499999999</v>
      </c>
      <c r="AC189">
        <f t="shared" si="22"/>
        <v>1.5859374999999993</v>
      </c>
      <c r="AD189">
        <f t="shared" si="23"/>
        <v>1.7499999999999998</v>
      </c>
      <c r="AE189">
        <f t="shared" si="25"/>
        <v>1.7499999999999998</v>
      </c>
      <c r="AG189">
        <f t="shared" si="26"/>
        <v>0.92513020833333293</v>
      </c>
    </row>
    <row r="190" spans="1:33" x14ac:dyDescent="0.25">
      <c r="A190">
        <v>117</v>
      </c>
      <c r="B190">
        <f>IFERROR(VLOOKUP(A190,Capacity!$A$3:$D$532,4,), "0")</f>
        <v>16.836972840624998</v>
      </c>
      <c r="C190" s="4">
        <f>IFERROR(VLOOKUP(A190,Capacity!$A$3:$F$532,6,), "0")</f>
        <v>0.17499999999999999</v>
      </c>
      <c r="D190">
        <v>436</v>
      </c>
      <c r="E190">
        <f>IFERROR(VLOOKUP(D190,Capacity!$A$3:$D$532,4,), "0")</f>
        <v>10.58324007125</v>
      </c>
      <c r="F190" s="4">
        <f>IFERROR(VLOOKUP(D190,Capacity!$A$3:$F$532,6,), "0")</f>
        <v>0.17499999999999999</v>
      </c>
      <c r="H190" t="str">
        <f>IFERROR(VLOOKUP(G190,Capacity!$A$3:$D$532,4,), "0")</f>
        <v>0</v>
      </c>
      <c r="I190" s="4" t="str">
        <f>IFERROR(VLOOKUP(G190,Capacity!$A$3:$F$532,6,), "0")</f>
        <v>0</v>
      </c>
      <c r="K190" t="str">
        <f>IFERROR(VLOOKUP(J190,Capacity!$A$3:$D$532,4,), "0")</f>
        <v>0</v>
      </c>
      <c r="L190" s="4" t="str">
        <f>IFERROR(VLOOKUP(J190,Capacity!$A$3:$F$532,6,), "0")</f>
        <v>0</v>
      </c>
      <c r="M190" s="5">
        <f t="shared" si="18"/>
        <v>10.58324007125</v>
      </c>
      <c r="N190" s="5">
        <f t="shared" si="19"/>
        <v>0.17499999999999999</v>
      </c>
      <c r="O190">
        <v>118</v>
      </c>
      <c r="P190">
        <f>IFERROR(VLOOKUP(O190,Capacity!$A$3:$D$532,4,), "0")</f>
        <v>14.431691006249999</v>
      </c>
      <c r="Q190" s="4">
        <f>IFERROR(VLOOKUP(O190,Capacity!$A$3:$F$532,6,), "0")</f>
        <v>0.17499999999999999</v>
      </c>
      <c r="R190" s="5">
        <f t="shared" si="20"/>
        <v>14.431691006249999</v>
      </c>
      <c r="S190" s="5">
        <f t="shared" si="24"/>
        <v>0.17499999999999999</v>
      </c>
      <c r="U190">
        <v>117</v>
      </c>
      <c r="V190">
        <v>1</v>
      </c>
      <c r="W190">
        <v>1</v>
      </c>
      <c r="X190">
        <v>1</v>
      </c>
      <c r="AB190">
        <f t="shared" si="21"/>
        <v>0.73333333333333339</v>
      </c>
      <c r="AC190">
        <f t="shared" si="22"/>
        <v>0.62857142857142856</v>
      </c>
      <c r="AD190">
        <f t="shared" si="23"/>
        <v>1</v>
      </c>
      <c r="AE190">
        <f t="shared" si="25"/>
        <v>1</v>
      </c>
      <c r="AG190">
        <f t="shared" si="26"/>
        <v>0.33846153846153848</v>
      </c>
    </row>
    <row r="191" spans="1:33" x14ac:dyDescent="0.25">
      <c r="A191">
        <v>54</v>
      </c>
      <c r="B191">
        <f>IFERROR(VLOOKUP(A191,Capacity!$A$3:$D$532,4,), "0")</f>
        <v>7.6969018699999987</v>
      </c>
      <c r="C191" s="4">
        <f>IFERROR(VLOOKUP(A191,Capacity!$A$3:$F$532,6,), "0")</f>
        <v>0.17499999999999999</v>
      </c>
      <c r="D191">
        <v>425</v>
      </c>
      <c r="E191">
        <f>IFERROR(VLOOKUP(D191,Capacity!$A$3:$D$532,4,), "0")</f>
        <v>21.647536509374998</v>
      </c>
      <c r="F191" s="4">
        <f>IFERROR(VLOOKUP(D191,Capacity!$A$3:$F$532,6,), "0")</f>
        <v>0.17499999999999999</v>
      </c>
      <c r="G191">
        <v>379</v>
      </c>
      <c r="H191">
        <f>IFERROR(VLOOKUP(G191,Capacity!$A$3:$D$532,4,), "0")</f>
        <v>7.6969018699999987</v>
      </c>
      <c r="I191" s="4">
        <f>IFERROR(VLOOKUP(G191,Capacity!$A$3:$F$532,6,), "0")</f>
        <v>0.17499999999999999</v>
      </c>
      <c r="J191">
        <v>360</v>
      </c>
      <c r="K191">
        <f>IFERROR(VLOOKUP(J191,Capacity!$A$3:$D$532,4,), "0")</f>
        <v>25.014931077499998</v>
      </c>
      <c r="L191" s="4">
        <f>IFERROR(VLOOKUP(J191,Capacity!$A$3:$F$532,6,), "0")</f>
        <v>0.17499999999999999</v>
      </c>
      <c r="M191" s="5">
        <f t="shared" si="18"/>
        <v>54.359369456874994</v>
      </c>
      <c r="N191" s="5">
        <f t="shared" si="19"/>
        <v>0.52499999999999991</v>
      </c>
      <c r="O191">
        <v>53</v>
      </c>
      <c r="P191">
        <f>IFERROR(VLOOKUP(O191,Capacity!$A$3:$D$532,4,), "0")</f>
        <v>28.274333400000007</v>
      </c>
      <c r="Q191" s="4">
        <f>IFERROR(VLOOKUP(O191,Capacity!$A$3:$F$532,6,), "0")</f>
        <v>0.2</v>
      </c>
      <c r="R191" s="5">
        <f t="shared" si="20"/>
        <v>28.274333400000007</v>
      </c>
      <c r="S191" s="5">
        <f t="shared" si="24"/>
        <v>0.2</v>
      </c>
      <c r="U191">
        <v>54</v>
      </c>
      <c r="V191">
        <v>4</v>
      </c>
      <c r="W191">
        <v>4</v>
      </c>
      <c r="X191">
        <v>1</v>
      </c>
      <c r="AB191">
        <f t="shared" si="21"/>
        <v>1.9225694444444437</v>
      </c>
      <c r="AC191">
        <f t="shared" si="22"/>
        <v>7.0625</v>
      </c>
      <c r="AD191">
        <f t="shared" si="23"/>
        <v>2.6249999999999996</v>
      </c>
      <c r="AE191">
        <f t="shared" si="25"/>
        <v>2.9999999999999996</v>
      </c>
      <c r="AG191">
        <f t="shared" si="26"/>
        <v>1.5111899563318771</v>
      </c>
    </row>
    <row r="192" spans="1:33" x14ac:dyDescent="0.25">
      <c r="A192">
        <v>18</v>
      </c>
      <c r="B192">
        <f>IFERROR(VLOOKUP(A192,Capacity!$A$3:$D$532,4,), "0")</f>
        <v>32.672563040000007</v>
      </c>
      <c r="C192" s="4">
        <f>IFERROR(VLOOKUP(A192,Capacity!$A$3:$F$532,6,), "0")</f>
        <v>0.2</v>
      </c>
      <c r="D192">
        <v>17</v>
      </c>
      <c r="E192">
        <f>IFERROR(VLOOKUP(D192,Capacity!$A$3:$D$532,4,), "0")</f>
        <v>10.053096320000002</v>
      </c>
      <c r="F192" s="4">
        <f>IFERROR(VLOOKUP(D192,Capacity!$A$3:$F$532,6,), "0")</f>
        <v>0.2</v>
      </c>
      <c r="H192" t="str">
        <f>IFERROR(VLOOKUP(G192,Capacity!$A$3:$D$532,4,), "0")</f>
        <v>0</v>
      </c>
      <c r="I192" s="4" t="str">
        <f>IFERROR(VLOOKUP(G192,Capacity!$A$3:$F$532,6,), "0")</f>
        <v>0</v>
      </c>
      <c r="K192" t="str">
        <f>IFERROR(VLOOKUP(J192,Capacity!$A$3:$D$532,4,), "0")</f>
        <v>0</v>
      </c>
      <c r="L192" s="4" t="str">
        <f>IFERROR(VLOOKUP(J192,Capacity!$A$3:$F$532,6,), "0")</f>
        <v>0</v>
      </c>
      <c r="M192" s="5">
        <f t="shared" si="18"/>
        <v>10.053096320000002</v>
      </c>
      <c r="N192" s="5">
        <f t="shared" si="19"/>
        <v>0.2</v>
      </c>
      <c r="O192">
        <v>53</v>
      </c>
      <c r="P192">
        <f>IFERROR(VLOOKUP(O192,Capacity!$A$3:$D$532,4,), "0")</f>
        <v>28.274333400000007</v>
      </c>
      <c r="Q192" s="4">
        <f>IFERROR(VLOOKUP(O192,Capacity!$A$3:$F$532,6,), "0")</f>
        <v>0.2</v>
      </c>
      <c r="R192" s="5">
        <f t="shared" si="20"/>
        <v>28.274333400000007</v>
      </c>
      <c r="S192" s="5">
        <f t="shared" si="24"/>
        <v>0.2</v>
      </c>
      <c r="U192">
        <v>18</v>
      </c>
      <c r="V192">
        <v>2</v>
      </c>
      <c r="W192">
        <v>2</v>
      </c>
      <c r="X192">
        <v>1</v>
      </c>
      <c r="AB192">
        <f t="shared" si="21"/>
        <v>0.35555555555555551</v>
      </c>
      <c r="AC192">
        <f t="shared" si="22"/>
        <v>0.30769230769230765</v>
      </c>
      <c r="AD192">
        <f t="shared" si="23"/>
        <v>1</v>
      </c>
      <c r="AE192">
        <f t="shared" si="25"/>
        <v>1</v>
      </c>
      <c r="AG192">
        <f t="shared" si="26"/>
        <v>0.16494845360824739</v>
      </c>
    </row>
    <row r="193" spans="1:33" x14ac:dyDescent="0.25">
      <c r="A193">
        <v>426</v>
      </c>
      <c r="B193">
        <f>IFERROR(VLOOKUP(A193,Capacity!$A$3:$D$532,4,), "0")</f>
        <v>7.6969018699999987</v>
      </c>
      <c r="C193" s="4">
        <f>IFERROR(VLOOKUP(A193,Capacity!$A$3:$F$532,6,), "0")</f>
        <v>0.17499999999999999</v>
      </c>
      <c r="E193" t="str">
        <f>IFERROR(VLOOKUP(D193,Capacity!$A$3:$D$532,4,), "0")</f>
        <v>0</v>
      </c>
      <c r="F193" s="4" t="str">
        <f>IFERROR(VLOOKUP(D193,Capacity!$A$3:$F$532,6,), "0")</f>
        <v>0</v>
      </c>
      <c r="H193" t="str">
        <f>IFERROR(VLOOKUP(G193,Capacity!$A$3:$D$532,4,), "0")</f>
        <v>0</v>
      </c>
      <c r="I193" s="4" t="str">
        <f>IFERROR(VLOOKUP(G193,Capacity!$A$3:$F$532,6,), "0")</f>
        <v>0</v>
      </c>
      <c r="K193" t="str">
        <f>IFERROR(VLOOKUP(J193,Capacity!$A$3:$D$532,4,), "0")</f>
        <v>0</v>
      </c>
      <c r="L193" s="4" t="str">
        <f>IFERROR(VLOOKUP(J193,Capacity!$A$3:$F$532,6,), "0")</f>
        <v>0</v>
      </c>
      <c r="M193" s="5">
        <f t="shared" si="18"/>
        <v>0</v>
      </c>
      <c r="N193" s="5">
        <f t="shared" si="19"/>
        <v>0</v>
      </c>
      <c r="O193">
        <v>95</v>
      </c>
      <c r="P193">
        <f>IFERROR(VLOOKUP(O193,Capacity!$A$3:$D$532,4,), "0")</f>
        <v>30.886567646900005</v>
      </c>
      <c r="Q193" s="4">
        <f>IFERROR(VLOOKUP(O193,Capacity!$A$3:$F$532,6,), "0")</f>
        <v>0.26500000000000001</v>
      </c>
      <c r="R193" s="5">
        <f t="shared" si="20"/>
        <v>30.886567646900005</v>
      </c>
      <c r="S193" s="5">
        <f t="shared" si="24"/>
        <v>0.26500000000000001</v>
      </c>
      <c r="U193">
        <v>426</v>
      </c>
      <c r="V193">
        <v>0</v>
      </c>
      <c r="W193">
        <v>0</v>
      </c>
      <c r="X193">
        <v>1</v>
      </c>
      <c r="AB193">
        <f t="shared" si="21"/>
        <v>0</v>
      </c>
      <c r="AC193">
        <f t="shared" si="22"/>
        <v>0</v>
      </c>
      <c r="AD193">
        <f t="shared" si="23"/>
        <v>0</v>
      </c>
      <c r="AE193">
        <f t="shared" si="25"/>
        <v>0</v>
      </c>
      <c r="AG193">
        <f t="shared" si="26"/>
        <v>0</v>
      </c>
    </row>
    <row r="194" spans="1:33" x14ac:dyDescent="0.25">
      <c r="A194">
        <v>96</v>
      </c>
      <c r="B194">
        <f>IFERROR(VLOOKUP(A194,Capacity!$A$3:$D$532,4,), "0")</f>
        <v>7.6969018699999987</v>
      </c>
      <c r="C194" s="4">
        <f>IFERROR(VLOOKUP(A194,Capacity!$A$3:$F$532,6,), "0")</f>
        <v>0.17499999999999999</v>
      </c>
      <c r="E194" t="str">
        <f>IFERROR(VLOOKUP(D194,Capacity!$A$3:$D$532,4,), "0")</f>
        <v>0</v>
      </c>
      <c r="F194" s="4" t="str">
        <f>IFERROR(VLOOKUP(D194,Capacity!$A$3:$F$532,6,), "0")</f>
        <v>0</v>
      </c>
      <c r="H194" t="str">
        <f>IFERROR(VLOOKUP(G194,Capacity!$A$3:$D$532,4,), "0")</f>
        <v>0</v>
      </c>
      <c r="I194" s="4" t="str">
        <f>IFERROR(VLOOKUP(G194,Capacity!$A$3:$F$532,6,), "0")</f>
        <v>0</v>
      </c>
      <c r="K194" t="str">
        <f>IFERROR(VLOOKUP(J194,Capacity!$A$3:$D$532,4,), "0")</f>
        <v>0</v>
      </c>
      <c r="L194" s="4" t="str">
        <f>IFERROR(VLOOKUP(J194,Capacity!$A$3:$F$532,6,), "0")</f>
        <v>0</v>
      </c>
      <c r="M194" s="5">
        <f t="shared" ref="M194:M257" si="27">$E194+$H194+$K194</f>
        <v>0</v>
      </c>
      <c r="N194" s="5">
        <f t="shared" si="19"/>
        <v>0</v>
      </c>
      <c r="O194">
        <v>95</v>
      </c>
      <c r="P194">
        <f>IFERROR(VLOOKUP(O194,Capacity!$A$3:$D$532,4,), "0")</f>
        <v>30.886567646900005</v>
      </c>
      <c r="Q194" s="4">
        <f>IFERROR(VLOOKUP(O194,Capacity!$A$3:$F$532,6,), "0")</f>
        <v>0.26500000000000001</v>
      </c>
      <c r="R194" s="5">
        <f t="shared" si="20"/>
        <v>30.886567646900005</v>
      </c>
      <c r="S194" s="5">
        <f t="shared" si="24"/>
        <v>0.26500000000000001</v>
      </c>
      <c r="U194">
        <v>96</v>
      </c>
      <c r="V194">
        <v>1</v>
      </c>
      <c r="W194">
        <v>1</v>
      </c>
      <c r="X194">
        <v>1</v>
      </c>
      <c r="AB194">
        <f t="shared" si="21"/>
        <v>0</v>
      </c>
      <c r="AC194">
        <f t="shared" si="22"/>
        <v>0</v>
      </c>
      <c r="AD194">
        <f t="shared" si="23"/>
        <v>0</v>
      </c>
      <c r="AE194">
        <f t="shared" si="25"/>
        <v>0</v>
      </c>
      <c r="AG194">
        <f t="shared" si="26"/>
        <v>0</v>
      </c>
    </row>
    <row r="195" spans="1:33" x14ac:dyDescent="0.25">
      <c r="A195">
        <v>55</v>
      </c>
      <c r="B195">
        <f>IFERROR(VLOOKUP(A195,Capacity!$A$3:$D$532,4,), "0")</f>
        <v>21.647536509374998</v>
      </c>
      <c r="C195" s="4">
        <f>IFERROR(VLOOKUP(A195,Capacity!$A$3:$F$532,6,), "0")</f>
        <v>0.17499999999999999</v>
      </c>
      <c r="D195">
        <v>56</v>
      </c>
      <c r="E195">
        <f>IFERROR(VLOOKUP(D195,Capacity!$A$3:$D$532,4,), "0")</f>
        <v>7.6969018699999987</v>
      </c>
      <c r="F195" s="4">
        <f>IFERROR(VLOOKUP(D195,Capacity!$A$3:$F$532,6,), "0")</f>
        <v>0.17499999999999999</v>
      </c>
      <c r="G195">
        <v>16</v>
      </c>
      <c r="H195">
        <f>IFERROR(VLOOKUP(G195,Capacity!$A$3:$D$532,4,), "0")</f>
        <v>57.36076848710001</v>
      </c>
      <c r="I195" s="4">
        <f>IFERROR(VLOOKUP(G195,Capacity!$A$3:$F$532,6,), "0")</f>
        <v>0.26500000000000001</v>
      </c>
      <c r="K195" t="str">
        <f>IFERROR(VLOOKUP(J195,Capacity!$A$3:$D$532,4,), "0")</f>
        <v>0</v>
      </c>
      <c r="L195" s="4" t="str">
        <f>IFERROR(VLOOKUP(J195,Capacity!$A$3:$F$532,6,), "0")</f>
        <v>0</v>
      </c>
      <c r="M195" s="5">
        <f t="shared" si="27"/>
        <v>65.057670357100008</v>
      </c>
      <c r="N195" s="5">
        <f t="shared" ref="N195:N258" si="28">$F195+$I195+$L195</f>
        <v>0.44</v>
      </c>
      <c r="O195">
        <v>95</v>
      </c>
      <c r="P195">
        <f>IFERROR(VLOOKUP(O195,Capacity!$A$3:$D$532,4,), "0")</f>
        <v>30.886567646900005</v>
      </c>
      <c r="Q195" s="4">
        <f>IFERROR(VLOOKUP(O195,Capacity!$A$3:$F$532,6,), "0")</f>
        <v>0.26500000000000001</v>
      </c>
      <c r="R195" s="5">
        <f t="shared" ref="R195:R258" si="29">$P195</f>
        <v>30.886567646900005</v>
      </c>
      <c r="S195" s="5">
        <f t="shared" si="24"/>
        <v>0.26500000000000001</v>
      </c>
      <c r="U195">
        <v>55</v>
      </c>
      <c r="V195">
        <v>2</v>
      </c>
      <c r="W195">
        <v>2</v>
      </c>
      <c r="X195">
        <v>1</v>
      </c>
      <c r="AB195">
        <f t="shared" ref="AB195:AB258" si="30">($M195/$R195)</f>
        <v>2.1063418603468445</v>
      </c>
      <c r="AC195">
        <f t="shared" ref="AC195:AC258" si="31">($M195/$B195)</f>
        <v>3.0053151927437649</v>
      </c>
      <c r="AD195">
        <f t="shared" ref="AD195:AD258" si="32">($N195/$S195)</f>
        <v>1.6603773584905659</v>
      </c>
      <c r="AE195">
        <f t="shared" si="25"/>
        <v>2.5142857142857147</v>
      </c>
      <c r="AG195">
        <f t="shared" si="26"/>
        <v>1.2383892597382211</v>
      </c>
    </row>
    <row r="196" spans="1:33" x14ac:dyDescent="0.25">
      <c r="A196">
        <v>438</v>
      </c>
      <c r="B196">
        <f>IFERROR(VLOOKUP(A196,Capacity!$A$3:$D$532,4,), "0")</f>
        <v>124.40706696000001</v>
      </c>
      <c r="C196" s="4">
        <f>IFERROR(VLOOKUP(A196,Capacity!$A$3:$F$532,6,), "0")</f>
        <v>0.6</v>
      </c>
      <c r="E196" t="str">
        <f>IFERROR(VLOOKUP(D196,Capacity!$A$3:$D$532,4,), "0")</f>
        <v>0</v>
      </c>
      <c r="F196" s="4" t="str">
        <f>IFERROR(VLOOKUP(D196,Capacity!$A$3:$F$532,6,), "0")</f>
        <v>0</v>
      </c>
      <c r="H196" t="str">
        <f>IFERROR(VLOOKUP(G196,Capacity!$A$3:$D$532,4,), "0")</f>
        <v>0</v>
      </c>
      <c r="I196" s="4" t="str">
        <f>IFERROR(VLOOKUP(G196,Capacity!$A$3:$F$532,6,), "0")</f>
        <v>0</v>
      </c>
      <c r="K196" t="str">
        <f>IFERROR(VLOOKUP(J196,Capacity!$A$3:$D$532,4,), "0")</f>
        <v>0</v>
      </c>
      <c r="L196" s="4" t="str">
        <f>IFERROR(VLOOKUP(J196,Capacity!$A$3:$F$532,6,), "0")</f>
        <v>0</v>
      </c>
      <c r="M196" s="5">
        <f t="shared" si="27"/>
        <v>0</v>
      </c>
      <c r="N196" s="5">
        <f t="shared" si="28"/>
        <v>0</v>
      </c>
      <c r="O196">
        <v>123</v>
      </c>
      <c r="P196">
        <f>IFERROR(VLOOKUP(O196,Capacity!$A$3:$D$532,4,), "0")</f>
        <v>7.6969018699999987</v>
      </c>
      <c r="Q196" s="4">
        <f>IFERROR(VLOOKUP(O196,Capacity!$A$3:$F$532,6,), "0")</f>
        <v>0.17499999999999999</v>
      </c>
      <c r="R196" s="5">
        <f t="shared" si="29"/>
        <v>7.6969018699999987</v>
      </c>
      <c r="S196" s="5">
        <f t="shared" ref="S196:S259" si="33">$Q196</f>
        <v>0.17499999999999999</v>
      </c>
      <c r="U196">
        <v>438</v>
      </c>
      <c r="V196">
        <v>0</v>
      </c>
      <c r="W196">
        <v>0</v>
      </c>
      <c r="X196">
        <v>1</v>
      </c>
      <c r="AB196">
        <f t="shared" si="30"/>
        <v>0</v>
      </c>
      <c r="AC196">
        <f t="shared" si="31"/>
        <v>0</v>
      </c>
      <c r="AD196">
        <f t="shared" si="32"/>
        <v>0</v>
      </c>
      <c r="AE196">
        <f t="shared" ref="AE196:AE259" si="34">($N196/$C196)</f>
        <v>0</v>
      </c>
      <c r="AG196">
        <f t="shared" ref="AG196:AG259" si="35">$M196/($R196+$B196)</f>
        <v>0</v>
      </c>
    </row>
    <row r="197" spans="1:33" x14ac:dyDescent="0.25">
      <c r="A197">
        <v>98</v>
      </c>
      <c r="B197">
        <f>IFERROR(VLOOKUP(A197,Capacity!$A$3:$D$532,4,), "0")</f>
        <v>25.446900060000001</v>
      </c>
      <c r="C197" s="4">
        <f>IFERROR(VLOOKUP(A197,Capacity!$A$3:$F$532,6,), "0")</f>
        <v>0.3</v>
      </c>
      <c r="D197">
        <v>99</v>
      </c>
      <c r="E197">
        <f>IFERROR(VLOOKUP(D197,Capacity!$A$3:$D$532,4,), "0")</f>
        <v>29.688050070000003</v>
      </c>
      <c r="F197" s="4">
        <f>IFERROR(VLOOKUP(D197,Capacity!$A$3:$F$532,6,), "0")</f>
        <v>0.3</v>
      </c>
      <c r="G197">
        <v>97</v>
      </c>
      <c r="H197">
        <f>IFERROR(VLOOKUP(G197,Capacity!$A$3:$D$532,4,), "0")</f>
        <v>203.57520048000001</v>
      </c>
      <c r="I197" s="4">
        <f>IFERROR(VLOOKUP(G197,Capacity!$A$3:$F$532,6,), "0")</f>
        <v>0.9</v>
      </c>
      <c r="K197" t="str">
        <f>IFERROR(VLOOKUP(J197,Capacity!$A$3:$D$532,4,), "0")</f>
        <v>0</v>
      </c>
      <c r="L197" s="4" t="str">
        <f>IFERROR(VLOOKUP(J197,Capacity!$A$3:$F$532,6,), "0")</f>
        <v>0</v>
      </c>
      <c r="M197" s="5">
        <f t="shared" si="27"/>
        <v>233.26325055000001</v>
      </c>
      <c r="N197" s="5">
        <f t="shared" si="28"/>
        <v>1.2</v>
      </c>
      <c r="O197">
        <v>123</v>
      </c>
      <c r="P197">
        <f>IFERROR(VLOOKUP(O197,Capacity!$A$3:$D$532,4,), "0")</f>
        <v>7.6969018699999987</v>
      </c>
      <c r="Q197" s="4">
        <f>IFERROR(VLOOKUP(O197,Capacity!$A$3:$F$532,6,), "0")</f>
        <v>0.17499999999999999</v>
      </c>
      <c r="R197" s="5">
        <f t="shared" si="29"/>
        <v>7.6969018699999987</v>
      </c>
      <c r="S197" s="5">
        <f t="shared" si="33"/>
        <v>0.17499999999999999</v>
      </c>
      <c r="U197">
        <v>98</v>
      </c>
      <c r="V197">
        <v>3</v>
      </c>
      <c r="W197">
        <v>3</v>
      </c>
      <c r="X197">
        <v>1</v>
      </c>
      <c r="AB197">
        <f t="shared" si="30"/>
        <v>30.306122448979597</v>
      </c>
      <c r="AC197">
        <f t="shared" si="31"/>
        <v>9.1666666666666661</v>
      </c>
      <c r="AD197">
        <f t="shared" si="32"/>
        <v>6.8571428571428577</v>
      </c>
      <c r="AE197">
        <f t="shared" si="34"/>
        <v>4</v>
      </c>
      <c r="AG197">
        <f t="shared" si="35"/>
        <v>7.0379146919431275</v>
      </c>
    </row>
    <row r="198" spans="1:33" x14ac:dyDescent="0.25">
      <c r="A198">
        <v>361</v>
      </c>
      <c r="B198">
        <f>IFERROR(VLOOKUP(A198,Capacity!$A$3:$D$532,4,), "0")</f>
        <v>3.8484509349999994</v>
      </c>
      <c r="C198" s="4">
        <f>IFERROR(VLOOKUP(A198,Capacity!$A$3:$F$532,6,), "0")</f>
        <v>0.17499999999999999</v>
      </c>
      <c r="E198" t="str">
        <f>IFERROR(VLOOKUP(D198,Capacity!$A$3:$D$532,4,), "0")</f>
        <v>0</v>
      </c>
      <c r="F198" s="4" t="str">
        <f>IFERROR(VLOOKUP(D198,Capacity!$A$3:$F$532,6,), "0")</f>
        <v>0</v>
      </c>
      <c r="H198" t="str">
        <f>IFERROR(VLOOKUP(G198,Capacity!$A$3:$D$532,4,), "0")</f>
        <v>0</v>
      </c>
      <c r="I198" s="4" t="str">
        <f>IFERROR(VLOOKUP(G198,Capacity!$A$3:$F$532,6,), "0")</f>
        <v>0</v>
      </c>
      <c r="K198" t="str">
        <f>IFERROR(VLOOKUP(J198,Capacity!$A$3:$D$532,4,), "0")</f>
        <v>0</v>
      </c>
      <c r="L198" s="4" t="str">
        <f>IFERROR(VLOOKUP(J198,Capacity!$A$3:$F$532,6,), "0")</f>
        <v>0</v>
      </c>
      <c r="M198" s="5">
        <f t="shared" si="27"/>
        <v>0</v>
      </c>
      <c r="N198" s="5">
        <f t="shared" si="28"/>
        <v>0</v>
      </c>
      <c r="O198">
        <v>19</v>
      </c>
      <c r="P198">
        <f>IFERROR(VLOOKUP(O198,Capacity!$A$3:$D$532,4,), "0")</f>
        <v>57.36076848710001</v>
      </c>
      <c r="Q198" s="4">
        <f>IFERROR(VLOOKUP(O198,Capacity!$A$3:$F$532,6,), "0")</f>
        <v>0.26500000000000001</v>
      </c>
      <c r="R198" s="5">
        <f t="shared" si="29"/>
        <v>57.36076848710001</v>
      </c>
      <c r="S198" s="5">
        <f t="shared" si="33"/>
        <v>0.26500000000000001</v>
      </c>
      <c r="U198">
        <v>361</v>
      </c>
      <c r="V198">
        <v>0</v>
      </c>
      <c r="W198">
        <v>0</v>
      </c>
      <c r="X198">
        <v>1</v>
      </c>
      <c r="AB198">
        <f t="shared" si="30"/>
        <v>0</v>
      </c>
      <c r="AC198">
        <f t="shared" si="31"/>
        <v>0</v>
      </c>
      <c r="AD198">
        <f t="shared" si="32"/>
        <v>0</v>
      </c>
      <c r="AE198">
        <f t="shared" si="34"/>
        <v>0</v>
      </c>
      <c r="AG198">
        <f t="shared" si="35"/>
        <v>0</v>
      </c>
    </row>
    <row r="199" spans="1:33" x14ac:dyDescent="0.25">
      <c r="A199">
        <v>5</v>
      </c>
      <c r="B199">
        <f>IFERROR(VLOOKUP(A199,Capacity!$A$3:$D$532,4,), "0")</f>
        <v>39.711301260300004</v>
      </c>
      <c r="C199" s="4">
        <f>IFERROR(VLOOKUP(A199,Capacity!$A$3:$F$532,6,), "0")</f>
        <v>0.26500000000000001</v>
      </c>
      <c r="D199">
        <v>351</v>
      </c>
      <c r="E199">
        <f>IFERROR(VLOOKUP(D199,Capacity!$A$3:$D$532,4,), "0")</f>
        <v>7.2158455031249993</v>
      </c>
      <c r="F199" s="4">
        <f>IFERROR(VLOOKUP(D199,Capacity!$A$3:$F$532,6,), "0")</f>
        <v>0.17499999999999999</v>
      </c>
      <c r="G199">
        <v>243</v>
      </c>
      <c r="H199">
        <f>IFERROR(VLOOKUP(G199,Capacity!$A$3:$D$532,4,), "0")</f>
        <v>15.079644480000002</v>
      </c>
      <c r="I199" s="4">
        <f>IFERROR(VLOOKUP(G199,Capacity!$A$3:$F$532,6,), "0")</f>
        <v>0.2</v>
      </c>
      <c r="J199">
        <v>6</v>
      </c>
      <c r="K199">
        <f>IFERROR(VLOOKUP(J199,Capacity!$A$3:$D$532,4,), "0")</f>
        <v>16.546375525125004</v>
      </c>
      <c r="L199" s="4">
        <f>IFERROR(VLOOKUP(J199,Capacity!$A$3:$F$532,6,), "0")</f>
        <v>0.26500000000000001</v>
      </c>
      <c r="M199" s="5">
        <f t="shared" si="27"/>
        <v>38.841865508250009</v>
      </c>
      <c r="N199" s="5">
        <f t="shared" si="28"/>
        <v>0.64</v>
      </c>
      <c r="O199">
        <v>19</v>
      </c>
      <c r="P199">
        <f>IFERROR(VLOOKUP(O199,Capacity!$A$3:$D$532,4,), "0")</f>
        <v>57.36076848710001</v>
      </c>
      <c r="Q199" s="4">
        <f>IFERROR(VLOOKUP(O199,Capacity!$A$3:$F$532,6,), "0")</f>
        <v>0.26500000000000001</v>
      </c>
      <c r="R199" s="5">
        <f t="shared" si="29"/>
        <v>57.36076848710001</v>
      </c>
      <c r="S199" s="5">
        <f t="shared" si="33"/>
        <v>0.26500000000000001</v>
      </c>
      <c r="U199">
        <v>5</v>
      </c>
      <c r="V199">
        <v>3</v>
      </c>
      <c r="W199">
        <v>3</v>
      </c>
      <c r="X199">
        <v>1</v>
      </c>
      <c r="AB199">
        <f t="shared" si="30"/>
        <v>0.67715036832160369</v>
      </c>
      <c r="AC199">
        <f t="shared" si="31"/>
        <v>0.97810608757564987</v>
      </c>
      <c r="AD199">
        <f t="shared" si="32"/>
        <v>2.4150943396226414</v>
      </c>
      <c r="AE199">
        <f t="shared" si="34"/>
        <v>2.4150943396226414</v>
      </c>
      <c r="AG199">
        <f t="shared" si="35"/>
        <v>0.40013430855367493</v>
      </c>
    </row>
    <row r="200" spans="1:33" x14ac:dyDescent="0.25">
      <c r="A200">
        <v>244</v>
      </c>
      <c r="B200">
        <f>IFERROR(VLOOKUP(A200,Capacity!$A$3:$D$532,4,), "0")</f>
        <v>11.545352804999998</v>
      </c>
      <c r="C200" s="4">
        <f>IFERROR(VLOOKUP(A200,Capacity!$A$3:$F$532,6,), "0")</f>
        <v>0.17499999999999999</v>
      </c>
      <c r="E200" t="str">
        <f>IFERROR(VLOOKUP(D200,Capacity!$A$3:$D$532,4,), "0")</f>
        <v>0</v>
      </c>
      <c r="F200" s="4" t="str">
        <f>IFERROR(VLOOKUP(D200,Capacity!$A$3:$F$532,6,), "0")</f>
        <v>0</v>
      </c>
      <c r="H200" t="str">
        <f>IFERROR(VLOOKUP(G200,Capacity!$A$3:$D$532,4,), "0")</f>
        <v>0</v>
      </c>
      <c r="I200" s="4" t="str">
        <f>IFERROR(VLOOKUP(G200,Capacity!$A$3:$F$532,6,), "0")</f>
        <v>0</v>
      </c>
      <c r="K200" t="str">
        <f>IFERROR(VLOOKUP(J200,Capacity!$A$3:$D$532,4,), "0")</f>
        <v>0</v>
      </c>
      <c r="L200" s="4" t="str">
        <f>IFERROR(VLOOKUP(J200,Capacity!$A$3:$F$532,6,), "0")</f>
        <v>0</v>
      </c>
      <c r="M200" s="5">
        <f t="shared" si="27"/>
        <v>0</v>
      </c>
      <c r="N200" s="5">
        <f t="shared" si="28"/>
        <v>0</v>
      </c>
      <c r="O200">
        <v>4</v>
      </c>
      <c r="P200">
        <f>IFERROR(VLOOKUP(O200,Capacity!$A$3:$D$532,4,), "0")</f>
        <v>7.2158455031249993</v>
      </c>
      <c r="Q200" s="4">
        <f>IFERROR(VLOOKUP(O200,Capacity!$A$3:$F$532,6,), "0")</f>
        <v>0.17499999999999999</v>
      </c>
      <c r="R200" s="5">
        <f t="shared" si="29"/>
        <v>7.2158455031249993</v>
      </c>
      <c r="S200" s="5">
        <f t="shared" si="33"/>
        <v>0.17499999999999999</v>
      </c>
      <c r="U200">
        <v>244</v>
      </c>
      <c r="V200">
        <v>0</v>
      </c>
      <c r="W200">
        <v>0</v>
      </c>
      <c r="X200">
        <v>1</v>
      </c>
      <c r="AB200">
        <f t="shared" si="30"/>
        <v>0</v>
      </c>
      <c r="AC200">
        <f t="shared" si="31"/>
        <v>0</v>
      </c>
      <c r="AD200">
        <f t="shared" si="32"/>
        <v>0</v>
      </c>
      <c r="AE200">
        <f t="shared" si="34"/>
        <v>0</v>
      </c>
      <c r="AG200">
        <f t="shared" si="35"/>
        <v>0</v>
      </c>
    </row>
    <row r="201" spans="1:33" x14ac:dyDescent="0.25">
      <c r="A201">
        <v>343</v>
      </c>
      <c r="B201">
        <f>IFERROR(VLOOKUP(A201,Capacity!$A$3:$D$532,4,), "0")</f>
        <v>45.238933439999997</v>
      </c>
      <c r="C201" s="4">
        <f>IFERROR(VLOOKUP(A201,Capacity!$A$3:$F$532,6,), "0")</f>
        <v>0.6</v>
      </c>
      <c r="D201">
        <v>342</v>
      </c>
      <c r="E201">
        <f>IFERROR(VLOOKUP(D201,Capacity!$A$3:$D$532,4,), "0")</f>
        <v>20.106192640000003</v>
      </c>
      <c r="F201" s="4">
        <f>IFERROR(VLOOKUP(D201,Capacity!$A$3:$F$532,6,), "0")</f>
        <v>0.4</v>
      </c>
      <c r="G201">
        <v>320</v>
      </c>
      <c r="H201">
        <f>IFERROR(VLOOKUP(G201,Capacity!$A$3:$D$532,4,), "0")</f>
        <v>82.466805750000006</v>
      </c>
      <c r="I201" s="4">
        <f>IFERROR(VLOOKUP(G201,Capacity!$A$3:$F$532,6,), "0")</f>
        <v>0.5</v>
      </c>
      <c r="K201" t="str">
        <f>IFERROR(VLOOKUP(J201,Capacity!$A$3:$D$532,4,), "0")</f>
        <v>0</v>
      </c>
      <c r="L201" s="4" t="str">
        <f>IFERROR(VLOOKUP(J201,Capacity!$A$3:$F$532,6,), "0")</f>
        <v>0</v>
      </c>
      <c r="M201" s="5">
        <f t="shared" si="27"/>
        <v>102.57299839000001</v>
      </c>
      <c r="N201" s="5">
        <f t="shared" si="28"/>
        <v>0.9</v>
      </c>
      <c r="O201">
        <v>28</v>
      </c>
      <c r="P201">
        <f>IFERROR(VLOOKUP(O201,Capacity!$A$3:$D$532,4,), "0")</f>
        <v>90.477866879999993</v>
      </c>
      <c r="Q201" s="4">
        <f>IFERROR(VLOOKUP(O201,Capacity!$A$3:$F$532,6,), "0")</f>
        <v>0.6</v>
      </c>
      <c r="R201" s="5">
        <f t="shared" si="29"/>
        <v>90.477866879999993</v>
      </c>
      <c r="S201" s="5">
        <f t="shared" si="33"/>
        <v>0.6</v>
      </c>
      <c r="U201">
        <v>343</v>
      </c>
      <c r="V201">
        <v>2</v>
      </c>
      <c r="W201">
        <v>2</v>
      </c>
      <c r="X201">
        <v>1</v>
      </c>
      <c r="AB201">
        <f t="shared" si="30"/>
        <v>1.1336805555555558</v>
      </c>
      <c r="AC201">
        <f t="shared" si="31"/>
        <v>2.2673611111111116</v>
      </c>
      <c r="AD201">
        <f t="shared" si="32"/>
        <v>1.5</v>
      </c>
      <c r="AE201">
        <f t="shared" si="34"/>
        <v>1.5</v>
      </c>
      <c r="AG201">
        <f t="shared" si="35"/>
        <v>0.75578703703703709</v>
      </c>
    </row>
    <row r="202" spans="1:33" x14ac:dyDescent="0.25">
      <c r="A202">
        <v>319</v>
      </c>
      <c r="B202">
        <f>IFERROR(VLOOKUP(A202,Capacity!$A$3:$D$532,4,), "0")</f>
        <v>132.53593781250001</v>
      </c>
      <c r="C202" s="4">
        <f>IFERROR(VLOOKUP(A202,Capacity!$A$3:$F$532,6,), "0")</f>
        <v>0.75</v>
      </c>
      <c r="D202">
        <v>505</v>
      </c>
      <c r="E202">
        <f>IFERROR(VLOOKUP(D202,Capacity!$A$3:$D$532,4,), "0")</f>
        <v>14.431691006249999</v>
      </c>
      <c r="F202" s="4">
        <f>IFERROR(VLOOKUP(D202,Capacity!$A$3:$F$532,6,), "0")</f>
        <v>0.17499999999999999</v>
      </c>
      <c r="G202">
        <v>318</v>
      </c>
      <c r="H202">
        <f>IFERROR(VLOOKUP(G202,Capacity!$A$3:$D$532,4,), "0")</f>
        <v>132.53593781250001</v>
      </c>
      <c r="I202" s="4">
        <f>IFERROR(VLOOKUP(G202,Capacity!$A$3:$F$532,6,), "0")</f>
        <v>0.75</v>
      </c>
      <c r="J202">
        <v>253</v>
      </c>
      <c r="K202">
        <f>IFERROR(VLOOKUP(J202,Capacity!$A$3:$D$532,4,), "0")</f>
        <v>15.079644480000002</v>
      </c>
      <c r="L202" s="4">
        <f>IFERROR(VLOOKUP(J202,Capacity!$A$3:$F$532,6,), "0")</f>
        <v>0.2</v>
      </c>
      <c r="M202" s="5">
        <f t="shared" si="27"/>
        <v>162.04727329875001</v>
      </c>
      <c r="N202" s="5">
        <f t="shared" si="28"/>
        <v>1.125</v>
      </c>
      <c r="O202">
        <v>344</v>
      </c>
      <c r="P202">
        <f>IFERROR(VLOOKUP(O202,Capacity!$A$3:$D$532,4,), "0")</f>
        <v>441.78645937499999</v>
      </c>
      <c r="Q202" s="4">
        <f>IFERROR(VLOOKUP(O202,Capacity!$A$3:$F$532,6,), "0")</f>
        <v>0.75</v>
      </c>
      <c r="R202" s="5">
        <f t="shared" si="29"/>
        <v>441.78645937499999</v>
      </c>
      <c r="S202" s="5">
        <f t="shared" si="33"/>
        <v>0.75</v>
      </c>
      <c r="U202">
        <v>319</v>
      </c>
      <c r="V202">
        <v>3</v>
      </c>
      <c r="W202">
        <v>3</v>
      </c>
      <c r="X202">
        <v>1</v>
      </c>
      <c r="AB202">
        <f t="shared" si="30"/>
        <v>0.36680000000000001</v>
      </c>
      <c r="AC202">
        <f t="shared" si="31"/>
        <v>1.2226666666666668</v>
      </c>
      <c r="AD202">
        <f t="shared" si="32"/>
        <v>1.5</v>
      </c>
      <c r="AE202">
        <f t="shared" si="34"/>
        <v>1.5</v>
      </c>
      <c r="AG202">
        <f t="shared" si="35"/>
        <v>0.2821538461538462</v>
      </c>
    </row>
    <row r="203" spans="1:33" x14ac:dyDescent="0.25">
      <c r="A203">
        <v>252</v>
      </c>
      <c r="B203">
        <f>IFERROR(VLOOKUP(A203,Capacity!$A$3:$D$532,4,), "0")</f>
        <v>15.079644480000002</v>
      </c>
      <c r="C203" s="4">
        <f>IFERROR(VLOOKUP(A203,Capacity!$A$3:$F$532,6,), "0")</f>
        <v>0.2</v>
      </c>
      <c r="E203" t="str">
        <f>IFERROR(VLOOKUP(D203,Capacity!$A$3:$D$532,4,), "0")</f>
        <v>0</v>
      </c>
      <c r="F203" s="4" t="str">
        <f>IFERROR(VLOOKUP(D203,Capacity!$A$3:$F$532,6,), "0")</f>
        <v>0</v>
      </c>
      <c r="H203" t="str">
        <f>IFERROR(VLOOKUP(G203,Capacity!$A$3:$D$532,4,), "0")</f>
        <v>0</v>
      </c>
      <c r="I203" s="4" t="str">
        <f>IFERROR(VLOOKUP(G203,Capacity!$A$3:$F$532,6,), "0")</f>
        <v>0</v>
      </c>
      <c r="K203" t="str">
        <f>IFERROR(VLOOKUP(J203,Capacity!$A$3:$D$532,4,), "0")</f>
        <v>0</v>
      </c>
      <c r="L203" s="4" t="str">
        <f>IFERROR(VLOOKUP(J203,Capacity!$A$3:$F$532,6,), "0")</f>
        <v>0</v>
      </c>
      <c r="M203" s="5">
        <f t="shared" si="27"/>
        <v>0</v>
      </c>
      <c r="N203" s="5">
        <f t="shared" si="28"/>
        <v>0</v>
      </c>
      <c r="O203">
        <v>344</v>
      </c>
      <c r="P203">
        <f>IFERROR(VLOOKUP(O203,Capacity!$A$3:$D$532,4,), "0")</f>
        <v>441.78645937499999</v>
      </c>
      <c r="Q203" s="4">
        <f>IFERROR(VLOOKUP(O203,Capacity!$A$3:$F$532,6,), "0")</f>
        <v>0.75</v>
      </c>
      <c r="R203" s="5">
        <f t="shared" si="29"/>
        <v>441.78645937499999</v>
      </c>
      <c r="S203" s="5">
        <f t="shared" si="33"/>
        <v>0.75</v>
      </c>
      <c r="U203">
        <v>252</v>
      </c>
      <c r="V203">
        <v>1</v>
      </c>
      <c r="W203">
        <v>1</v>
      </c>
      <c r="X203">
        <v>1</v>
      </c>
      <c r="AB203">
        <f t="shared" si="30"/>
        <v>0</v>
      </c>
      <c r="AC203">
        <f t="shared" si="31"/>
        <v>0</v>
      </c>
      <c r="AD203">
        <f t="shared" si="32"/>
        <v>0</v>
      </c>
      <c r="AE203">
        <f t="shared" si="34"/>
        <v>0</v>
      </c>
      <c r="AG203">
        <f t="shared" si="35"/>
        <v>0</v>
      </c>
    </row>
    <row r="204" spans="1:33" x14ac:dyDescent="0.25">
      <c r="A204">
        <v>528</v>
      </c>
      <c r="B204">
        <f>IFERROR(VLOOKUP(A204,Capacity!$A$3:$D$532,4,), "0")</f>
        <v>7.2158455031249993</v>
      </c>
      <c r="C204" s="4">
        <f>IFERROR(VLOOKUP(A204,Capacity!$A$3:$F$532,6,), "0")</f>
        <v>0.17499999999999999</v>
      </c>
      <c r="E204" t="str">
        <f>IFERROR(VLOOKUP(D204,Capacity!$A$3:$D$532,4,), "0")</f>
        <v>0</v>
      </c>
      <c r="F204" s="4" t="str">
        <f>IFERROR(VLOOKUP(D204,Capacity!$A$3:$F$532,6,), "0")</f>
        <v>0</v>
      </c>
      <c r="H204" t="str">
        <f>IFERROR(VLOOKUP(G204,Capacity!$A$3:$D$532,4,), "0")</f>
        <v>0</v>
      </c>
      <c r="I204" s="4" t="str">
        <f>IFERROR(VLOOKUP(G204,Capacity!$A$3:$F$532,6,), "0")</f>
        <v>0</v>
      </c>
      <c r="K204" t="str">
        <f>IFERROR(VLOOKUP(J204,Capacity!$A$3:$D$532,4,), "0")</f>
        <v>0</v>
      </c>
      <c r="L204" s="4" t="str">
        <f>IFERROR(VLOOKUP(J204,Capacity!$A$3:$F$532,6,), "0")</f>
        <v>0</v>
      </c>
      <c r="M204" s="5">
        <f t="shared" si="27"/>
        <v>0</v>
      </c>
      <c r="N204" s="5">
        <f t="shared" si="28"/>
        <v>0</v>
      </c>
      <c r="O204">
        <v>345</v>
      </c>
      <c r="P204">
        <f>IFERROR(VLOOKUP(O204,Capacity!$A$3:$D$532,4,), "0")</f>
        <v>37.699111200000011</v>
      </c>
      <c r="Q204" s="4">
        <f>IFERROR(VLOOKUP(O204,Capacity!$A$3:$F$532,6,), "0")</f>
        <v>0.4</v>
      </c>
      <c r="R204" s="5">
        <f t="shared" si="29"/>
        <v>37.699111200000011</v>
      </c>
      <c r="S204" s="5">
        <f t="shared" si="33"/>
        <v>0.4</v>
      </c>
      <c r="U204">
        <v>528</v>
      </c>
      <c r="V204">
        <v>0</v>
      </c>
      <c r="W204">
        <v>0</v>
      </c>
      <c r="X204">
        <v>1</v>
      </c>
      <c r="AB204">
        <f t="shared" si="30"/>
        <v>0</v>
      </c>
      <c r="AC204">
        <f t="shared" si="31"/>
        <v>0</v>
      </c>
      <c r="AD204">
        <f t="shared" si="32"/>
        <v>0</v>
      </c>
      <c r="AE204">
        <f t="shared" si="34"/>
        <v>0</v>
      </c>
      <c r="AG204">
        <f t="shared" si="35"/>
        <v>0</v>
      </c>
    </row>
    <row r="205" spans="1:33" x14ac:dyDescent="0.25">
      <c r="A205">
        <v>251</v>
      </c>
      <c r="B205">
        <f>IFERROR(VLOOKUP(A205,Capacity!$A$3:$D$532,4,), "0")</f>
        <v>15.079644480000002</v>
      </c>
      <c r="C205" s="4">
        <f>IFERROR(VLOOKUP(A205,Capacity!$A$3:$F$532,6,), "0")</f>
        <v>0.2</v>
      </c>
      <c r="E205" t="str">
        <f>IFERROR(VLOOKUP(D205,Capacity!$A$3:$D$532,4,), "0")</f>
        <v>0</v>
      </c>
      <c r="F205" s="4" t="str">
        <f>IFERROR(VLOOKUP(D205,Capacity!$A$3:$F$532,6,), "0")</f>
        <v>0</v>
      </c>
      <c r="H205" t="str">
        <f>IFERROR(VLOOKUP(G205,Capacity!$A$3:$D$532,4,), "0")</f>
        <v>0</v>
      </c>
      <c r="I205" s="4" t="str">
        <f>IFERROR(VLOOKUP(G205,Capacity!$A$3:$F$532,6,), "0")</f>
        <v>0</v>
      </c>
      <c r="K205" t="str">
        <f>IFERROR(VLOOKUP(J205,Capacity!$A$3:$D$532,4,), "0")</f>
        <v>0</v>
      </c>
      <c r="L205" s="4" t="str">
        <f>IFERROR(VLOOKUP(J205,Capacity!$A$3:$F$532,6,), "0")</f>
        <v>0</v>
      </c>
      <c r="M205" s="5">
        <f t="shared" si="27"/>
        <v>0</v>
      </c>
      <c r="N205" s="5">
        <f t="shared" si="28"/>
        <v>0</v>
      </c>
      <c r="O205">
        <v>345</v>
      </c>
      <c r="P205">
        <f>IFERROR(VLOOKUP(O205,Capacity!$A$3:$D$532,4,), "0")</f>
        <v>37.699111200000011</v>
      </c>
      <c r="Q205" s="4">
        <f>IFERROR(VLOOKUP(O205,Capacity!$A$3:$F$532,6,), "0")</f>
        <v>0.4</v>
      </c>
      <c r="R205" s="5">
        <f t="shared" si="29"/>
        <v>37.699111200000011</v>
      </c>
      <c r="S205" s="5">
        <f t="shared" si="33"/>
        <v>0.4</v>
      </c>
      <c r="U205">
        <v>251</v>
      </c>
      <c r="V205">
        <v>0</v>
      </c>
      <c r="W205">
        <v>0</v>
      </c>
      <c r="X205">
        <v>1</v>
      </c>
      <c r="AB205">
        <f t="shared" si="30"/>
        <v>0</v>
      </c>
      <c r="AC205">
        <f t="shared" si="31"/>
        <v>0</v>
      </c>
      <c r="AD205">
        <f t="shared" si="32"/>
        <v>0</v>
      </c>
      <c r="AE205">
        <f t="shared" si="34"/>
        <v>0</v>
      </c>
      <c r="AG205">
        <f t="shared" si="35"/>
        <v>0</v>
      </c>
    </row>
    <row r="206" spans="1:33" x14ac:dyDescent="0.25">
      <c r="A206">
        <v>527</v>
      </c>
      <c r="B206">
        <f>IFERROR(VLOOKUP(A206,Capacity!$A$3:$D$532,4,), "0")</f>
        <v>23.090705609999997</v>
      </c>
      <c r="C206" s="4">
        <f>IFERROR(VLOOKUP(A206,Capacity!$A$3:$F$532,6,), "0")</f>
        <v>0.17499999999999999</v>
      </c>
      <c r="E206" t="str">
        <f>IFERROR(VLOOKUP(D206,Capacity!$A$3:$D$532,4,), "0")</f>
        <v>0</v>
      </c>
      <c r="F206" s="4" t="str">
        <f>IFERROR(VLOOKUP(D206,Capacity!$A$3:$F$532,6,), "0")</f>
        <v>0</v>
      </c>
      <c r="H206" t="str">
        <f>IFERROR(VLOOKUP(G206,Capacity!$A$3:$D$532,4,), "0")</f>
        <v>0</v>
      </c>
      <c r="I206" s="4" t="str">
        <f>IFERROR(VLOOKUP(G206,Capacity!$A$3:$F$532,6,), "0")</f>
        <v>0</v>
      </c>
      <c r="K206" t="str">
        <f>IFERROR(VLOOKUP(J206,Capacity!$A$3:$D$532,4,), "0")</f>
        <v>0</v>
      </c>
      <c r="L206" s="4" t="str">
        <f>IFERROR(VLOOKUP(J206,Capacity!$A$3:$F$532,6,), "0")</f>
        <v>0</v>
      </c>
      <c r="M206" s="5">
        <f t="shared" si="27"/>
        <v>0</v>
      </c>
      <c r="N206" s="5">
        <f t="shared" si="28"/>
        <v>0</v>
      </c>
      <c r="O206">
        <v>42</v>
      </c>
      <c r="P206">
        <f>IFERROR(VLOOKUP(O206,Capacity!$A$3:$D$532,4,), "0")</f>
        <v>40.212385280000007</v>
      </c>
      <c r="Q206" s="4">
        <f>IFERROR(VLOOKUP(O206,Capacity!$A$3:$F$532,6,), "0")</f>
        <v>0.4</v>
      </c>
      <c r="R206" s="5">
        <f t="shared" si="29"/>
        <v>40.212385280000007</v>
      </c>
      <c r="S206" s="5">
        <f t="shared" si="33"/>
        <v>0.4</v>
      </c>
      <c r="U206">
        <v>527</v>
      </c>
      <c r="V206">
        <v>0</v>
      </c>
      <c r="W206">
        <v>0</v>
      </c>
      <c r="X206">
        <v>1</v>
      </c>
      <c r="AB206">
        <f t="shared" si="30"/>
        <v>0</v>
      </c>
      <c r="AC206">
        <f t="shared" si="31"/>
        <v>0</v>
      </c>
      <c r="AD206">
        <f t="shared" si="32"/>
        <v>0</v>
      </c>
      <c r="AE206">
        <f t="shared" si="34"/>
        <v>0</v>
      </c>
      <c r="AG206">
        <f t="shared" si="35"/>
        <v>0</v>
      </c>
    </row>
    <row r="207" spans="1:33" x14ac:dyDescent="0.25">
      <c r="A207">
        <v>409</v>
      </c>
      <c r="B207">
        <f>IFERROR(VLOOKUP(A207,Capacity!$A$3:$D$532,4,), "0")</f>
        <v>21.647536509374998</v>
      </c>
      <c r="C207" s="4">
        <f>IFERROR(VLOOKUP(A207,Capacity!$A$3:$F$532,6,), "0")</f>
        <v>0.17499999999999999</v>
      </c>
      <c r="E207" t="str">
        <f>IFERROR(VLOOKUP(D207,Capacity!$A$3:$D$532,4,), "0")</f>
        <v>0</v>
      </c>
      <c r="F207" s="4" t="str">
        <f>IFERROR(VLOOKUP(D207,Capacity!$A$3:$F$532,6,), "0")</f>
        <v>0</v>
      </c>
      <c r="H207" t="str">
        <f>IFERROR(VLOOKUP(G207,Capacity!$A$3:$D$532,4,), "0")</f>
        <v>0</v>
      </c>
      <c r="I207" s="4" t="str">
        <f>IFERROR(VLOOKUP(G207,Capacity!$A$3:$F$532,6,), "0")</f>
        <v>0</v>
      </c>
      <c r="K207" t="str">
        <f>IFERROR(VLOOKUP(J207,Capacity!$A$3:$D$532,4,), "0")</f>
        <v>0</v>
      </c>
      <c r="L207" s="4" t="str">
        <f>IFERROR(VLOOKUP(J207,Capacity!$A$3:$F$532,6,), "0")</f>
        <v>0</v>
      </c>
      <c r="M207" s="5">
        <f t="shared" si="27"/>
        <v>0</v>
      </c>
      <c r="N207" s="5">
        <f t="shared" si="28"/>
        <v>0</v>
      </c>
      <c r="O207">
        <v>42</v>
      </c>
      <c r="P207">
        <f>IFERROR(VLOOKUP(O207,Capacity!$A$3:$D$532,4,), "0")</f>
        <v>40.212385280000007</v>
      </c>
      <c r="Q207" s="4">
        <f>IFERROR(VLOOKUP(O207,Capacity!$A$3:$F$532,6,), "0")</f>
        <v>0.4</v>
      </c>
      <c r="R207" s="5">
        <f t="shared" si="29"/>
        <v>40.212385280000007</v>
      </c>
      <c r="S207" s="5">
        <f t="shared" si="33"/>
        <v>0.4</v>
      </c>
      <c r="U207">
        <v>409</v>
      </c>
      <c r="V207">
        <v>0</v>
      </c>
      <c r="W207">
        <v>0</v>
      </c>
      <c r="X207">
        <v>1</v>
      </c>
      <c r="AB207">
        <f t="shared" si="30"/>
        <v>0</v>
      </c>
      <c r="AC207">
        <f t="shared" si="31"/>
        <v>0</v>
      </c>
      <c r="AD207">
        <f t="shared" si="32"/>
        <v>0</v>
      </c>
      <c r="AE207">
        <f t="shared" si="34"/>
        <v>0</v>
      </c>
      <c r="AG207">
        <f t="shared" si="35"/>
        <v>0</v>
      </c>
    </row>
    <row r="208" spans="1:33" x14ac:dyDescent="0.25">
      <c r="A208">
        <v>41</v>
      </c>
      <c r="B208">
        <f>IFERROR(VLOOKUP(A208,Capacity!$A$3:$D$532,4,), "0")</f>
        <v>40.212385280000007</v>
      </c>
      <c r="C208" s="4">
        <f>IFERROR(VLOOKUP(A208,Capacity!$A$3:$F$532,6,), "0")</f>
        <v>0.4</v>
      </c>
      <c r="D208">
        <v>526</v>
      </c>
      <c r="E208">
        <f>IFERROR(VLOOKUP(D208,Capacity!$A$3:$D$532,4,), "0")</f>
        <v>22.128592876249996</v>
      </c>
      <c r="F208" s="4">
        <f>IFERROR(VLOOKUP(D208,Capacity!$A$3:$F$532,6,), "0")</f>
        <v>0.17499999999999999</v>
      </c>
      <c r="G208">
        <v>407</v>
      </c>
      <c r="H208">
        <f>IFERROR(VLOOKUP(G208,Capacity!$A$3:$D$532,4,), "0")</f>
        <v>21.647536509374998</v>
      </c>
      <c r="I208" s="4">
        <f>IFERROR(VLOOKUP(G208,Capacity!$A$3:$F$532,6,), "0")</f>
        <v>0.17499999999999999</v>
      </c>
      <c r="J208">
        <v>40</v>
      </c>
      <c r="K208">
        <f>IFERROR(VLOOKUP(J208,Capacity!$A$3:$D$532,4,), "0")</f>
        <v>40.212385280000007</v>
      </c>
      <c r="L208" s="4">
        <f>IFERROR(VLOOKUP(J208,Capacity!$A$3:$F$532,6,), "0")</f>
        <v>0.4</v>
      </c>
      <c r="M208" s="5">
        <f t="shared" si="27"/>
        <v>83.988514665625004</v>
      </c>
      <c r="N208" s="5">
        <f t="shared" si="28"/>
        <v>0.75</v>
      </c>
      <c r="O208">
        <v>42</v>
      </c>
      <c r="P208">
        <f>IFERROR(VLOOKUP(O208,Capacity!$A$3:$D$532,4,), "0")</f>
        <v>40.212385280000007</v>
      </c>
      <c r="Q208" s="4">
        <f>IFERROR(VLOOKUP(O208,Capacity!$A$3:$F$532,6,), "0")</f>
        <v>0.4</v>
      </c>
      <c r="R208" s="5">
        <f t="shared" si="29"/>
        <v>40.212385280000007</v>
      </c>
      <c r="S208" s="5">
        <f t="shared" si="33"/>
        <v>0.4</v>
      </c>
      <c r="U208">
        <v>41</v>
      </c>
      <c r="V208">
        <v>3</v>
      </c>
      <c r="W208">
        <v>3</v>
      </c>
      <c r="X208">
        <v>1</v>
      </c>
      <c r="AB208">
        <f t="shared" si="30"/>
        <v>2.0886230468749996</v>
      </c>
      <c r="AC208">
        <f t="shared" si="31"/>
        <v>2.0886230468749996</v>
      </c>
      <c r="AD208">
        <f t="shared" si="32"/>
        <v>1.875</v>
      </c>
      <c r="AE208">
        <f t="shared" si="34"/>
        <v>1.875</v>
      </c>
      <c r="AG208">
        <f t="shared" si="35"/>
        <v>1.0443115234374998</v>
      </c>
    </row>
    <row r="209" spans="1:33" x14ac:dyDescent="0.25">
      <c r="A209">
        <v>80</v>
      </c>
      <c r="B209">
        <f>IFERROR(VLOOKUP(A209,Capacity!$A$3:$D$532,4,), "0")</f>
        <v>90.477866879999993</v>
      </c>
      <c r="C209" s="4">
        <f>IFERROR(VLOOKUP(A209,Capacity!$A$3:$F$532,6,), "0")</f>
        <v>0.6</v>
      </c>
      <c r="D209">
        <v>78</v>
      </c>
      <c r="E209">
        <f>IFERROR(VLOOKUP(D209,Capacity!$A$3:$D$532,4,), "0")</f>
        <v>90.477866879999993</v>
      </c>
      <c r="F209" s="4">
        <f>IFERROR(VLOOKUP(D209,Capacity!$A$3:$F$532,6,), "0")</f>
        <v>0.6</v>
      </c>
      <c r="H209" t="str">
        <f>IFERROR(VLOOKUP(G209,Capacity!$A$3:$D$532,4,), "0")</f>
        <v>0</v>
      </c>
      <c r="I209" s="4" t="str">
        <f>IFERROR(VLOOKUP(G209,Capacity!$A$3:$F$532,6,), "0")</f>
        <v>0</v>
      </c>
      <c r="K209" t="str">
        <f>IFERROR(VLOOKUP(J209,Capacity!$A$3:$D$532,4,), "0")</f>
        <v>0</v>
      </c>
      <c r="L209" s="4" t="str">
        <f>IFERROR(VLOOKUP(J209,Capacity!$A$3:$F$532,6,), "0")</f>
        <v>0</v>
      </c>
      <c r="M209" s="5">
        <f t="shared" si="27"/>
        <v>90.477866879999993</v>
      </c>
      <c r="N209" s="5">
        <f t="shared" si="28"/>
        <v>0.6</v>
      </c>
      <c r="O209">
        <v>81</v>
      </c>
      <c r="P209">
        <f>IFERROR(VLOOKUP(O209,Capacity!$A$3:$D$532,4,), "0")</f>
        <v>90.477866879999993</v>
      </c>
      <c r="Q209" s="4">
        <f>IFERROR(VLOOKUP(O209,Capacity!$A$3:$F$532,6,), "0")</f>
        <v>0.6</v>
      </c>
      <c r="R209" s="5">
        <f t="shared" si="29"/>
        <v>90.477866879999993</v>
      </c>
      <c r="S209" s="5">
        <f t="shared" si="33"/>
        <v>0.6</v>
      </c>
      <c r="U209">
        <v>80</v>
      </c>
      <c r="V209">
        <v>1</v>
      </c>
      <c r="W209">
        <v>1</v>
      </c>
      <c r="X209">
        <v>1</v>
      </c>
      <c r="AB209">
        <f t="shared" si="30"/>
        <v>1</v>
      </c>
      <c r="AC209">
        <f t="shared" si="31"/>
        <v>1</v>
      </c>
      <c r="AD209">
        <f t="shared" si="32"/>
        <v>1</v>
      </c>
      <c r="AE209">
        <f t="shared" si="34"/>
        <v>1</v>
      </c>
      <c r="AG209">
        <f t="shared" si="35"/>
        <v>0.5</v>
      </c>
    </row>
    <row r="210" spans="1:33" x14ac:dyDescent="0.25">
      <c r="A210">
        <v>406</v>
      </c>
      <c r="B210">
        <f>IFERROR(VLOOKUP(A210,Capacity!$A$3:$D$532,4,), "0")</f>
        <v>21.166480142499999</v>
      </c>
      <c r="C210" s="4">
        <f>IFERROR(VLOOKUP(A210,Capacity!$A$3:$F$532,6,), "0")</f>
        <v>0.17499999999999999</v>
      </c>
      <c r="E210" t="str">
        <f>IFERROR(VLOOKUP(D210,Capacity!$A$3:$D$532,4,), "0")</f>
        <v>0</v>
      </c>
      <c r="F210" s="4" t="str">
        <f>IFERROR(VLOOKUP(D210,Capacity!$A$3:$F$532,6,), "0")</f>
        <v>0</v>
      </c>
      <c r="H210" t="str">
        <f>IFERROR(VLOOKUP(G210,Capacity!$A$3:$D$532,4,), "0")</f>
        <v>0</v>
      </c>
      <c r="I210" s="4" t="str">
        <f>IFERROR(VLOOKUP(G210,Capacity!$A$3:$F$532,6,), "0")</f>
        <v>0</v>
      </c>
      <c r="K210" t="str">
        <f>IFERROR(VLOOKUP(J210,Capacity!$A$3:$D$532,4,), "0")</f>
        <v>0</v>
      </c>
      <c r="L210" s="4" t="str">
        <f>IFERROR(VLOOKUP(J210,Capacity!$A$3:$F$532,6,), "0")</f>
        <v>0</v>
      </c>
      <c r="M210" s="5">
        <f t="shared" si="27"/>
        <v>0</v>
      </c>
      <c r="N210" s="5">
        <f t="shared" si="28"/>
        <v>0</v>
      </c>
      <c r="O210">
        <v>189</v>
      </c>
      <c r="P210">
        <f>IFERROR(VLOOKUP(O210,Capacity!$A$3:$D$532,4,), "0")</f>
        <v>22.619466719999998</v>
      </c>
      <c r="Q210" s="4">
        <f>IFERROR(VLOOKUP(O210,Capacity!$A$3:$F$532,6,), "0")</f>
        <v>0.3</v>
      </c>
      <c r="R210" s="5">
        <f t="shared" si="29"/>
        <v>22.619466719999998</v>
      </c>
      <c r="S210" s="5">
        <f t="shared" si="33"/>
        <v>0.3</v>
      </c>
      <c r="U210">
        <v>406</v>
      </c>
      <c r="V210">
        <v>0</v>
      </c>
      <c r="W210">
        <v>0</v>
      </c>
      <c r="X210">
        <v>1</v>
      </c>
      <c r="AB210">
        <f t="shared" si="30"/>
        <v>0</v>
      </c>
      <c r="AC210">
        <f t="shared" si="31"/>
        <v>0</v>
      </c>
      <c r="AD210">
        <f t="shared" si="32"/>
        <v>0</v>
      </c>
      <c r="AE210">
        <f t="shared" si="34"/>
        <v>0</v>
      </c>
      <c r="AG210">
        <f t="shared" si="35"/>
        <v>0</v>
      </c>
    </row>
    <row r="211" spans="1:33" x14ac:dyDescent="0.25">
      <c r="A211">
        <v>191</v>
      </c>
      <c r="B211">
        <f>IFERROR(VLOOKUP(A211,Capacity!$A$3:$D$532,4,), "0")</f>
        <v>22.619466719999998</v>
      </c>
      <c r="C211" s="4">
        <f>IFERROR(VLOOKUP(A211,Capacity!$A$3:$F$532,6,), "0")</f>
        <v>0.3</v>
      </c>
      <c r="D211">
        <v>404</v>
      </c>
      <c r="E211">
        <f>IFERROR(VLOOKUP(D211,Capacity!$A$3:$D$532,4,), "0")</f>
        <v>21.166480142499999</v>
      </c>
      <c r="F211" s="4">
        <f>IFERROR(VLOOKUP(D211,Capacity!$A$3:$F$532,6,), "0")</f>
        <v>0.17499999999999999</v>
      </c>
      <c r="G211">
        <v>196</v>
      </c>
      <c r="H211">
        <f>IFERROR(VLOOKUP(G211,Capacity!$A$3:$D$532,4,), "0")</f>
        <v>22.619466719999998</v>
      </c>
      <c r="I211" s="4">
        <f>IFERROR(VLOOKUP(G211,Capacity!$A$3:$F$532,6,), "0")</f>
        <v>0.3</v>
      </c>
      <c r="K211" t="str">
        <f>IFERROR(VLOOKUP(J211,Capacity!$A$3:$D$532,4,), "0")</f>
        <v>0</v>
      </c>
      <c r="L211" s="4" t="str">
        <f>IFERROR(VLOOKUP(J211,Capacity!$A$3:$F$532,6,), "0")</f>
        <v>0</v>
      </c>
      <c r="M211" s="5">
        <f t="shared" si="27"/>
        <v>43.785946862499998</v>
      </c>
      <c r="N211" s="5">
        <f t="shared" si="28"/>
        <v>0.47499999999999998</v>
      </c>
      <c r="O211">
        <v>189</v>
      </c>
      <c r="P211">
        <f>IFERROR(VLOOKUP(O211,Capacity!$A$3:$D$532,4,), "0")</f>
        <v>22.619466719999998</v>
      </c>
      <c r="Q211" s="4">
        <f>IFERROR(VLOOKUP(O211,Capacity!$A$3:$F$532,6,), "0")</f>
        <v>0.3</v>
      </c>
      <c r="R211" s="5">
        <f t="shared" si="29"/>
        <v>22.619466719999998</v>
      </c>
      <c r="S211" s="5">
        <f t="shared" si="33"/>
        <v>0.3</v>
      </c>
      <c r="U211">
        <v>191</v>
      </c>
      <c r="V211">
        <v>2</v>
      </c>
      <c r="W211">
        <v>2</v>
      </c>
      <c r="X211">
        <v>1</v>
      </c>
      <c r="AB211">
        <f t="shared" si="30"/>
        <v>1.9357638888888888</v>
      </c>
      <c r="AC211">
        <f t="shared" si="31"/>
        <v>1.9357638888888888</v>
      </c>
      <c r="AD211">
        <f t="shared" si="32"/>
        <v>1.5833333333333333</v>
      </c>
      <c r="AE211">
        <f t="shared" si="34"/>
        <v>1.5833333333333333</v>
      </c>
      <c r="AG211">
        <f t="shared" si="35"/>
        <v>0.96788194444444442</v>
      </c>
    </row>
    <row r="212" spans="1:33" x14ac:dyDescent="0.25">
      <c r="A212">
        <v>461</v>
      </c>
      <c r="B212">
        <f>IFERROR(VLOOKUP(A212,Capacity!$A$3:$D$532,4,), "0")</f>
        <v>19.242254674999998</v>
      </c>
      <c r="C212" s="4">
        <f>IFERROR(VLOOKUP(A212,Capacity!$A$3:$F$532,6,), "0")</f>
        <v>0.17499999999999999</v>
      </c>
      <c r="E212" t="str">
        <f>IFERROR(VLOOKUP(D212,Capacity!$A$3:$D$532,4,), "0")</f>
        <v>0</v>
      </c>
      <c r="F212" s="4" t="str">
        <f>IFERROR(VLOOKUP(D212,Capacity!$A$3:$F$532,6,), "0")</f>
        <v>0</v>
      </c>
      <c r="H212" t="str">
        <f>IFERROR(VLOOKUP(G212,Capacity!$A$3:$D$532,4,), "0")</f>
        <v>0</v>
      </c>
      <c r="I212" s="4" t="str">
        <f>IFERROR(VLOOKUP(G212,Capacity!$A$3:$F$532,6,), "0")</f>
        <v>0</v>
      </c>
      <c r="K212" t="str">
        <f>IFERROR(VLOOKUP(J212,Capacity!$A$3:$D$532,4,), "0")</f>
        <v>0</v>
      </c>
      <c r="L212" s="4" t="str">
        <f>IFERROR(VLOOKUP(J212,Capacity!$A$3:$F$532,6,), "0")</f>
        <v>0</v>
      </c>
      <c r="M212" s="5">
        <f t="shared" si="27"/>
        <v>0</v>
      </c>
      <c r="N212" s="5">
        <f t="shared" si="28"/>
        <v>0</v>
      </c>
      <c r="O212">
        <v>192</v>
      </c>
      <c r="P212">
        <f>IFERROR(VLOOKUP(O212,Capacity!$A$3:$D$532,4,), "0")</f>
        <v>20.106192640000003</v>
      </c>
      <c r="Q212" s="4">
        <f>IFERROR(VLOOKUP(O212,Capacity!$A$3:$F$532,6,), "0")</f>
        <v>0.2</v>
      </c>
      <c r="R212" s="5">
        <f t="shared" si="29"/>
        <v>20.106192640000003</v>
      </c>
      <c r="S212" s="5">
        <f t="shared" si="33"/>
        <v>0.2</v>
      </c>
      <c r="U212">
        <v>461</v>
      </c>
      <c r="V212">
        <v>0</v>
      </c>
      <c r="W212">
        <v>0</v>
      </c>
      <c r="X212">
        <v>1</v>
      </c>
      <c r="AB212">
        <f t="shared" si="30"/>
        <v>0</v>
      </c>
      <c r="AC212">
        <f t="shared" si="31"/>
        <v>0</v>
      </c>
      <c r="AD212">
        <f t="shared" si="32"/>
        <v>0</v>
      </c>
      <c r="AE212">
        <f t="shared" si="34"/>
        <v>0</v>
      </c>
      <c r="AG212">
        <f t="shared" si="35"/>
        <v>0</v>
      </c>
    </row>
    <row r="213" spans="1:33" x14ac:dyDescent="0.25">
      <c r="A213">
        <v>202</v>
      </c>
      <c r="B213">
        <f>IFERROR(VLOOKUP(A213,Capacity!$A$3:$D$532,4,), "0")</f>
        <v>28.902651920000004</v>
      </c>
      <c r="C213" s="4">
        <f>IFERROR(VLOOKUP(A213,Capacity!$A$3:$F$532,6,), "0")</f>
        <v>0.2</v>
      </c>
      <c r="D213">
        <v>200</v>
      </c>
      <c r="E213">
        <f>IFERROR(VLOOKUP(D213,Capacity!$A$3:$D$532,4,), "0")</f>
        <v>10.053096320000002</v>
      </c>
      <c r="F213" s="4">
        <f>IFERROR(VLOOKUP(D213,Capacity!$A$3:$F$532,6,), "0")</f>
        <v>0.2</v>
      </c>
      <c r="H213" t="str">
        <f>IFERROR(VLOOKUP(G213,Capacity!$A$3:$D$532,4,), "0")</f>
        <v>0</v>
      </c>
      <c r="I213" s="4" t="str">
        <f>IFERROR(VLOOKUP(G213,Capacity!$A$3:$F$532,6,), "0")</f>
        <v>0</v>
      </c>
      <c r="K213" t="str">
        <f>IFERROR(VLOOKUP(J213,Capacity!$A$3:$D$532,4,), "0")</f>
        <v>0</v>
      </c>
      <c r="L213" s="4" t="str">
        <f>IFERROR(VLOOKUP(J213,Capacity!$A$3:$F$532,6,), "0")</f>
        <v>0</v>
      </c>
      <c r="M213" s="5">
        <f t="shared" si="27"/>
        <v>10.053096320000002</v>
      </c>
      <c r="N213" s="5">
        <f t="shared" si="28"/>
        <v>0.2</v>
      </c>
      <c r="O213">
        <v>192</v>
      </c>
      <c r="P213">
        <f>IFERROR(VLOOKUP(O213,Capacity!$A$3:$D$532,4,), "0")</f>
        <v>20.106192640000003</v>
      </c>
      <c r="Q213" s="4">
        <f>IFERROR(VLOOKUP(O213,Capacity!$A$3:$F$532,6,), "0")</f>
        <v>0.2</v>
      </c>
      <c r="R213" s="5">
        <f t="shared" si="29"/>
        <v>20.106192640000003</v>
      </c>
      <c r="S213" s="5">
        <f t="shared" si="33"/>
        <v>0.2</v>
      </c>
      <c r="U213">
        <v>202</v>
      </c>
      <c r="V213">
        <v>2</v>
      </c>
      <c r="W213">
        <v>2</v>
      </c>
      <c r="X213">
        <v>1</v>
      </c>
      <c r="AB213">
        <f t="shared" si="30"/>
        <v>0.5</v>
      </c>
      <c r="AC213">
        <f t="shared" si="31"/>
        <v>0.34782608695652173</v>
      </c>
      <c r="AD213">
        <f t="shared" si="32"/>
        <v>1</v>
      </c>
      <c r="AE213">
        <f t="shared" si="34"/>
        <v>1</v>
      </c>
      <c r="AG213">
        <f t="shared" si="35"/>
        <v>0.20512820512820512</v>
      </c>
    </row>
    <row r="214" spans="1:33" x14ac:dyDescent="0.25">
      <c r="A214">
        <v>470</v>
      </c>
      <c r="B214">
        <f>IFERROR(VLOOKUP(A214,Capacity!$A$3:$D$532,4,), "0")</f>
        <v>4.8105636687499995</v>
      </c>
      <c r="C214" s="4">
        <f>IFERROR(VLOOKUP(A214,Capacity!$A$3:$F$532,6,), "0")</f>
        <v>0.17499999999999999</v>
      </c>
      <c r="E214" t="str">
        <f>IFERROR(VLOOKUP(D214,Capacity!$A$3:$D$532,4,), "0")</f>
        <v>0</v>
      </c>
      <c r="F214" s="4" t="str">
        <f>IFERROR(VLOOKUP(D214,Capacity!$A$3:$F$532,6,), "0")</f>
        <v>0</v>
      </c>
      <c r="H214" t="str">
        <f>IFERROR(VLOOKUP(G214,Capacity!$A$3:$D$532,4,), "0")</f>
        <v>0</v>
      </c>
      <c r="I214" s="4" t="str">
        <f>IFERROR(VLOOKUP(G214,Capacity!$A$3:$F$532,6,), "0")</f>
        <v>0</v>
      </c>
      <c r="K214" t="str">
        <f>IFERROR(VLOOKUP(J214,Capacity!$A$3:$D$532,4,), "0")</f>
        <v>0</v>
      </c>
      <c r="L214" s="4" t="str">
        <f>IFERROR(VLOOKUP(J214,Capacity!$A$3:$F$532,6,), "0")</f>
        <v>0</v>
      </c>
      <c r="M214" s="5">
        <f t="shared" si="27"/>
        <v>0</v>
      </c>
      <c r="N214" s="5">
        <f t="shared" si="28"/>
        <v>0</v>
      </c>
      <c r="O214">
        <v>205</v>
      </c>
      <c r="P214">
        <f>IFERROR(VLOOKUP(O214,Capacity!$A$3:$D$532,4,), "0")</f>
        <v>309.25052156250001</v>
      </c>
      <c r="Q214" s="4">
        <f>IFERROR(VLOOKUP(O214,Capacity!$A$3:$F$532,6,), "0")</f>
        <v>0.75</v>
      </c>
      <c r="R214" s="5">
        <f t="shared" si="29"/>
        <v>309.25052156250001</v>
      </c>
      <c r="S214" s="5">
        <f t="shared" si="33"/>
        <v>0.75</v>
      </c>
      <c r="U214">
        <v>470</v>
      </c>
      <c r="V214">
        <v>0</v>
      </c>
      <c r="W214">
        <v>0</v>
      </c>
      <c r="X214">
        <v>1</v>
      </c>
      <c r="AB214">
        <f t="shared" si="30"/>
        <v>0</v>
      </c>
      <c r="AC214">
        <f t="shared" si="31"/>
        <v>0</v>
      </c>
      <c r="AD214">
        <f t="shared" si="32"/>
        <v>0</v>
      </c>
      <c r="AE214">
        <f t="shared" si="34"/>
        <v>0</v>
      </c>
      <c r="AG214">
        <f t="shared" si="35"/>
        <v>0</v>
      </c>
    </row>
    <row r="215" spans="1:33" x14ac:dyDescent="0.25">
      <c r="A215">
        <v>204</v>
      </c>
      <c r="B215">
        <f>IFERROR(VLOOKUP(A215,Capacity!$A$3:$D$532,4,), "0")</f>
        <v>6.734789136249999</v>
      </c>
      <c r="C215" s="4">
        <f>IFERROR(VLOOKUP(A215,Capacity!$A$3:$F$532,6,), "0")</f>
        <v>0.17499999999999999</v>
      </c>
      <c r="D215">
        <v>467</v>
      </c>
      <c r="E215">
        <f>IFERROR(VLOOKUP(D215,Capacity!$A$3:$D$532,4,), "0")</f>
        <v>38.484509349999996</v>
      </c>
      <c r="F215" s="4">
        <f>IFERROR(VLOOKUP(D215,Capacity!$A$3:$F$532,6,), "0")</f>
        <v>0.17499999999999999</v>
      </c>
      <c r="H215" t="str">
        <f>IFERROR(VLOOKUP(G215,Capacity!$A$3:$D$532,4,), "0")</f>
        <v>0</v>
      </c>
      <c r="I215" s="4" t="str">
        <f>IFERROR(VLOOKUP(G215,Capacity!$A$3:$F$532,6,), "0")</f>
        <v>0</v>
      </c>
      <c r="K215" t="str">
        <f>IFERROR(VLOOKUP(J215,Capacity!$A$3:$D$532,4,), "0")</f>
        <v>0</v>
      </c>
      <c r="L215" s="4" t="str">
        <f>IFERROR(VLOOKUP(J215,Capacity!$A$3:$F$532,6,), "0")</f>
        <v>0</v>
      </c>
      <c r="M215" s="5">
        <f t="shared" si="27"/>
        <v>38.484509349999996</v>
      </c>
      <c r="N215" s="5">
        <f t="shared" si="28"/>
        <v>0.17499999999999999</v>
      </c>
      <c r="O215">
        <v>205</v>
      </c>
      <c r="P215">
        <f>IFERROR(VLOOKUP(O215,Capacity!$A$3:$D$532,4,), "0")</f>
        <v>309.25052156250001</v>
      </c>
      <c r="Q215" s="4">
        <f>IFERROR(VLOOKUP(O215,Capacity!$A$3:$F$532,6,), "0")</f>
        <v>0.75</v>
      </c>
      <c r="R215" s="5">
        <f t="shared" si="29"/>
        <v>309.25052156250001</v>
      </c>
      <c r="S215" s="5">
        <f t="shared" si="33"/>
        <v>0.75</v>
      </c>
      <c r="U215">
        <v>204</v>
      </c>
      <c r="V215">
        <v>1</v>
      </c>
      <c r="W215">
        <v>1</v>
      </c>
      <c r="X215">
        <v>1</v>
      </c>
      <c r="AB215">
        <f t="shared" si="30"/>
        <v>0.12444444444444443</v>
      </c>
      <c r="AC215">
        <f t="shared" si="31"/>
        <v>5.7142857142857144</v>
      </c>
      <c r="AD215">
        <f t="shared" si="32"/>
        <v>0.23333333333333331</v>
      </c>
      <c r="AE215">
        <f t="shared" si="34"/>
        <v>1</v>
      </c>
      <c r="AG215">
        <f t="shared" si="35"/>
        <v>0.12179208351457153</v>
      </c>
    </row>
    <row r="216" spans="1:33" x14ac:dyDescent="0.25">
      <c r="A216">
        <v>469</v>
      </c>
      <c r="B216">
        <f>IFERROR(VLOOKUP(A216,Capacity!$A$3:$D$532,4,), "0")</f>
        <v>16.836972840624998</v>
      </c>
      <c r="C216" s="4">
        <f>IFERROR(VLOOKUP(A216,Capacity!$A$3:$F$532,6,), "0")</f>
        <v>0.17499999999999999</v>
      </c>
      <c r="E216" t="str">
        <f>IFERROR(VLOOKUP(D216,Capacity!$A$3:$D$532,4,), "0")</f>
        <v>0</v>
      </c>
      <c r="F216" s="4" t="str">
        <f>IFERROR(VLOOKUP(D216,Capacity!$A$3:$F$532,6,), "0")</f>
        <v>0</v>
      </c>
      <c r="H216" t="str">
        <f>IFERROR(VLOOKUP(G216,Capacity!$A$3:$D$532,4,), "0")</f>
        <v>0</v>
      </c>
      <c r="I216" s="4" t="str">
        <f>IFERROR(VLOOKUP(G216,Capacity!$A$3:$F$532,6,), "0")</f>
        <v>0</v>
      </c>
      <c r="K216" t="str">
        <f>IFERROR(VLOOKUP(J216,Capacity!$A$3:$D$532,4,), "0")</f>
        <v>0</v>
      </c>
      <c r="L216" s="4" t="str">
        <f>IFERROR(VLOOKUP(J216,Capacity!$A$3:$F$532,6,), "0")</f>
        <v>0</v>
      </c>
      <c r="M216" s="5">
        <f t="shared" si="27"/>
        <v>0</v>
      </c>
      <c r="N216" s="5">
        <f t="shared" si="28"/>
        <v>0</v>
      </c>
      <c r="O216">
        <v>209</v>
      </c>
      <c r="P216">
        <f>IFERROR(VLOOKUP(O216,Capacity!$A$3:$D$532,4,), "0")</f>
        <v>123.700208625</v>
      </c>
      <c r="Q216" s="4">
        <f>IFERROR(VLOOKUP(O216,Capacity!$A$3:$F$532,6,), "0")</f>
        <v>0.75</v>
      </c>
      <c r="R216" s="5">
        <f t="shared" si="29"/>
        <v>123.700208625</v>
      </c>
      <c r="S216" s="5">
        <f t="shared" si="33"/>
        <v>0.75</v>
      </c>
      <c r="U216">
        <v>469</v>
      </c>
      <c r="V216">
        <v>0</v>
      </c>
      <c r="W216">
        <v>0</v>
      </c>
      <c r="X216">
        <v>1</v>
      </c>
      <c r="AB216">
        <f t="shared" si="30"/>
        <v>0</v>
      </c>
      <c r="AC216">
        <f t="shared" si="31"/>
        <v>0</v>
      </c>
      <c r="AD216">
        <f t="shared" si="32"/>
        <v>0</v>
      </c>
      <c r="AE216">
        <f t="shared" si="34"/>
        <v>0</v>
      </c>
      <c r="AG216">
        <f t="shared" si="35"/>
        <v>0</v>
      </c>
    </row>
    <row r="217" spans="1:33" x14ac:dyDescent="0.25">
      <c r="A217">
        <v>210</v>
      </c>
      <c r="B217">
        <f>IFERROR(VLOOKUP(A217,Capacity!$A$3:$D$532,4,), "0")</f>
        <v>50.265481600000015</v>
      </c>
      <c r="C217" s="4">
        <f>IFERROR(VLOOKUP(A217,Capacity!$A$3:$F$532,6,), "0")</f>
        <v>0.4</v>
      </c>
      <c r="D217">
        <v>211</v>
      </c>
      <c r="E217">
        <f>IFERROR(VLOOKUP(D217,Capacity!$A$3:$D$532,4,), "0")</f>
        <v>4.8105636687499995</v>
      </c>
      <c r="F217" s="4">
        <f>IFERROR(VLOOKUP(D217,Capacity!$A$3:$F$532,6,), "0")</f>
        <v>0.17499999999999999</v>
      </c>
      <c r="G217">
        <v>203</v>
      </c>
      <c r="H217">
        <f>IFERROR(VLOOKUP(G217,Capacity!$A$3:$D$532,4,), "0")</f>
        <v>75.398222400000023</v>
      </c>
      <c r="I217" s="4">
        <f>IFERROR(VLOOKUP(G217,Capacity!$A$3:$F$532,6,), "0")</f>
        <v>0.4</v>
      </c>
      <c r="K217" t="str">
        <f>IFERROR(VLOOKUP(J217,Capacity!$A$3:$D$532,4,), "0")</f>
        <v>0</v>
      </c>
      <c r="L217" s="4" t="str">
        <f>IFERROR(VLOOKUP(J217,Capacity!$A$3:$F$532,6,), "0")</f>
        <v>0</v>
      </c>
      <c r="M217" s="5">
        <f t="shared" si="27"/>
        <v>80.208786068750015</v>
      </c>
      <c r="N217" s="5">
        <f t="shared" si="28"/>
        <v>0.57499999999999996</v>
      </c>
      <c r="O217">
        <v>209</v>
      </c>
      <c r="P217">
        <f>IFERROR(VLOOKUP(O217,Capacity!$A$3:$D$532,4,), "0")</f>
        <v>123.700208625</v>
      </c>
      <c r="Q217" s="4">
        <f>IFERROR(VLOOKUP(O217,Capacity!$A$3:$F$532,6,), "0")</f>
        <v>0.75</v>
      </c>
      <c r="R217" s="5">
        <f t="shared" si="29"/>
        <v>123.700208625</v>
      </c>
      <c r="S217" s="5">
        <f t="shared" si="33"/>
        <v>0.75</v>
      </c>
      <c r="U217">
        <v>210</v>
      </c>
      <c r="V217">
        <v>3</v>
      </c>
      <c r="W217">
        <v>3</v>
      </c>
      <c r="X217">
        <v>1</v>
      </c>
      <c r="AB217">
        <f t="shared" si="30"/>
        <v>0.64841269841269855</v>
      </c>
      <c r="AC217">
        <f t="shared" si="31"/>
        <v>1.5957031249999998</v>
      </c>
      <c r="AD217">
        <f t="shared" si="32"/>
        <v>0.76666666666666661</v>
      </c>
      <c r="AE217">
        <f t="shared" si="34"/>
        <v>1.4374999999999998</v>
      </c>
      <c r="AG217">
        <f t="shared" si="35"/>
        <v>0.46106094808126419</v>
      </c>
    </row>
    <row r="218" spans="1:33" x14ac:dyDescent="0.25">
      <c r="A218">
        <v>474</v>
      </c>
      <c r="B218">
        <f>IFERROR(VLOOKUP(A218,Capacity!$A$3:$D$532,4,), "0")</f>
        <v>24.052818343749998</v>
      </c>
      <c r="C218" s="4">
        <f>IFERROR(VLOOKUP(A218,Capacity!$A$3:$F$532,6,), "0")</f>
        <v>0.17499999999999999</v>
      </c>
      <c r="E218" t="str">
        <f>IFERROR(VLOOKUP(D218,Capacity!$A$3:$D$532,4,), "0")</f>
        <v>0</v>
      </c>
      <c r="F218" s="4" t="str">
        <f>IFERROR(VLOOKUP(D218,Capacity!$A$3:$F$532,6,), "0")</f>
        <v>0</v>
      </c>
      <c r="H218" t="str">
        <f>IFERROR(VLOOKUP(G218,Capacity!$A$3:$D$532,4,), "0")</f>
        <v>0</v>
      </c>
      <c r="I218" s="4" t="str">
        <f>IFERROR(VLOOKUP(G218,Capacity!$A$3:$F$532,6,), "0")</f>
        <v>0</v>
      </c>
      <c r="K218" t="str">
        <f>IFERROR(VLOOKUP(J218,Capacity!$A$3:$D$532,4,), "0")</f>
        <v>0</v>
      </c>
      <c r="L218" s="4" t="str">
        <f>IFERROR(VLOOKUP(J218,Capacity!$A$3:$F$532,6,), "0")</f>
        <v>0</v>
      </c>
      <c r="M218" s="5">
        <f t="shared" si="27"/>
        <v>0</v>
      </c>
      <c r="N218" s="5">
        <f t="shared" si="28"/>
        <v>0</v>
      </c>
      <c r="O218">
        <v>213</v>
      </c>
      <c r="P218">
        <f>IFERROR(VLOOKUP(O218,Capacity!$A$3:$D$532,4,), "0")</f>
        <v>9.621127337499999</v>
      </c>
      <c r="Q218" s="4">
        <f>IFERROR(VLOOKUP(O218,Capacity!$A$3:$F$532,6,), "0")</f>
        <v>0.17499999999999999</v>
      </c>
      <c r="R218" s="5">
        <f t="shared" si="29"/>
        <v>9.621127337499999</v>
      </c>
      <c r="S218" s="5">
        <f t="shared" si="33"/>
        <v>0.17499999999999999</v>
      </c>
      <c r="U218">
        <v>474</v>
      </c>
      <c r="V218">
        <v>0</v>
      </c>
      <c r="W218">
        <v>0</v>
      </c>
      <c r="X218">
        <v>1</v>
      </c>
      <c r="AB218">
        <f t="shared" si="30"/>
        <v>0</v>
      </c>
      <c r="AC218">
        <f t="shared" si="31"/>
        <v>0</v>
      </c>
      <c r="AD218">
        <f t="shared" si="32"/>
        <v>0</v>
      </c>
      <c r="AE218">
        <f t="shared" si="34"/>
        <v>0</v>
      </c>
      <c r="AG218">
        <f t="shared" si="35"/>
        <v>0</v>
      </c>
    </row>
    <row r="219" spans="1:33" x14ac:dyDescent="0.25">
      <c r="A219">
        <v>217</v>
      </c>
      <c r="B219">
        <f>IFERROR(VLOOKUP(A219,Capacity!$A$3:$D$532,4,), "0")</f>
        <v>19.242254674999998</v>
      </c>
      <c r="C219" s="4">
        <f>IFERROR(VLOOKUP(A219,Capacity!$A$3:$F$532,6,), "0")</f>
        <v>0.17499999999999999</v>
      </c>
      <c r="D219">
        <v>475</v>
      </c>
      <c r="E219">
        <f>IFERROR(VLOOKUP(D219,Capacity!$A$3:$D$532,4,), "0")</f>
        <v>26.939156544999996</v>
      </c>
      <c r="F219" s="4">
        <f>IFERROR(VLOOKUP(D219,Capacity!$A$3:$F$532,6,), "0")</f>
        <v>0.17499999999999999</v>
      </c>
      <c r="G219">
        <v>231</v>
      </c>
      <c r="H219">
        <f>IFERROR(VLOOKUP(G219,Capacity!$A$3:$D$532,4,), "0")</f>
        <v>16.355916473749996</v>
      </c>
      <c r="I219" s="4">
        <f>IFERROR(VLOOKUP(G219,Capacity!$A$3:$F$532,6,), "0")</f>
        <v>0.17499999999999999</v>
      </c>
      <c r="K219" t="str">
        <f>IFERROR(VLOOKUP(J219,Capacity!$A$3:$D$532,4,), "0")</f>
        <v>0</v>
      </c>
      <c r="L219" s="4" t="str">
        <f>IFERROR(VLOOKUP(J219,Capacity!$A$3:$F$532,6,), "0")</f>
        <v>0</v>
      </c>
      <c r="M219" s="5">
        <f t="shared" si="27"/>
        <v>43.295073018749989</v>
      </c>
      <c r="N219" s="5">
        <f t="shared" si="28"/>
        <v>0.35</v>
      </c>
      <c r="O219">
        <v>213</v>
      </c>
      <c r="P219">
        <f>IFERROR(VLOOKUP(O219,Capacity!$A$3:$D$532,4,), "0")</f>
        <v>9.621127337499999</v>
      </c>
      <c r="Q219" s="4">
        <f>IFERROR(VLOOKUP(O219,Capacity!$A$3:$F$532,6,), "0")</f>
        <v>0.17499999999999999</v>
      </c>
      <c r="R219" s="5">
        <f t="shared" si="29"/>
        <v>9.621127337499999</v>
      </c>
      <c r="S219" s="5">
        <f t="shared" si="33"/>
        <v>0.17499999999999999</v>
      </c>
      <c r="U219">
        <v>217</v>
      </c>
      <c r="V219">
        <v>3</v>
      </c>
      <c r="W219">
        <v>3</v>
      </c>
      <c r="X219">
        <v>1</v>
      </c>
      <c r="AB219">
        <f t="shared" si="30"/>
        <v>4.4999999999999991</v>
      </c>
      <c r="AC219">
        <f t="shared" si="31"/>
        <v>2.2499999999999996</v>
      </c>
      <c r="AD219">
        <f t="shared" si="32"/>
        <v>2</v>
      </c>
      <c r="AE219">
        <f t="shared" si="34"/>
        <v>2</v>
      </c>
      <c r="AG219">
        <f t="shared" si="35"/>
        <v>1.4999999999999998</v>
      </c>
    </row>
    <row r="220" spans="1:33" x14ac:dyDescent="0.25">
      <c r="A220">
        <v>109</v>
      </c>
      <c r="B220">
        <f>IFERROR(VLOOKUP(A220,Capacity!$A$3:$D$532,4,), "0")</f>
        <v>14.431691006249999</v>
      </c>
      <c r="C220" s="4">
        <f>IFERROR(VLOOKUP(A220,Capacity!$A$3:$F$532,6,), "0")</f>
        <v>0.17499999999999999</v>
      </c>
      <c r="D220">
        <v>108</v>
      </c>
      <c r="E220">
        <f>IFERROR(VLOOKUP(D220,Capacity!$A$3:$D$532,4,), "0")</f>
        <v>15.393803739999997</v>
      </c>
      <c r="F220" s="4">
        <f>IFERROR(VLOOKUP(D220,Capacity!$A$3:$F$532,6,), "0")</f>
        <v>0.17499999999999999</v>
      </c>
      <c r="H220" t="str">
        <f>IFERROR(VLOOKUP(G220,Capacity!$A$3:$D$532,4,), "0")</f>
        <v>0</v>
      </c>
      <c r="I220" s="4" t="str">
        <f>IFERROR(VLOOKUP(G220,Capacity!$A$3:$F$532,6,), "0")</f>
        <v>0</v>
      </c>
      <c r="K220" t="str">
        <f>IFERROR(VLOOKUP(J220,Capacity!$A$3:$D$532,4,), "0")</f>
        <v>0</v>
      </c>
      <c r="L220" s="4" t="str">
        <f>IFERROR(VLOOKUP(J220,Capacity!$A$3:$F$532,6,), "0")</f>
        <v>0</v>
      </c>
      <c r="M220" s="5">
        <f t="shared" si="27"/>
        <v>15.393803739999997</v>
      </c>
      <c r="N220" s="5">
        <f t="shared" si="28"/>
        <v>0.17499999999999999</v>
      </c>
      <c r="O220">
        <v>110</v>
      </c>
      <c r="P220">
        <f>IFERROR(VLOOKUP(O220,Capacity!$A$3:$D$532,4,), "0")</f>
        <v>17.592918560000005</v>
      </c>
      <c r="Q220" s="4">
        <f>IFERROR(VLOOKUP(O220,Capacity!$A$3:$F$532,6,), "0")</f>
        <v>0.2</v>
      </c>
      <c r="R220" s="5">
        <f t="shared" si="29"/>
        <v>17.592918560000005</v>
      </c>
      <c r="S220" s="5">
        <f t="shared" si="33"/>
        <v>0.2</v>
      </c>
      <c r="U220">
        <v>109</v>
      </c>
      <c r="V220">
        <v>2</v>
      </c>
      <c r="W220">
        <v>2</v>
      </c>
      <c r="X220">
        <v>1</v>
      </c>
      <c r="AB220">
        <f t="shared" si="30"/>
        <v>0.87499999999999967</v>
      </c>
      <c r="AC220">
        <f t="shared" si="31"/>
        <v>1.0666666666666667</v>
      </c>
      <c r="AD220">
        <f t="shared" si="32"/>
        <v>0.87499999999999989</v>
      </c>
      <c r="AE220">
        <f t="shared" si="34"/>
        <v>1</v>
      </c>
      <c r="AG220">
        <f t="shared" si="35"/>
        <v>0.48068669527896979</v>
      </c>
    </row>
    <row r="221" spans="1:33" x14ac:dyDescent="0.25">
      <c r="A221">
        <v>106</v>
      </c>
      <c r="B221">
        <f>IFERROR(VLOOKUP(A221,Capacity!$A$3:$D$532,4,), "0")</f>
        <v>13.469578272499998</v>
      </c>
      <c r="C221" s="4">
        <f>IFERROR(VLOOKUP(A221,Capacity!$A$3:$F$532,6,), "0")</f>
        <v>0.17499999999999999</v>
      </c>
      <c r="D221">
        <v>107</v>
      </c>
      <c r="E221">
        <f>IFERROR(VLOOKUP(D221,Capacity!$A$3:$D$532,4,), "0")</f>
        <v>20.204367408749999</v>
      </c>
      <c r="F221" s="4">
        <f>IFERROR(VLOOKUP(D221,Capacity!$A$3:$F$532,6,), "0")</f>
        <v>0.17499999999999999</v>
      </c>
      <c r="G221">
        <v>105</v>
      </c>
      <c r="H221">
        <f>IFERROR(VLOOKUP(G221,Capacity!$A$3:$D$532,4,), "0")</f>
        <v>30.787607479999995</v>
      </c>
      <c r="I221" s="4">
        <f>IFERROR(VLOOKUP(G221,Capacity!$A$3:$F$532,6,), "0")</f>
        <v>0.17499999999999999</v>
      </c>
      <c r="K221" t="str">
        <f>IFERROR(VLOOKUP(J221,Capacity!$A$3:$D$532,4,), "0")</f>
        <v>0</v>
      </c>
      <c r="L221" s="4" t="str">
        <f>IFERROR(VLOOKUP(J221,Capacity!$A$3:$F$532,6,), "0")</f>
        <v>0</v>
      </c>
      <c r="M221" s="5">
        <f t="shared" si="27"/>
        <v>50.991974888749994</v>
      </c>
      <c r="N221" s="5">
        <f t="shared" si="28"/>
        <v>0.35</v>
      </c>
      <c r="O221">
        <v>110</v>
      </c>
      <c r="P221">
        <f>IFERROR(VLOOKUP(O221,Capacity!$A$3:$D$532,4,), "0")</f>
        <v>17.592918560000005</v>
      </c>
      <c r="Q221" s="4">
        <f>IFERROR(VLOOKUP(O221,Capacity!$A$3:$F$532,6,), "0")</f>
        <v>0.2</v>
      </c>
      <c r="R221" s="5">
        <f t="shared" si="29"/>
        <v>17.592918560000005</v>
      </c>
      <c r="S221" s="5">
        <f t="shared" si="33"/>
        <v>0.2</v>
      </c>
      <c r="U221">
        <v>106</v>
      </c>
      <c r="V221">
        <v>3</v>
      </c>
      <c r="W221">
        <v>3</v>
      </c>
      <c r="X221">
        <v>1</v>
      </c>
      <c r="AB221">
        <f t="shared" si="30"/>
        <v>2.8984374999999987</v>
      </c>
      <c r="AC221">
        <f t="shared" si="31"/>
        <v>3.7857142857142856</v>
      </c>
      <c r="AD221">
        <f t="shared" si="32"/>
        <v>1.7499999999999998</v>
      </c>
      <c r="AE221">
        <f t="shared" si="34"/>
        <v>2</v>
      </c>
      <c r="AG221">
        <f t="shared" si="35"/>
        <v>1.6415929203539819</v>
      </c>
    </row>
    <row r="222" spans="1:33" x14ac:dyDescent="0.25">
      <c r="A222">
        <v>115</v>
      </c>
      <c r="B222">
        <f>IFERROR(VLOOKUP(A222,Capacity!$A$3:$D$532,4,), "0")</f>
        <v>18.849555600000006</v>
      </c>
      <c r="C222" s="4">
        <f>IFERROR(VLOOKUP(A222,Capacity!$A$3:$F$532,6,), "0")</f>
        <v>0.2</v>
      </c>
      <c r="D222">
        <v>435</v>
      </c>
      <c r="E222">
        <f>IFERROR(VLOOKUP(D222,Capacity!$A$3:$D$532,4,), "0")</f>
        <v>9.621127337499999</v>
      </c>
      <c r="F222" s="4">
        <f>IFERROR(VLOOKUP(D222,Capacity!$A$3:$F$532,6,), "0")</f>
        <v>0.17499999999999999</v>
      </c>
      <c r="G222">
        <v>432</v>
      </c>
      <c r="H222">
        <f>IFERROR(VLOOKUP(G222,Capacity!$A$3:$D$532,4,), "0")</f>
        <v>7.6969018699999987</v>
      </c>
      <c r="I222" s="4">
        <f>IFERROR(VLOOKUP(G222,Capacity!$A$3:$F$532,6,), "0")</f>
        <v>0.17499999999999999</v>
      </c>
      <c r="J222">
        <v>116</v>
      </c>
      <c r="K222">
        <f>IFERROR(VLOOKUP(J222,Capacity!$A$3:$D$532,4,), "0")</f>
        <v>16.336281520000004</v>
      </c>
      <c r="L222" s="4">
        <f>IFERROR(VLOOKUP(J222,Capacity!$A$3:$F$532,6,), "0")</f>
        <v>0.2</v>
      </c>
      <c r="M222" s="5">
        <f t="shared" si="27"/>
        <v>33.654310727500004</v>
      </c>
      <c r="N222" s="5">
        <f t="shared" si="28"/>
        <v>0.55000000000000004</v>
      </c>
      <c r="O222">
        <v>114</v>
      </c>
      <c r="P222">
        <f>IFERROR(VLOOKUP(O222,Capacity!$A$3:$D$532,4,), "0")</f>
        <v>15.079644480000002</v>
      </c>
      <c r="Q222" s="4">
        <f>IFERROR(VLOOKUP(O222,Capacity!$A$3:$F$532,6,), "0")</f>
        <v>0.2</v>
      </c>
      <c r="R222" s="5">
        <f t="shared" si="29"/>
        <v>15.079644480000002</v>
      </c>
      <c r="S222" s="5">
        <f t="shared" si="33"/>
        <v>0.2</v>
      </c>
      <c r="U222">
        <v>115</v>
      </c>
      <c r="V222">
        <v>4</v>
      </c>
      <c r="W222">
        <v>4</v>
      </c>
      <c r="X222">
        <v>1</v>
      </c>
      <c r="AB222">
        <f t="shared" si="30"/>
        <v>2.231770833333333</v>
      </c>
      <c r="AC222">
        <f t="shared" si="31"/>
        <v>1.7854166666666664</v>
      </c>
      <c r="AD222">
        <f t="shared" si="32"/>
        <v>2.75</v>
      </c>
      <c r="AE222">
        <f t="shared" si="34"/>
        <v>2.75</v>
      </c>
      <c r="AG222">
        <f t="shared" si="35"/>
        <v>0.99189814814814803</v>
      </c>
    </row>
    <row r="223" spans="1:33" x14ac:dyDescent="0.25">
      <c r="A223">
        <v>436</v>
      </c>
      <c r="B223">
        <f>IFERROR(VLOOKUP(A223,Capacity!$A$3:$D$532,4,), "0")</f>
        <v>10.58324007125</v>
      </c>
      <c r="C223" s="4">
        <f>IFERROR(VLOOKUP(A223,Capacity!$A$3:$F$532,6,), "0")</f>
        <v>0.17499999999999999</v>
      </c>
      <c r="E223" t="str">
        <f>IFERROR(VLOOKUP(D223,Capacity!$A$3:$D$532,4,), "0")</f>
        <v>0</v>
      </c>
      <c r="F223" s="4" t="str">
        <f>IFERROR(VLOOKUP(D223,Capacity!$A$3:$F$532,6,), "0")</f>
        <v>0</v>
      </c>
      <c r="H223" t="str">
        <f>IFERROR(VLOOKUP(G223,Capacity!$A$3:$D$532,4,), "0")</f>
        <v>0</v>
      </c>
      <c r="I223" s="4" t="str">
        <f>IFERROR(VLOOKUP(G223,Capacity!$A$3:$F$532,6,), "0")</f>
        <v>0</v>
      </c>
      <c r="K223" t="str">
        <f>IFERROR(VLOOKUP(J223,Capacity!$A$3:$D$532,4,), "0")</f>
        <v>0</v>
      </c>
      <c r="L223" s="4" t="str">
        <f>IFERROR(VLOOKUP(J223,Capacity!$A$3:$F$532,6,), "0")</f>
        <v>0</v>
      </c>
      <c r="M223" s="5">
        <f t="shared" si="27"/>
        <v>0</v>
      </c>
      <c r="N223" s="5">
        <f t="shared" si="28"/>
        <v>0</v>
      </c>
      <c r="O223">
        <v>117</v>
      </c>
      <c r="P223">
        <f>IFERROR(VLOOKUP(O223,Capacity!$A$3:$D$532,4,), "0")</f>
        <v>16.836972840624998</v>
      </c>
      <c r="Q223" s="4">
        <f>IFERROR(VLOOKUP(O223,Capacity!$A$3:$F$532,6,), "0")</f>
        <v>0.17499999999999999</v>
      </c>
      <c r="R223" s="5">
        <f t="shared" si="29"/>
        <v>16.836972840624998</v>
      </c>
      <c r="S223" s="5">
        <f t="shared" si="33"/>
        <v>0.17499999999999999</v>
      </c>
      <c r="U223">
        <v>436</v>
      </c>
      <c r="V223">
        <v>0</v>
      </c>
      <c r="W223">
        <v>0</v>
      </c>
      <c r="X223">
        <v>1</v>
      </c>
      <c r="AB223">
        <f t="shared" si="30"/>
        <v>0</v>
      </c>
      <c r="AC223">
        <f t="shared" si="31"/>
        <v>0</v>
      </c>
      <c r="AD223">
        <f t="shared" si="32"/>
        <v>0</v>
      </c>
      <c r="AE223">
        <f t="shared" si="34"/>
        <v>0</v>
      </c>
      <c r="AG223">
        <f t="shared" si="35"/>
        <v>0</v>
      </c>
    </row>
    <row r="224" spans="1:33" x14ac:dyDescent="0.25">
      <c r="A224">
        <v>17</v>
      </c>
      <c r="B224">
        <f>IFERROR(VLOOKUP(A224,Capacity!$A$3:$D$532,4,), "0")</f>
        <v>10.053096320000002</v>
      </c>
      <c r="C224" s="4">
        <f>IFERROR(VLOOKUP(A224,Capacity!$A$3:$F$532,6,), "0")</f>
        <v>0.2</v>
      </c>
      <c r="D224">
        <v>359</v>
      </c>
      <c r="E224">
        <f>IFERROR(VLOOKUP(D224,Capacity!$A$3:$D$532,4,), "0")</f>
        <v>7.6969018699999987</v>
      </c>
      <c r="F224" s="4">
        <f>IFERROR(VLOOKUP(D224,Capacity!$A$3:$F$532,6,), "0")</f>
        <v>0.17499999999999999</v>
      </c>
      <c r="G224">
        <v>7</v>
      </c>
      <c r="H224">
        <f>IFERROR(VLOOKUP(G224,Capacity!$A$3:$D$532,4,), "0")</f>
        <v>20.106192640000003</v>
      </c>
      <c r="I224" s="4">
        <f>IFERROR(VLOOKUP(G224,Capacity!$A$3:$F$532,6,), "0")</f>
        <v>0.2</v>
      </c>
      <c r="K224" t="str">
        <f>IFERROR(VLOOKUP(J224,Capacity!$A$3:$D$532,4,), "0")</f>
        <v>0</v>
      </c>
      <c r="L224" s="4" t="str">
        <f>IFERROR(VLOOKUP(J224,Capacity!$A$3:$F$532,6,), "0")</f>
        <v>0</v>
      </c>
      <c r="M224" s="5">
        <f t="shared" si="27"/>
        <v>27.803094510000001</v>
      </c>
      <c r="N224" s="5">
        <f t="shared" si="28"/>
        <v>0.375</v>
      </c>
      <c r="O224">
        <v>18</v>
      </c>
      <c r="P224">
        <f>IFERROR(VLOOKUP(O224,Capacity!$A$3:$D$532,4,), "0")</f>
        <v>32.672563040000007</v>
      </c>
      <c r="Q224" s="4">
        <f>IFERROR(VLOOKUP(O224,Capacity!$A$3:$F$532,6,), "0")</f>
        <v>0.2</v>
      </c>
      <c r="R224" s="5">
        <f t="shared" si="29"/>
        <v>32.672563040000007</v>
      </c>
      <c r="S224" s="5">
        <f t="shared" si="33"/>
        <v>0.2</v>
      </c>
      <c r="U224">
        <v>17</v>
      </c>
      <c r="V224">
        <v>2</v>
      </c>
      <c r="W224">
        <v>2</v>
      </c>
      <c r="X224">
        <v>1</v>
      </c>
      <c r="AB224">
        <f t="shared" si="30"/>
        <v>0.85096153846153832</v>
      </c>
      <c r="AC224">
        <f t="shared" si="31"/>
        <v>2.7656249999999996</v>
      </c>
      <c r="AD224">
        <f t="shared" si="32"/>
        <v>1.875</v>
      </c>
      <c r="AE224">
        <f t="shared" si="34"/>
        <v>1.875</v>
      </c>
      <c r="AG224">
        <f t="shared" si="35"/>
        <v>0.65073529411764697</v>
      </c>
    </row>
    <row r="225" spans="1:33" x14ac:dyDescent="0.25">
      <c r="A225">
        <v>425</v>
      </c>
      <c r="B225">
        <f>IFERROR(VLOOKUP(A225,Capacity!$A$3:$D$532,4,), "0")</f>
        <v>21.647536509374998</v>
      </c>
      <c r="C225" s="4">
        <f>IFERROR(VLOOKUP(A225,Capacity!$A$3:$F$532,6,), "0")</f>
        <v>0.17499999999999999</v>
      </c>
      <c r="E225" t="str">
        <f>IFERROR(VLOOKUP(D225,Capacity!$A$3:$D$532,4,), "0")</f>
        <v>0</v>
      </c>
      <c r="F225" s="4" t="str">
        <f>IFERROR(VLOOKUP(D225,Capacity!$A$3:$F$532,6,), "0")</f>
        <v>0</v>
      </c>
      <c r="H225" t="str">
        <f>IFERROR(VLOOKUP(G225,Capacity!$A$3:$D$532,4,), "0")</f>
        <v>0</v>
      </c>
      <c r="I225" s="4" t="str">
        <f>IFERROR(VLOOKUP(G225,Capacity!$A$3:$F$532,6,), "0")</f>
        <v>0</v>
      </c>
      <c r="K225" t="str">
        <f>IFERROR(VLOOKUP(J225,Capacity!$A$3:$D$532,4,), "0")</f>
        <v>0</v>
      </c>
      <c r="L225" s="4" t="str">
        <f>IFERROR(VLOOKUP(J225,Capacity!$A$3:$F$532,6,), "0")</f>
        <v>0</v>
      </c>
      <c r="M225" s="5">
        <f t="shared" si="27"/>
        <v>0</v>
      </c>
      <c r="N225" s="5">
        <f t="shared" si="28"/>
        <v>0</v>
      </c>
      <c r="O225">
        <v>54</v>
      </c>
      <c r="P225">
        <f>IFERROR(VLOOKUP(O225,Capacity!$A$3:$D$532,4,), "0")</f>
        <v>7.6969018699999987</v>
      </c>
      <c r="Q225" s="4">
        <f>IFERROR(VLOOKUP(O225,Capacity!$A$3:$F$532,6,), "0")</f>
        <v>0.17499999999999999</v>
      </c>
      <c r="R225" s="5">
        <f t="shared" si="29"/>
        <v>7.6969018699999987</v>
      </c>
      <c r="S225" s="5">
        <f t="shared" si="33"/>
        <v>0.17499999999999999</v>
      </c>
      <c r="U225">
        <v>425</v>
      </c>
      <c r="V225">
        <v>0</v>
      </c>
      <c r="W225">
        <v>0</v>
      </c>
      <c r="X225">
        <v>1</v>
      </c>
      <c r="AB225">
        <f t="shared" si="30"/>
        <v>0</v>
      </c>
      <c r="AC225">
        <f t="shared" si="31"/>
        <v>0</v>
      </c>
      <c r="AD225">
        <f t="shared" si="32"/>
        <v>0</v>
      </c>
      <c r="AE225">
        <f t="shared" si="34"/>
        <v>0</v>
      </c>
      <c r="AG225">
        <f t="shared" si="35"/>
        <v>0</v>
      </c>
    </row>
    <row r="226" spans="1:33" x14ac:dyDescent="0.25">
      <c r="A226">
        <v>379</v>
      </c>
      <c r="B226">
        <f>IFERROR(VLOOKUP(A226,Capacity!$A$3:$D$532,4,), "0")</f>
        <v>7.6969018699999987</v>
      </c>
      <c r="C226" s="4">
        <f>IFERROR(VLOOKUP(A226,Capacity!$A$3:$F$532,6,), "0")</f>
        <v>0.17499999999999999</v>
      </c>
      <c r="E226" t="str">
        <f>IFERROR(VLOOKUP(D226,Capacity!$A$3:$D$532,4,), "0")</f>
        <v>0</v>
      </c>
      <c r="F226" s="4" t="str">
        <f>IFERROR(VLOOKUP(D226,Capacity!$A$3:$F$532,6,), "0")</f>
        <v>0</v>
      </c>
      <c r="H226" t="str">
        <f>IFERROR(VLOOKUP(G226,Capacity!$A$3:$D$532,4,), "0")</f>
        <v>0</v>
      </c>
      <c r="I226" s="4" t="str">
        <f>IFERROR(VLOOKUP(G226,Capacity!$A$3:$F$532,6,), "0")</f>
        <v>0</v>
      </c>
      <c r="K226" t="str">
        <f>IFERROR(VLOOKUP(J226,Capacity!$A$3:$D$532,4,), "0")</f>
        <v>0</v>
      </c>
      <c r="L226" s="4" t="str">
        <f>IFERROR(VLOOKUP(J226,Capacity!$A$3:$F$532,6,), "0")</f>
        <v>0</v>
      </c>
      <c r="M226" s="5">
        <f t="shared" si="27"/>
        <v>0</v>
      </c>
      <c r="N226" s="5">
        <f t="shared" si="28"/>
        <v>0</v>
      </c>
      <c r="O226">
        <v>54</v>
      </c>
      <c r="P226">
        <f>IFERROR(VLOOKUP(O226,Capacity!$A$3:$D$532,4,), "0")</f>
        <v>7.6969018699999987</v>
      </c>
      <c r="Q226" s="4">
        <f>IFERROR(VLOOKUP(O226,Capacity!$A$3:$F$532,6,), "0")</f>
        <v>0.17499999999999999</v>
      </c>
      <c r="R226" s="5">
        <f t="shared" si="29"/>
        <v>7.6969018699999987</v>
      </c>
      <c r="S226" s="5">
        <f t="shared" si="33"/>
        <v>0.17499999999999999</v>
      </c>
      <c r="U226">
        <v>379</v>
      </c>
      <c r="V226">
        <v>0</v>
      </c>
      <c r="W226">
        <v>0</v>
      </c>
      <c r="X226">
        <v>1</v>
      </c>
      <c r="AB226">
        <f t="shared" si="30"/>
        <v>0</v>
      </c>
      <c r="AC226">
        <f t="shared" si="31"/>
        <v>0</v>
      </c>
      <c r="AD226">
        <f t="shared" si="32"/>
        <v>0</v>
      </c>
      <c r="AE226">
        <f t="shared" si="34"/>
        <v>0</v>
      </c>
      <c r="AG226">
        <f t="shared" si="35"/>
        <v>0</v>
      </c>
    </row>
    <row r="227" spans="1:33" x14ac:dyDescent="0.25">
      <c r="A227">
        <v>360</v>
      </c>
      <c r="B227">
        <f>IFERROR(VLOOKUP(A227,Capacity!$A$3:$D$532,4,), "0")</f>
        <v>25.014931077499998</v>
      </c>
      <c r="C227" s="4">
        <f>IFERROR(VLOOKUP(A227,Capacity!$A$3:$F$532,6,), "0")</f>
        <v>0.17499999999999999</v>
      </c>
      <c r="E227" t="str">
        <f>IFERROR(VLOOKUP(D227,Capacity!$A$3:$D$532,4,), "0")</f>
        <v>0</v>
      </c>
      <c r="F227" s="4" t="str">
        <f>IFERROR(VLOOKUP(D227,Capacity!$A$3:$F$532,6,), "0")</f>
        <v>0</v>
      </c>
      <c r="H227" t="str">
        <f>IFERROR(VLOOKUP(G227,Capacity!$A$3:$D$532,4,), "0")</f>
        <v>0</v>
      </c>
      <c r="I227" s="4" t="str">
        <f>IFERROR(VLOOKUP(G227,Capacity!$A$3:$F$532,6,), "0")</f>
        <v>0</v>
      </c>
      <c r="K227" t="str">
        <f>IFERROR(VLOOKUP(J227,Capacity!$A$3:$D$532,4,), "0")</f>
        <v>0</v>
      </c>
      <c r="L227" s="4" t="str">
        <f>IFERROR(VLOOKUP(J227,Capacity!$A$3:$F$532,6,), "0")</f>
        <v>0</v>
      </c>
      <c r="M227" s="5">
        <f t="shared" si="27"/>
        <v>0</v>
      </c>
      <c r="N227" s="5">
        <f t="shared" si="28"/>
        <v>0</v>
      </c>
      <c r="O227">
        <v>54</v>
      </c>
      <c r="P227">
        <f>IFERROR(VLOOKUP(O227,Capacity!$A$3:$D$532,4,), "0")</f>
        <v>7.6969018699999987</v>
      </c>
      <c r="Q227" s="4">
        <f>IFERROR(VLOOKUP(O227,Capacity!$A$3:$F$532,6,), "0")</f>
        <v>0.17499999999999999</v>
      </c>
      <c r="R227" s="5">
        <f t="shared" si="29"/>
        <v>7.6969018699999987</v>
      </c>
      <c r="S227" s="5">
        <f t="shared" si="33"/>
        <v>0.17499999999999999</v>
      </c>
      <c r="U227">
        <v>360</v>
      </c>
      <c r="V227">
        <v>0</v>
      </c>
      <c r="W227">
        <v>0</v>
      </c>
      <c r="X227">
        <v>1</v>
      </c>
      <c r="AB227">
        <f t="shared" si="30"/>
        <v>0</v>
      </c>
      <c r="AC227">
        <f t="shared" si="31"/>
        <v>0</v>
      </c>
      <c r="AD227">
        <f t="shared" si="32"/>
        <v>0</v>
      </c>
      <c r="AE227">
        <f t="shared" si="34"/>
        <v>0</v>
      </c>
      <c r="AG227">
        <f t="shared" si="35"/>
        <v>0</v>
      </c>
    </row>
    <row r="228" spans="1:33" x14ac:dyDescent="0.25">
      <c r="A228">
        <v>56</v>
      </c>
      <c r="B228">
        <f>IFERROR(VLOOKUP(A228,Capacity!$A$3:$D$532,4,), "0")</f>
        <v>7.6969018699999987</v>
      </c>
      <c r="C228" s="4">
        <f>IFERROR(VLOOKUP(A228,Capacity!$A$3:$F$532,6,), "0")</f>
        <v>0.17499999999999999</v>
      </c>
      <c r="D228">
        <v>427</v>
      </c>
      <c r="E228">
        <f>IFERROR(VLOOKUP(D228,Capacity!$A$3:$D$532,4,), "0")</f>
        <v>21.647536509374998</v>
      </c>
      <c r="F228" s="4">
        <f>IFERROR(VLOOKUP(D228,Capacity!$A$3:$F$532,6,), "0")</f>
        <v>0.17499999999999999</v>
      </c>
      <c r="G228">
        <v>358</v>
      </c>
      <c r="H228">
        <f>IFERROR(VLOOKUP(G228,Capacity!$A$3:$D$532,4,), "0")</f>
        <v>25.014931077499998</v>
      </c>
      <c r="I228" s="4">
        <f>IFERROR(VLOOKUP(G228,Capacity!$A$3:$F$532,6,), "0")</f>
        <v>0.17499999999999999</v>
      </c>
      <c r="J228">
        <v>350</v>
      </c>
      <c r="K228">
        <f>IFERROR(VLOOKUP(J228,Capacity!$A$3:$D$532,4,), "0")</f>
        <v>7.6969018699999987</v>
      </c>
      <c r="L228" s="4">
        <f>IFERROR(VLOOKUP(J228,Capacity!$A$3:$F$532,6,), "0")</f>
        <v>0.17499999999999999</v>
      </c>
      <c r="M228" s="5">
        <f t="shared" si="27"/>
        <v>54.359369456874994</v>
      </c>
      <c r="N228" s="5">
        <f t="shared" si="28"/>
        <v>0.52499999999999991</v>
      </c>
      <c r="O228">
        <v>55</v>
      </c>
      <c r="P228">
        <f>IFERROR(VLOOKUP(O228,Capacity!$A$3:$D$532,4,), "0")</f>
        <v>21.647536509374998</v>
      </c>
      <c r="Q228" s="4">
        <f>IFERROR(VLOOKUP(O228,Capacity!$A$3:$F$532,6,), "0")</f>
        <v>0.17499999999999999</v>
      </c>
      <c r="R228" s="5">
        <f t="shared" si="29"/>
        <v>21.647536509374998</v>
      </c>
      <c r="S228" s="5">
        <f t="shared" si="33"/>
        <v>0.17499999999999999</v>
      </c>
      <c r="U228">
        <v>56</v>
      </c>
      <c r="V228">
        <v>4</v>
      </c>
      <c r="W228">
        <v>4</v>
      </c>
      <c r="X228">
        <v>1</v>
      </c>
      <c r="AB228">
        <f t="shared" si="30"/>
        <v>2.5111111111111111</v>
      </c>
      <c r="AC228">
        <f t="shared" si="31"/>
        <v>7.0625</v>
      </c>
      <c r="AD228">
        <f t="shared" si="32"/>
        <v>2.9999999999999996</v>
      </c>
      <c r="AE228">
        <f t="shared" si="34"/>
        <v>2.9999999999999996</v>
      </c>
      <c r="AG228">
        <f t="shared" si="35"/>
        <v>1.8524590163934427</v>
      </c>
    </row>
    <row r="229" spans="1:33" x14ac:dyDescent="0.25">
      <c r="A229">
        <v>16</v>
      </c>
      <c r="B229">
        <f>IFERROR(VLOOKUP(A229,Capacity!$A$3:$D$532,4,), "0")</f>
        <v>57.36076848710001</v>
      </c>
      <c r="C229" s="4">
        <f>IFERROR(VLOOKUP(A229,Capacity!$A$3:$F$532,6,), "0")</f>
        <v>0.26500000000000001</v>
      </c>
      <c r="D229">
        <v>15</v>
      </c>
      <c r="E229">
        <f>IFERROR(VLOOKUP(D229,Capacity!$A$3:$D$532,4,), "0")</f>
        <v>251.32740799999999</v>
      </c>
      <c r="F229" s="4">
        <f>IFERROR(VLOOKUP(D229,Capacity!$A$3:$F$532,6,), "0")</f>
        <v>1</v>
      </c>
      <c r="H229" t="str">
        <f>IFERROR(VLOOKUP(G229,Capacity!$A$3:$D$532,4,), "0")</f>
        <v>0</v>
      </c>
      <c r="I229" s="4" t="str">
        <f>IFERROR(VLOOKUP(G229,Capacity!$A$3:$F$532,6,), "0")</f>
        <v>0</v>
      </c>
      <c r="K229" t="str">
        <f>IFERROR(VLOOKUP(J229,Capacity!$A$3:$D$532,4,), "0")</f>
        <v>0</v>
      </c>
      <c r="L229" s="4" t="str">
        <f>IFERROR(VLOOKUP(J229,Capacity!$A$3:$F$532,6,), "0")</f>
        <v>0</v>
      </c>
      <c r="M229" s="5">
        <f t="shared" si="27"/>
        <v>251.32740799999999</v>
      </c>
      <c r="N229" s="5">
        <f t="shared" si="28"/>
        <v>1</v>
      </c>
      <c r="O229">
        <v>55</v>
      </c>
      <c r="P229">
        <f>IFERROR(VLOOKUP(O229,Capacity!$A$3:$D$532,4,), "0")</f>
        <v>21.647536509374998</v>
      </c>
      <c r="Q229" s="4">
        <f>IFERROR(VLOOKUP(O229,Capacity!$A$3:$F$532,6,), "0")</f>
        <v>0.17499999999999999</v>
      </c>
      <c r="R229" s="5">
        <f t="shared" si="29"/>
        <v>21.647536509374998</v>
      </c>
      <c r="S229" s="5">
        <f t="shared" si="33"/>
        <v>0.17499999999999999</v>
      </c>
      <c r="U229">
        <v>16</v>
      </c>
      <c r="V229">
        <v>1</v>
      </c>
      <c r="W229">
        <v>1</v>
      </c>
      <c r="X229">
        <v>1</v>
      </c>
      <c r="AB229">
        <f t="shared" si="30"/>
        <v>11.609977324263038</v>
      </c>
      <c r="AC229">
        <f t="shared" si="31"/>
        <v>4.3815209354547191</v>
      </c>
      <c r="AD229">
        <f t="shared" si="32"/>
        <v>5.7142857142857144</v>
      </c>
      <c r="AE229">
        <f t="shared" si="34"/>
        <v>3.773584905660377</v>
      </c>
      <c r="AG229">
        <f t="shared" si="35"/>
        <v>3.1810251847728299</v>
      </c>
    </row>
    <row r="230" spans="1:33" x14ac:dyDescent="0.25">
      <c r="A230">
        <v>99</v>
      </c>
      <c r="B230">
        <f>IFERROR(VLOOKUP(A230,Capacity!$A$3:$D$532,4,), "0")</f>
        <v>29.688050070000003</v>
      </c>
      <c r="C230" s="4">
        <f>IFERROR(VLOOKUP(A230,Capacity!$A$3:$F$532,6,), "0")</f>
        <v>0.3</v>
      </c>
      <c r="D230">
        <v>434</v>
      </c>
      <c r="E230">
        <f>IFERROR(VLOOKUP(D230,Capacity!$A$3:$D$532,4,), "0")</f>
        <v>197.92033380000001</v>
      </c>
      <c r="F230" s="4">
        <f>IFERROR(VLOOKUP(D230,Capacity!$A$3:$F$532,6,), "0")</f>
        <v>0.6</v>
      </c>
      <c r="G230">
        <v>100</v>
      </c>
      <c r="H230">
        <f>IFERROR(VLOOKUP(G230,Capacity!$A$3:$D$532,4,), "0")</f>
        <v>36.75663342</v>
      </c>
      <c r="I230" s="4">
        <f>IFERROR(VLOOKUP(G230,Capacity!$A$3:$F$532,6,), "0")</f>
        <v>0.3</v>
      </c>
      <c r="J230">
        <v>59</v>
      </c>
      <c r="K230">
        <f>IFERROR(VLOOKUP(J230,Capacity!$A$3:$D$532,4,), "0")</f>
        <v>294.05306736</v>
      </c>
      <c r="L230" s="4">
        <f>IFERROR(VLOOKUP(J230,Capacity!$A$3:$F$532,6,), "0")</f>
        <v>0.6</v>
      </c>
      <c r="M230" s="5">
        <f t="shared" si="27"/>
        <v>528.73003457999994</v>
      </c>
      <c r="N230" s="5">
        <f t="shared" si="28"/>
        <v>1.5</v>
      </c>
      <c r="O230">
        <v>98</v>
      </c>
      <c r="P230">
        <f>IFERROR(VLOOKUP(O230,Capacity!$A$3:$D$532,4,), "0")</f>
        <v>25.446900060000001</v>
      </c>
      <c r="Q230" s="4">
        <f>IFERROR(VLOOKUP(O230,Capacity!$A$3:$F$532,6,), "0")</f>
        <v>0.3</v>
      </c>
      <c r="R230" s="5">
        <f t="shared" si="29"/>
        <v>25.446900060000001</v>
      </c>
      <c r="S230" s="5">
        <f t="shared" si="33"/>
        <v>0.3</v>
      </c>
      <c r="U230">
        <v>99</v>
      </c>
      <c r="V230">
        <v>4</v>
      </c>
      <c r="W230">
        <v>4</v>
      </c>
      <c r="X230">
        <v>1</v>
      </c>
      <c r="AB230">
        <f t="shared" si="30"/>
        <v>20.777777777777775</v>
      </c>
      <c r="AC230">
        <f t="shared" si="31"/>
        <v>17.809523809523807</v>
      </c>
      <c r="AD230">
        <f t="shared" si="32"/>
        <v>5</v>
      </c>
      <c r="AE230">
        <f t="shared" si="34"/>
        <v>5</v>
      </c>
      <c r="AG230">
        <f t="shared" si="35"/>
        <v>9.5897435897435876</v>
      </c>
    </row>
    <row r="231" spans="1:33" x14ac:dyDescent="0.25">
      <c r="A231">
        <v>97</v>
      </c>
      <c r="B231">
        <f>IFERROR(VLOOKUP(A231,Capacity!$A$3:$D$532,4,), "0")</f>
        <v>203.57520048000001</v>
      </c>
      <c r="C231" s="4">
        <f>IFERROR(VLOOKUP(A231,Capacity!$A$3:$F$532,6,), "0")</f>
        <v>0.9</v>
      </c>
      <c r="D231">
        <v>428</v>
      </c>
      <c r="E231">
        <f>IFERROR(VLOOKUP(D231,Capacity!$A$3:$D$532,4,), "0")</f>
        <v>7.6969018699999987</v>
      </c>
      <c r="F231" s="4">
        <f>IFERROR(VLOOKUP(D231,Capacity!$A$3:$F$532,6,), "0")</f>
        <v>0.17499999999999999</v>
      </c>
      <c r="G231">
        <v>58</v>
      </c>
      <c r="H231">
        <f>IFERROR(VLOOKUP(G231,Capacity!$A$3:$D$532,4,), "0")</f>
        <v>21.647536509374998</v>
      </c>
      <c r="I231" s="4">
        <f>IFERROR(VLOOKUP(G231,Capacity!$A$3:$F$532,6,), "0")</f>
        <v>0.17499999999999999</v>
      </c>
      <c r="K231" t="str">
        <f>IFERROR(VLOOKUP(J231,Capacity!$A$3:$D$532,4,), "0")</f>
        <v>0</v>
      </c>
      <c r="L231" s="4" t="str">
        <f>IFERROR(VLOOKUP(J231,Capacity!$A$3:$F$532,6,), "0")</f>
        <v>0</v>
      </c>
      <c r="M231" s="5">
        <f t="shared" si="27"/>
        <v>29.344438379374996</v>
      </c>
      <c r="N231" s="5">
        <f t="shared" si="28"/>
        <v>0.35</v>
      </c>
      <c r="O231">
        <v>98</v>
      </c>
      <c r="P231">
        <f>IFERROR(VLOOKUP(O231,Capacity!$A$3:$D$532,4,), "0")</f>
        <v>25.446900060000001</v>
      </c>
      <c r="Q231" s="4">
        <f>IFERROR(VLOOKUP(O231,Capacity!$A$3:$F$532,6,), "0")</f>
        <v>0.3</v>
      </c>
      <c r="R231" s="5">
        <f t="shared" si="29"/>
        <v>25.446900060000001</v>
      </c>
      <c r="S231" s="5">
        <f t="shared" si="33"/>
        <v>0.3</v>
      </c>
      <c r="U231">
        <v>97</v>
      </c>
      <c r="V231">
        <v>2</v>
      </c>
      <c r="W231">
        <v>2</v>
      </c>
      <c r="X231">
        <v>1</v>
      </c>
      <c r="AB231">
        <f t="shared" si="30"/>
        <v>1.1531635802469133</v>
      </c>
      <c r="AC231">
        <f t="shared" si="31"/>
        <v>0.14414544753086417</v>
      </c>
      <c r="AD231">
        <f t="shared" si="32"/>
        <v>1.1666666666666667</v>
      </c>
      <c r="AE231">
        <f t="shared" si="34"/>
        <v>0.38888888888888884</v>
      </c>
      <c r="AG231">
        <f t="shared" si="35"/>
        <v>0.12812928669410148</v>
      </c>
    </row>
    <row r="232" spans="1:33" x14ac:dyDescent="0.25">
      <c r="A232">
        <v>351</v>
      </c>
      <c r="B232">
        <f>IFERROR(VLOOKUP(A232,Capacity!$A$3:$D$532,4,), "0")</f>
        <v>7.2158455031249993</v>
      </c>
      <c r="C232" s="4">
        <f>IFERROR(VLOOKUP(A232,Capacity!$A$3:$F$532,6,), "0")</f>
        <v>0.17499999999999999</v>
      </c>
      <c r="E232" t="str">
        <f>IFERROR(VLOOKUP(D232,Capacity!$A$3:$D$532,4,), "0")</f>
        <v>0</v>
      </c>
      <c r="F232" s="4" t="str">
        <f>IFERROR(VLOOKUP(D232,Capacity!$A$3:$F$532,6,), "0")</f>
        <v>0</v>
      </c>
      <c r="H232" t="str">
        <f>IFERROR(VLOOKUP(G232,Capacity!$A$3:$D$532,4,), "0")</f>
        <v>0</v>
      </c>
      <c r="I232" s="4" t="str">
        <f>IFERROR(VLOOKUP(G232,Capacity!$A$3:$F$532,6,), "0")</f>
        <v>0</v>
      </c>
      <c r="K232" t="str">
        <f>IFERROR(VLOOKUP(J232,Capacity!$A$3:$D$532,4,), "0")</f>
        <v>0</v>
      </c>
      <c r="L232" s="4" t="str">
        <f>IFERROR(VLOOKUP(J232,Capacity!$A$3:$F$532,6,), "0")</f>
        <v>0</v>
      </c>
      <c r="M232" s="5">
        <f t="shared" si="27"/>
        <v>0</v>
      </c>
      <c r="N232" s="5">
        <f t="shared" si="28"/>
        <v>0</v>
      </c>
      <c r="O232">
        <v>5</v>
      </c>
      <c r="P232">
        <f>IFERROR(VLOOKUP(O232,Capacity!$A$3:$D$532,4,), "0")</f>
        <v>39.711301260300004</v>
      </c>
      <c r="Q232" s="4">
        <f>IFERROR(VLOOKUP(O232,Capacity!$A$3:$F$532,6,), "0")</f>
        <v>0.26500000000000001</v>
      </c>
      <c r="R232" s="5">
        <f t="shared" si="29"/>
        <v>39.711301260300004</v>
      </c>
      <c r="S232" s="5">
        <f t="shared" si="33"/>
        <v>0.26500000000000001</v>
      </c>
      <c r="U232">
        <v>351</v>
      </c>
      <c r="V232">
        <v>0</v>
      </c>
      <c r="W232">
        <v>0</v>
      </c>
      <c r="X232">
        <v>1</v>
      </c>
      <c r="AB232">
        <f t="shared" si="30"/>
        <v>0</v>
      </c>
      <c r="AC232">
        <f t="shared" si="31"/>
        <v>0</v>
      </c>
      <c r="AD232">
        <f t="shared" si="32"/>
        <v>0</v>
      </c>
      <c r="AE232">
        <f t="shared" si="34"/>
        <v>0</v>
      </c>
      <c r="AG232">
        <f t="shared" si="35"/>
        <v>0</v>
      </c>
    </row>
    <row r="233" spans="1:33" x14ac:dyDescent="0.25">
      <c r="A233">
        <v>243</v>
      </c>
      <c r="B233">
        <f>IFERROR(VLOOKUP(A233,Capacity!$A$3:$D$532,4,), "0")</f>
        <v>15.079644480000002</v>
      </c>
      <c r="C233" s="4">
        <f>IFERROR(VLOOKUP(A233,Capacity!$A$3:$F$532,6,), "0")</f>
        <v>0.2</v>
      </c>
      <c r="E233" t="str">
        <f>IFERROR(VLOOKUP(D233,Capacity!$A$3:$D$532,4,), "0")</f>
        <v>0</v>
      </c>
      <c r="F233" s="4" t="str">
        <f>IFERROR(VLOOKUP(D233,Capacity!$A$3:$F$532,6,), "0")</f>
        <v>0</v>
      </c>
      <c r="H233" t="str">
        <f>IFERROR(VLOOKUP(G233,Capacity!$A$3:$D$532,4,), "0")</f>
        <v>0</v>
      </c>
      <c r="I233" s="4" t="str">
        <f>IFERROR(VLOOKUP(G233,Capacity!$A$3:$F$532,6,), "0")</f>
        <v>0</v>
      </c>
      <c r="K233" t="str">
        <f>IFERROR(VLOOKUP(J233,Capacity!$A$3:$D$532,4,), "0")</f>
        <v>0</v>
      </c>
      <c r="L233" s="4" t="str">
        <f>IFERROR(VLOOKUP(J233,Capacity!$A$3:$F$532,6,), "0")</f>
        <v>0</v>
      </c>
      <c r="M233" s="5">
        <f t="shared" si="27"/>
        <v>0</v>
      </c>
      <c r="N233" s="5">
        <f t="shared" si="28"/>
        <v>0</v>
      </c>
      <c r="O233">
        <v>5</v>
      </c>
      <c r="P233">
        <f>IFERROR(VLOOKUP(O233,Capacity!$A$3:$D$532,4,), "0")</f>
        <v>39.711301260300004</v>
      </c>
      <c r="Q233" s="4">
        <f>IFERROR(VLOOKUP(O233,Capacity!$A$3:$F$532,6,), "0")</f>
        <v>0.26500000000000001</v>
      </c>
      <c r="R233" s="5">
        <f t="shared" si="29"/>
        <v>39.711301260300004</v>
      </c>
      <c r="S233" s="5">
        <f t="shared" si="33"/>
        <v>0.26500000000000001</v>
      </c>
      <c r="U233">
        <v>243</v>
      </c>
      <c r="V233">
        <v>1</v>
      </c>
      <c r="W233">
        <v>1</v>
      </c>
      <c r="X233">
        <v>1</v>
      </c>
      <c r="AB233">
        <f t="shared" si="30"/>
        <v>0</v>
      </c>
      <c r="AC233">
        <f t="shared" si="31"/>
        <v>0</v>
      </c>
      <c r="AD233">
        <f t="shared" si="32"/>
        <v>0</v>
      </c>
      <c r="AE233">
        <f t="shared" si="34"/>
        <v>0</v>
      </c>
      <c r="AG233">
        <f t="shared" si="35"/>
        <v>0</v>
      </c>
    </row>
    <row r="234" spans="1:33" x14ac:dyDescent="0.25">
      <c r="A234">
        <v>6</v>
      </c>
      <c r="B234">
        <f>IFERROR(VLOOKUP(A234,Capacity!$A$3:$D$532,4,), "0")</f>
        <v>16.546375525125004</v>
      </c>
      <c r="C234" s="4">
        <f>IFERROR(VLOOKUP(A234,Capacity!$A$3:$F$532,6,), "0")</f>
        <v>0.26500000000000001</v>
      </c>
      <c r="D234">
        <v>242</v>
      </c>
      <c r="E234">
        <f>IFERROR(VLOOKUP(D234,Capacity!$A$3:$D$532,4,), "0")</f>
        <v>26.474200840200002</v>
      </c>
      <c r="F234" s="4">
        <f>IFERROR(VLOOKUP(D234,Capacity!$A$3:$F$532,6,), "0")</f>
        <v>0.26500000000000001</v>
      </c>
      <c r="H234" t="str">
        <f>IFERROR(VLOOKUP(G234,Capacity!$A$3:$D$532,4,), "0")</f>
        <v>0</v>
      </c>
      <c r="I234" s="4" t="str">
        <f>IFERROR(VLOOKUP(G234,Capacity!$A$3:$F$532,6,), "0")</f>
        <v>0</v>
      </c>
      <c r="K234" t="str">
        <f>IFERROR(VLOOKUP(J234,Capacity!$A$3:$D$532,4,), "0")</f>
        <v>0</v>
      </c>
      <c r="L234" s="4" t="str">
        <f>IFERROR(VLOOKUP(J234,Capacity!$A$3:$F$532,6,), "0")</f>
        <v>0</v>
      </c>
      <c r="M234" s="5">
        <f t="shared" si="27"/>
        <v>26.474200840200002</v>
      </c>
      <c r="N234" s="5">
        <f t="shared" si="28"/>
        <v>0.26500000000000001</v>
      </c>
      <c r="O234">
        <v>5</v>
      </c>
      <c r="P234">
        <f>IFERROR(VLOOKUP(O234,Capacity!$A$3:$D$532,4,), "0")</f>
        <v>39.711301260300004</v>
      </c>
      <c r="Q234" s="4">
        <f>IFERROR(VLOOKUP(O234,Capacity!$A$3:$F$532,6,), "0")</f>
        <v>0.26500000000000001</v>
      </c>
      <c r="R234" s="5">
        <f t="shared" si="29"/>
        <v>39.711301260300004</v>
      </c>
      <c r="S234" s="5">
        <f t="shared" si="33"/>
        <v>0.26500000000000001</v>
      </c>
      <c r="U234">
        <v>6</v>
      </c>
      <c r="V234">
        <v>2</v>
      </c>
      <c r="W234">
        <v>2</v>
      </c>
      <c r="X234">
        <v>1</v>
      </c>
      <c r="AB234">
        <f t="shared" si="30"/>
        <v>0.66666666666666663</v>
      </c>
      <c r="AC234">
        <f t="shared" si="31"/>
        <v>1.5999999999999996</v>
      </c>
      <c r="AD234">
        <f t="shared" si="32"/>
        <v>1</v>
      </c>
      <c r="AE234">
        <f t="shared" si="34"/>
        <v>1</v>
      </c>
      <c r="AG234">
        <f t="shared" si="35"/>
        <v>0.47058823529411764</v>
      </c>
    </row>
    <row r="235" spans="1:33" x14ac:dyDescent="0.25">
      <c r="A235">
        <v>342</v>
      </c>
      <c r="B235">
        <f>IFERROR(VLOOKUP(A235,Capacity!$A$3:$D$532,4,), "0")</f>
        <v>20.106192640000003</v>
      </c>
      <c r="C235" s="4">
        <f>IFERROR(VLOOKUP(A235,Capacity!$A$3:$F$532,6,), "0")</f>
        <v>0.4</v>
      </c>
      <c r="D235">
        <v>341</v>
      </c>
      <c r="E235">
        <f>IFERROR(VLOOKUP(D235,Capacity!$A$3:$D$532,4,), "0")</f>
        <v>17.649467226800002</v>
      </c>
      <c r="F235" s="4">
        <f>IFERROR(VLOOKUP(D235,Capacity!$A$3:$F$532,6,), "0")</f>
        <v>0.26500000000000001</v>
      </c>
      <c r="H235" t="str">
        <f>IFERROR(VLOOKUP(G235,Capacity!$A$3:$D$532,4,), "0")</f>
        <v>0</v>
      </c>
      <c r="I235" s="4" t="str">
        <f>IFERROR(VLOOKUP(G235,Capacity!$A$3:$F$532,6,), "0")</f>
        <v>0</v>
      </c>
      <c r="K235" t="str">
        <f>IFERROR(VLOOKUP(J235,Capacity!$A$3:$D$532,4,), "0")</f>
        <v>0</v>
      </c>
      <c r="L235" s="4" t="str">
        <f>IFERROR(VLOOKUP(J235,Capacity!$A$3:$F$532,6,), "0")</f>
        <v>0</v>
      </c>
      <c r="M235" s="5">
        <f t="shared" si="27"/>
        <v>17.649467226800002</v>
      </c>
      <c r="N235" s="5">
        <f t="shared" si="28"/>
        <v>0.26500000000000001</v>
      </c>
      <c r="O235">
        <v>343</v>
      </c>
      <c r="P235">
        <f>IFERROR(VLOOKUP(O235,Capacity!$A$3:$D$532,4,), "0")</f>
        <v>45.238933439999997</v>
      </c>
      <c r="Q235" s="4">
        <f>IFERROR(VLOOKUP(O235,Capacity!$A$3:$F$532,6,), "0")</f>
        <v>0.6</v>
      </c>
      <c r="R235" s="5">
        <f t="shared" si="29"/>
        <v>45.238933439999997</v>
      </c>
      <c r="S235" s="5">
        <f t="shared" si="33"/>
        <v>0.6</v>
      </c>
      <c r="U235">
        <v>342</v>
      </c>
      <c r="V235">
        <v>1</v>
      </c>
      <c r="W235">
        <v>1</v>
      </c>
      <c r="X235">
        <v>1</v>
      </c>
      <c r="AB235">
        <f t="shared" si="30"/>
        <v>0.39013888888888898</v>
      </c>
      <c r="AC235">
        <f t="shared" si="31"/>
        <v>0.8778125</v>
      </c>
      <c r="AD235">
        <f t="shared" si="32"/>
        <v>0.44166666666666671</v>
      </c>
      <c r="AE235">
        <f t="shared" si="34"/>
        <v>0.66249999999999998</v>
      </c>
      <c r="AG235">
        <f t="shared" si="35"/>
        <v>0.27009615384615387</v>
      </c>
    </row>
    <row r="236" spans="1:33" x14ac:dyDescent="0.25">
      <c r="A236">
        <v>320</v>
      </c>
      <c r="B236">
        <f>IFERROR(VLOOKUP(A236,Capacity!$A$3:$D$532,4,), "0")</f>
        <v>82.466805750000006</v>
      </c>
      <c r="C236" s="4">
        <f>IFERROR(VLOOKUP(A236,Capacity!$A$3:$F$532,6,), "0")</f>
        <v>0.5</v>
      </c>
      <c r="D236">
        <v>321</v>
      </c>
      <c r="E236">
        <f>IFERROR(VLOOKUP(D236,Capacity!$A$3:$D$532,4,), "0")</f>
        <v>80.424770560000013</v>
      </c>
      <c r="F236" s="4">
        <f>IFERROR(VLOOKUP(D236,Capacity!$A$3:$F$532,6,), "0")</f>
        <v>0.4</v>
      </c>
      <c r="H236" t="str">
        <f>IFERROR(VLOOKUP(G236,Capacity!$A$3:$D$532,4,), "0")</f>
        <v>0</v>
      </c>
      <c r="I236" s="4" t="str">
        <f>IFERROR(VLOOKUP(G236,Capacity!$A$3:$F$532,6,), "0")</f>
        <v>0</v>
      </c>
      <c r="K236" t="str">
        <f>IFERROR(VLOOKUP(J236,Capacity!$A$3:$D$532,4,), "0")</f>
        <v>0</v>
      </c>
      <c r="L236" s="4" t="str">
        <f>IFERROR(VLOOKUP(J236,Capacity!$A$3:$F$532,6,), "0")</f>
        <v>0</v>
      </c>
      <c r="M236" s="5">
        <f t="shared" si="27"/>
        <v>80.424770560000013</v>
      </c>
      <c r="N236" s="5">
        <f t="shared" si="28"/>
        <v>0.4</v>
      </c>
      <c r="O236">
        <v>343</v>
      </c>
      <c r="P236">
        <f>IFERROR(VLOOKUP(O236,Capacity!$A$3:$D$532,4,), "0")</f>
        <v>45.238933439999997</v>
      </c>
      <c r="Q236" s="4">
        <f>IFERROR(VLOOKUP(O236,Capacity!$A$3:$F$532,6,), "0")</f>
        <v>0.6</v>
      </c>
      <c r="R236" s="5">
        <f t="shared" si="29"/>
        <v>45.238933439999997</v>
      </c>
      <c r="S236" s="5">
        <f t="shared" si="33"/>
        <v>0.6</v>
      </c>
      <c r="U236">
        <v>320</v>
      </c>
      <c r="V236">
        <v>2</v>
      </c>
      <c r="W236">
        <v>2</v>
      </c>
      <c r="X236">
        <v>1</v>
      </c>
      <c r="AB236">
        <f t="shared" si="30"/>
        <v>1.7777777777777781</v>
      </c>
      <c r="AC236">
        <f t="shared" si="31"/>
        <v>0.97523809523809535</v>
      </c>
      <c r="AD236">
        <f t="shared" si="32"/>
        <v>0.66666666666666674</v>
      </c>
      <c r="AE236">
        <f t="shared" si="34"/>
        <v>0.8</v>
      </c>
      <c r="AG236">
        <f t="shared" si="35"/>
        <v>0.62976629766297676</v>
      </c>
    </row>
    <row r="237" spans="1:33" x14ac:dyDescent="0.25">
      <c r="A237">
        <v>505</v>
      </c>
      <c r="B237">
        <f>IFERROR(VLOOKUP(A237,Capacity!$A$3:$D$532,4,), "0")</f>
        <v>14.431691006249999</v>
      </c>
      <c r="C237" s="4">
        <f>IFERROR(VLOOKUP(A237,Capacity!$A$3:$F$532,6,), "0")</f>
        <v>0.17499999999999999</v>
      </c>
      <c r="E237" t="str">
        <f>IFERROR(VLOOKUP(D237,Capacity!$A$3:$D$532,4,), "0")</f>
        <v>0</v>
      </c>
      <c r="F237" s="4" t="str">
        <f>IFERROR(VLOOKUP(D237,Capacity!$A$3:$F$532,6,), "0")</f>
        <v>0</v>
      </c>
      <c r="H237" t="str">
        <f>IFERROR(VLOOKUP(G237,Capacity!$A$3:$D$532,4,), "0")</f>
        <v>0</v>
      </c>
      <c r="I237" s="4" t="str">
        <f>IFERROR(VLOOKUP(G237,Capacity!$A$3:$F$532,6,), "0")</f>
        <v>0</v>
      </c>
      <c r="K237" t="str">
        <f>IFERROR(VLOOKUP(J237,Capacity!$A$3:$D$532,4,), "0")</f>
        <v>0</v>
      </c>
      <c r="L237" s="4" t="str">
        <f>IFERROR(VLOOKUP(J237,Capacity!$A$3:$F$532,6,), "0")</f>
        <v>0</v>
      </c>
      <c r="M237" s="5">
        <f t="shared" si="27"/>
        <v>0</v>
      </c>
      <c r="N237" s="5">
        <f t="shared" si="28"/>
        <v>0</v>
      </c>
      <c r="O237">
        <v>319</v>
      </c>
      <c r="P237">
        <f>IFERROR(VLOOKUP(O237,Capacity!$A$3:$D$532,4,), "0")</f>
        <v>132.53593781250001</v>
      </c>
      <c r="Q237" s="4">
        <f>IFERROR(VLOOKUP(O237,Capacity!$A$3:$F$532,6,), "0")</f>
        <v>0.75</v>
      </c>
      <c r="R237" s="5">
        <f t="shared" si="29"/>
        <v>132.53593781250001</v>
      </c>
      <c r="S237" s="5">
        <f t="shared" si="33"/>
        <v>0.75</v>
      </c>
      <c r="U237">
        <v>505</v>
      </c>
      <c r="V237">
        <v>0</v>
      </c>
      <c r="W237">
        <v>0</v>
      </c>
      <c r="X237">
        <v>1</v>
      </c>
      <c r="AB237">
        <f t="shared" si="30"/>
        <v>0</v>
      </c>
      <c r="AC237">
        <f t="shared" si="31"/>
        <v>0</v>
      </c>
      <c r="AD237">
        <f t="shared" si="32"/>
        <v>0</v>
      </c>
      <c r="AE237">
        <f t="shared" si="34"/>
        <v>0</v>
      </c>
      <c r="AG237">
        <f t="shared" si="35"/>
        <v>0</v>
      </c>
    </row>
    <row r="238" spans="1:33" x14ac:dyDescent="0.25">
      <c r="A238">
        <v>318</v>
      </c>
      <c r="B238">
        <f>IFERROR(VLOOKUP(A238,Capacity!$A$3:$D$532,4,), "0")</f>
        <v>132.53593781250001</v>
      </c>
      <c r="C238" s="4">
        <f>IFERROR(VLOOKUP(A238,Capacity!$A$3:$F$532,6,), "0")</f>
        <v>0.75</v>
      </c>
      <c r="D238">
        <v>316</v>
      </c>
      <c r="E238">
        <f>IFERROR(VLOOKUP(D238,Capacity!$A$3:$D$532,4,), "0")</f>
        <v>132.53593781250001</v>
      </c>
      <c r="F238" s="4">
        <f>IFERROR(VLOOKUP(D238,Capacity!$A$3:$F$532,6,), "0")</f>
        <v>0.75</v>
      </c>
      <c r="G238">
        <v>254</v>
      </c>
      <c r="H238">
        <f>IFERROR(VLOOKUP(G238,Capacity!$A$3:$D$532,4,), "0")</f>
        <v>26.474200840200002</v>
      </c>
      <c r="I238" s="4">
        <f>IFERROR(VLOOKUP(G238,Capacity!$A$3:$F$532,6,), "0")</f>
        <v>0.26500000000000001</v>
      </c>
      <c r="K238" t="str">
        <f>IFERROR(VLOOKUP(J238,Capacity!$A$3:$D$532,4,), "0")</f>
        <v>0</v>
      </c>
      <c r="L238" s="4" t="str">
        <f>IFERROR(VLOOKUP(J238,Capacity!$A$3:$F$532,6,), "0")</f>
        <v>0</v>
      </c>
      <c r="M238" s="5">
        <f t="shared" si="27"/>
        <v>159.01013865270002</v>
      </c>
      <c r="N238" s="5">
        <f t="shared" si="28"/>
        <v>1.0150000000000001</v>
      </c>
      <c r="O238">
        <v>319</v>
      </c>
      <c r="P238">
        <f>IFERROR(VLOOKUP(O238,Capacity!$A$3:$D$532,4,), "0")</f>
        <v>132.53593781250001</v>
      </c>
      <c r="Q238" s="4">
        <f>IFERROR(VLOOKUP(O238,Capacity!$A$3:$F$532,6,), "0")</f>
        <v>0.75</v>
      </c>
      <c r="R238" s="5">
        <f t="shared" si="29"/>
        <v>132.53593781250001</v>
      </c>
      <c r="S238" s="5">
        <f t="shared" si="33"/>
        <v>0.75</v>
      </c>
      <c r="U238">
        <v>318</v>
      </c>
      <c r="V238">
        <v>2</v>
      </c>
      <c r="W238">
        <v>2</v>
      </c>
      <c r="X238">
        <v>1</v>
      </c>
      <c r="AB238">
        <f t="shared" si="30"/>
        <v>1.1997511111111112</v>
      </c>
      <c r="AC238">
        <f t="shared" si="31"/>
        <v>1.1997511111111112</v>
      </c>
      <c r="AD238">
        <f t="shared" si="32"/>
        <v>1.3533333333333335</v>
      </c>
      <c r="AE238">
        <f t="shared" si="34"/>
        <v>1.3533333333333335</v>
      </c>
      <c r="AG238">
        <f t="shared" si="35"/>
        <v>0.59987555555555561</v>
      </c>
    </row>
    <row r="239" spans="1:33" x14ac:dyDescent="0.25">
      <c r="A239">
        <v>253</v>
      </c>
      <c r="B239">
        <f>IFERROR(VLOOKUP(A239,Capacity!$A$3:$D$532,4,), "0")</f>
        <v>15.079644480000002</v>
      </c>
      <c r="C239" s="4">
        <f>IFERROR(VLOOKUP(A239,Capacity!$A$3:$F$532,6,), "0")</f>
        <v>0.2</v>
      </c>
      <c r="E239" t="str">
        <f>IFERROR(VLOOKUP(D239,Capacity!$A$3:$D$532,4,), "0")</f>
        <v>0</v>
      </c>
      <c r="F239" s="4" t="str">
        <f>IFERROR(VLOOKUP(D239,Capacity!$A$3:$F$532,6,), "0")</f>
        <v>0</v>
      </c>
      <c r="H239" t="str">
        <f>IFERROR(VLOOKUP(G239,Capacity!$A$3:$D$532,4,), "0")</f>
        <v>0</v>
      </c>
      <c r="I239" s="4" t="str">
        <f>IFERROR(VLOOKUP(G239,Capacity!$A$3:$F$532,6,), "0")</f>
        <v>0</v>
      </c>
      <c r="K239" t="str">
        <f>IFERROR(VLOOKUP(J239,Capacity!$A$3:$D$532,4,), "0")</f>
        <v>0</v>
      </c>
      <c r="L239" s="4" t="str">
        <f>IFERROR(VLOOKUP(J239,Capacity!$A$3:$F$532,6,), "0")</f>
        <v>0</v>
      </c>
      <c r="M239" s="5">
        <f t="shared" si="27"/>
        <v>0</v>
      </c>
      <c r="N239" s="5">
        <f t="shared" si="28"/>
        <v>0</v>
      </c>
      <c r="O239">
        <v>319</v>
      </c>
      <c r="P239">
        <f>IFERROR(VLOOKUP(O239,Capacity!$A$3:$D$532,4,), "0")</f>
        <v>132.53593781250001</v>
      </c>
      <c r="Q239" s="4">
        <f>IFERROR(VLOOKUP(O239,Capacity!$A$3:$F$532,6,), "0")</f>
        <v>0.75</v>
      </c>
      <c r="R239" s="5">
        <f t="shared" si="29"/>
        <v>132.53593781250001</v>
      </c>
      <c r="S239" s="5">
        <f t="shared" si="33"/>
        <v>0.75</v>
      </c>
      <c r="U239">
        <v>253</v>
      </c>
      <c r="V239">
        <v>1</v>
      </c>
      <c r="W239">
        <v>1</v>
      </c>
      <c r="X239">
        <v>1</v>
      </c>
      <c r="AB239">
        <f t="shared" si="30"/>
        <v>0</v>
      </c>
      <c r="AC239">
        <f t="shared" si="31"/>
        <v>0</v>
      </c>
      <c r="AD239">
        <f t="shared" si="32"/>
        <v>0</v>
      </c>
      <c r="AE239">
        <f t="shared" si="34"/>
        <v>0</v>
      </c>
      <c r="AG239">
        <f t="shared" si="35"/>
        <v>0</v>
      </c>
    </row>
    <row r="240" spans="1:33" x14ac:dyDescent="0.25">
      <c r="A240">
        <v>526</v>
      </c>
      <c r="B240">
        <f>IFERROR(VLOOKUP(A240,Capacity!$A$3:$D$532,4,), "0")</f>
        <v>22.128592876249996</v>
      </c>
      <c r="C240" s="4">
        <f>IFERROR(VLOOKUP(A240,Capacity!$A$3:$F$532,6,), "0")</f>
        <v>0.17499999999999999</v>
      </c>
      <c r="E240" t="str">
        <f>IFERROR(VLOOKUP(D240,Capacity!$A$3:$D$532,4,), "0")</f>
        <v>0</v>
      </c>
      <c r="F240" s="4" t="str">
        <f>IFERROR(VLOOKUP(D240,Capacity!$A$3:$F$532,6,), "0")</f>
        <v>0</v>
      </c>
      <c r="H240" t="str">
        <f>IFERROR(VLOOKUP(G240,Capacity!$A$3:$D$532,4,), "0")</f>
        <v>0</v>
      </c>
      <c r="I240" s="4" t="str">
        <f>IFERROR(VLOOKUP(G240,Capacity!$A$3:$F$532,6,), "0")</f>
        <v>0</v>
      </c>
      <c r="K240" t="str">
        <f>IFERROR(VLOOKUP(J240,Capacity!$A$3:$D$532,4,), "0")</f>
        <v>0</v>
      </c>
      <c r="L240" s="4" t="str">
        <f>IFERROR(VLOOKUP(J240,Capacity!$A$3:$F$532,6,), "0")</f>
        <v>0</v>
      </c>
      <c r="M240" s="5">
        <f t="shared" si="27"/>
        <v>0</v>
      </c>
      <c r="N240" s="5">
        <f t="shared" si="28"/>
        <v>0</v>
      </c>
      <c r="O240">
        <v>41</v>
      </c>
      <c r="P240">
        <f>IFERROR(VLOOKUP(O240,Capacity!$A$3:$D$532,4,), "0")</f>
        <v>40.212385280000007</v>
      </c>
      <c r="Q240" s="4">
        <f>IFERROR(VLOOKUP(O240,Capacity!$A$3:$F$532,6,), "0")</f>
        <v>0.4</v>
      </c>
      <c r="R240" s="5">
        <f t="shared" si="29"/>
        <v>40.212385280000007</v>
      </c>
      <c r="S240" s="5">
        <f t="shared" si="33"/>
        <v>0.4</v>
      </c>
      <c r="U240">
        <v>526</v>
      </c>
      <c r="V240">
        <v>0</v>
      </c>
      <c r="W240">
        <v>0</v>
      </c>
      <c r="X240">
        <v>1</v>
      </c>
      <c r="AB240">
        <f t="shared" si="30"/>
        <v>0</v>
      </c>
      <c r="AC240">
        <f t="shared" si="31"/>
        <v>0</v>
      </c>
      <c r="AD240">
        <f t="shared" si="32"/>
        <v>0</v>
      </c>
      <c r="AE240">
        <f t="shared" si="34"/>
        <v>0</v>
      </c>
      <c r="AG240">
        <f t="shared" si="35"/>
        <v>0</v>
      </c>
    </row>
    <row r="241" spans="1:33" x14ac:dyDescent="0.25">
      <c r="A241">
        <v>407</v>
      </c>
      <c r="B241">
        <f>IFERROR(VLOOKUP(A241,Capacity!$A$3:$D$532,4,), "0")</f>
        <v>21.647536509374998</v>
      </c>
      <c r="C241" s="4">
        <f>IFERROR(VLOOKUP(A241,Capacity!$A$3:$F$532,6,), "0")</f>
        <v>0.17499999999999999</v>
      </c>
      <c r="E241" t="str">
        <f>IFERROR(VLOOKUP(D241,Capacity!$A$3:$D$532,4,), "0")</f>
        <v>0</v>
      </c>
      <c r="F241" s="4" t="str">
        <f>IFERROR(VLOOKUP(D241,Capacity!$A$3:$F$532,6,), "0")</f>
        <v>0</v>
      </c>
      <c r="H241" t="str">
        <f>IFERROR(VLOOKUP(G241,Capacity!$A$3:$D$532,4,), "0")</f>
        <v>0</v>
      </c>
      <c r="I241" s="4" t="str">
        <f>IFERROR(VLOOKUP(G241,Capacity!$A$3:$F$532,6,), "0")</f>
        <v>0</v>
      </c>
      <c r="K241" t="str">
        <f>IFERROR(VLOOKUP(J241,Capacity!$A$3:$D$532,4,), "0")</f>
        <v>0</v>
      </c>
      <c r="L241" s="4" t="str">
        <f>IFERROR(VLOOKUP(J241,Capacity!$A$3:$F$532,6,), "0")</f>
        <v>0</v>
      </c>
      <c r="M241" s="5">
        <f t="shared" si="27"/>
        <v>0</v>
      </c>
      <c r="N241" s="5">
        <f t="shared" si="28"/>
        <v>0</v>
      </c>
      <c r="O241">
        <v>41</v>
      </c>
      <c r="P241">
        <f>IFERROR(VLOOKUP(O241,Capacity!$A$3:$D$532,4,), "0")</f>
        <v>40.212385280000007</v>
      </c>
      <c r="Q241" s="4">
        <f>IFERROR(VLOOKUP(O241,Capacity!$A$3:$F$532,6,), "0")</f>
        <v>0.4</v>
      </c>
      <c r="R241" s="5">
        <f t="shared" si="29"/>
        <v>40.212385280000007</v>
      </c>
      <c r="S241" s="5">
        <f t="shared" si="33"/>
        <v>0.4</v>
      </c>
      <c r="U241">
        <v>407</v>
      </c>
      <c r="V241">
        <v>0</v>
      </c>
      <c r="W241">
        <v>0</v>
      </c>
      <c r="X241">
        <v>1</v>
      </c>
      <c r="AB241">
        <f t="shared" si="30"/>
        <v>0</v>
      </c>
      <c r="AC241">
        <f t="shared" si="31"/>
        <v>0</v>
      </c>
      <c r="AD241">
        <f t="shared" si="32"/>
        <v>0</v>
      </c>
      <c r="AE241">
        <f t="shared" si="34"/>
        <v>0</v>
      </c>
      <c r="AG241">
        <f t="shared" si="35"/>
        <v>0</v>
      </c>
    </row>
    <row r="242" spans="1:33" x14ac:dyDescent="0.25">
      <c r="A242">
        <v>40</v>
      </c>
      <c r="B242">
        <f>IFERROR(VLOOKUP(A242,Capacity!$A$3:$D$532,4,), "0")</f>
        <v>40.212385280000007</v>
      </c>
      <c r="C242" s="4">
        <f>IFERROR(VLOOKUP(A242,Capacity!$A$3:$F$532,6,), "0")</f>
        <v>0.4</v>
      </c>
      <c r="D242">
        <v>524</v>
      </c>
      <c r="E242">
        <f>IFERROR(VLOOKUP(D242,Capacity!$A$3:$D$532,4,), "0")</f>
        <v>22.128592876249996</v>
      </c>
      <c r="F242" s="4">
        <f>IFERROR(VLOOKUP(D242,Capacity!$A$3:$F$532,6,), "0")</f>
        <v>0.17499999999999999</v>
      </c>
      <c r="G242">
        <v>405</v>
      </c>
      <c r="H242">
        <f>IFERROR(VLOOKUP(G242,Capacity!$A$3:$D$532,4,), "0")</f>
        <v>21.647536509374998</v>
      </c>
      <c r="I242" s="4">
        <f>IFERROR(VLOOKUP(G242,Capacity!$A$3:$F$532,6,), "0")</f>
        <v>0.17499999999999999</v>
      </c>
      <c r="J242">
        <v>39</v>
      </c>
      <c r="K242">
        <f>IFERROR(VLOOKUP(J242,Capacity!$A$3:$D$532,4,), "0")</f>
        <v>40.212385280000007</v>
      </c>
      <c r="L242" s="4">
        <f>IFERROR(VLOOKUP(J242,Capacity!$A$3:$F$532,6,), "0")</f>
        <v>0.4</v>
      </c>
      <c r="M242" s="5">
        <f t="shared" si="27"/>
        <v>83.988514665625004</v>
      </c>
      <c r="N242" s="5">
        <f t="shared" si="28"/>
        <v>0.75</v>
      </c>
      <c r="O242">
        <v>41</v>
      </c>
      <c r="P242">
        <f>IFERROR(VLOOKUP(O242,Capacity!$A$3:$D$532,4,), "0")</f>
        <v>40.212385280000007</v>
      </c>
      <c r="Q242" s="4">
        <f>IFERROR(VLOOKUP(O242,Capacity!$A$3:$F$532,6,), "0")</f>
        <v>0.4</v>
      </c>
      <c r="R242" s="5">
        <f t="shared" si="29"/>
        <v>40.212385280000007</v>
      </c>
      <c r="S242" s="5">
        <f t="shared" si="33"/>
        <v>0.4</v>
      </c>
      <c r="U242">
        <v>40</v>
      </c>
      <c r="V242">
        <v>4</v>
      </c>
      <c r="W242">
        <v>4</v>
      </c>
      <c r="X242">
        <v>1</v>
      </c>
      <c r="AB242">
        <f t="shared" si="30"/>
        <v>2.0886230468749996</v>
      </c>
      <c r="AC242">
        <f t="shared" si="31"/>
        <v>2.0886230468749996</v>
      </c>
      <c r="AD242">
        <f t="shared" si="32"/>
        <v>1.875</v>
      </c>
      <c r="AE242">
        <f t="shared" si="34"/>
        <v>1.875</v>
      </c>
      <c r="AG242">
        <f t="shared" si="35"/>
        <v>1.0443115234374998</v>
      </c>
    </row>
    <row r="243" spans="1:33" x14ac:dyDescent="0.25">
      <c r="A243">
        <v>78</v>
      </c>
      <c r="B243">
        <f>IFERROR(VLOOKUP(A243,Capacity!$A$3:$D$532,4,), "0")</f>
        <v>90.477866879999993</v>
      </c>
      <c r="C243" s="4">
        <f>IFERROR(VLOOKUP(A243,Capacity!$A$3:$F$532,6,), "0")</f>
        <v>0.6</v>
      </c>
      <c r="D243">
        <v>77</v>
      </c>
      <c r="E243">
        <f>IFERROR(VLOOKUP(D243,Capacity!$A$3:$D$532,4,), "0")</f>
        <v>90.477866879999993</v>
      </c>
      <c r="F243" s="4">
        <f>IFERROR(VLOOKUP(D243,Capacity!$A$3:$F$532,6,), "0")</f>
        <v>0.6</v>
      </c>
      <c r="H243" t="str">
        <f>IFERROR(VLOOKUP(G243,Capacity!$A$3:$D$532,4,), "0")</f>
        <v>0</v>
      </c>
      <c r="I243" s="4" t="str">
        <f>IFERROR(VLOOKUP(G243,Capacity!$A$3:$F$532,6,), "0")</f>
        <v>0</v>
      </c>
      <c r="K243" t="str">
        <f>IFERROR(VLOOKUP(J243,Capacity!$A$3:$D$532,4,), "0")</f>
        <v>0</v>
      </c>
      <c r="L243" s="4" t="str">
        <f>IFERROR(VLOOKUP(J243,Capacity!$A$3:$F$532,6,), "0")</f>
        <v>0</v>
      </c>
      <c r="M243" s="5">
        <f t="shared" si="27"/>
        <v>90.477866879999993</v>
      </c>
      <c r="N243" s="5">
        <f t="shared" si="28"/>
        <v>0.6</v>
      </c>
      <c r="O243">
        <v>80</v>
      </c>
      <c r="P243">
        <f>IFERROR(VLOOKUP(O243,Capacity!$A$3:$D$532,4,), "0")</f>
        <v>90.477866879999993</v>
      </c>
      <c r="Q243" s="4">
        <f>IFERROR(VLOOKUP(O243,Capacity!$A$3:$F$532,6,), "0")</f>
        <v>0.6</v>
      </c>
      <c r="R243" s="5">
        <f t="shared" si="29"/>
        <v>90.477866879999993</v>
      </c>
      <c r="S243" s="5">
        <f t="shared" si="33"/>
        <v>0.6</v>
      </c>
      <c r="U243">
        <v>78</v>
      </c>
      <c r="V243">
        <v>2</v>
      </c>
      <c r="W243">
        <v>2</v>
      </c>
      <c r="X243">
        <v>1</v>
      </c>
      <c r="AB243">
        <f t="shared" si="30"/>
        <v>1</v>
      </c>
      <c r="AC243">
        <f t="shared" si="31"/>
        <v>1</v>
      </c>
      <c r="AD243">
        <f t="shared" si="32"/>
        <v>1</v>
      </c>
      <c r="AE243">
        <f t="shared" si="34"/>
        <v>1</v>
      </c>
      <c r="AG243">
        <f t="shared" si="35"/>
        <v>0.5</v>
      </c>
    </row>
    <row r="244" spans="1:33" x14ac:dyDescent="0.25">
      <c r="A244">
        <v>404</v>
      </c>
      <c r="B244">
        <f>IFERROR(VLOOKUP(A244,Capacity!$A$3:$D$532,4,), "0")</f>
        <v>21.166480142499999</v>
      </c>
      <c r="C244" s="4">
        <f>IFERROR(VLOOKUP(A244,Capacity!$A$3:$F$532,6,), "0")</f>
        <v>0.17499999999999999</v>
      </c>
      <c r="E244" t="str">
        <f>IFERROR(VLOOKUP(D244,Capacity!$A$3:$D$532,4,), "0")</f>
        <v>0</v>
      </c>
      <c r="F244" s="4" t="str">
        <f>IFERROR(VLOOKUP(D244,Capacity!$A$3:$F$532,6,), "0")</f>
        <v>0</v>
      </c>
      <c r="H244" t="str">
        <f>IFERROR(VLOOKUP(G244,Capacity!$A$3:$D$532,4,), "0")</f>
        <v>0</v>
      </c>
      <c r="I244" s="4" t="str">
        <f>IFERROR(VLOOKUP(G244,Capacity!$A$3:$F$532,6,), "0")</f>
        <v>0</v>
      </c>
      <c r="K244" t="str">
        <f>IFERROR(VLOOKUP(J244,Capacity!$A$3:$D$532,4,), "0")</f>
        <v>0</v>
      </c>
      <c r="L244" s="4" t="str">
        <f>IFERROR(VLOOKUP(J244,Capacity!$A$3:$F$532,6,), "0")</f>
        <v>0</v>
      </c>
      <c r="M244" s="5">
        <f t="shared" si="27"/>
        <v>0</v>
      </c>
      <c r="N244" s="5">
        <f t="shared" si="28"/>
        <v>0</v>
      </c>
      <c r="O244">
        <v>191</v>
      </c>
      <c r="P244">
        <f>IFERROR(VLOOKUP(O244,Capacity!$A$3:$D$532,4,), "0")</f>
        <v>22.619466719999998</v>
      </c>
      <c r="Q244" s="4">
        <f>IFERROR(VLOOKUP(O244,Capacity!$A$3:$F$532,6,), "0")</f>
        <v>0.3</v>
      </c>
      <c r="R244" s="5">
        <f t="shared" si="29"/>
        <v>22.619466719999998</v>
      </c>
      <c r="S244" s="5">
        <f t="shared" si="33"/>
        <v>0.3</v>
      </c>
      <c r="U244">
        <v>404</v>
      </c>
      <c r="V244">
        <v>0</v>
      </c>
      <c r="W244">
        <v>0</v>
      </c>
      <c r="X244">
        <v>1</v>
      </c>
      <c r="AB244">
        <f t="shared" si="30"/>
        <v>0</v>
      </c>
      <c r="AC244">
        <f t="shared" si="31"/>
        <v>0</v>
      </c>
      <c r="AD244">
        <f t="shared" si="32"/>
        <v>0</v>
      </c>
      <c r="AE244">
        <f t="shared" si="34"/>
        <v>0</v>
      </c>
      <c r="AG244">
        <f t="shared" si="35"/>
        <v>0</v>
      </c>
    </row>
    <row r="245" spans="1:33" x14ac:dyDescent="0.25">
      <c r="A245">
        <v>196</v>
      </c>
      <c r="B245">
        <f>IFERROR(VLOOKUP(A245,Capacity!$A$3:$D$532,4,), "0")</f>
        <v>22.619466719999998</v>
      </c>
      <c r="C245" s="4">
        <f>IFERROR(VLOOKUP(A245,Capacity!$A$3:$F$532,6,), "0")</f>
        <v>0.3</v>
      </c>
      <c r="D245">
        <v>402</v>
      </c>
      <c r="E245">
        <f>IFERROR(VLOOKUP(D245,Capacity!$A$3:$D$532,4,), "0")</f>
        <v>21.166480142499999</v>
      </c>
      <c r="F245" s="4">
        <f>IFERROR(VLOOKUP(D245,Capacity!$A$3:$F$532,6,), "0")</f>
        <v>0.17499999999999999</v>
      </c>
      <c r="G245">
        <v>197</v>
      </c>
      <c r="H245">
        <f>IFERROR(VLOOKUP(G245,Capacity!$A$3:$D$532,4,), "0")</f>
        <v>22.619466719999998</v>
      </c>
      <c r="I245" s="4">
        <f>IFERROR(VLOOKUP(G245,Capacity!$A$3:$F$532,6,), "0")</f>
        <v>0.3</v>
      </c>
      <c r="K245" t="str">
        <f>IFERROR(VLOOKUP(J245,Capacity!$A$3:$D$532,4,), "0")</f>
        <v>0</v>
      </c>
      <c r="L245" s="4" t="str">
        <f>IFERROR(VLOOKUP(J245,Capacity!$A$3:$F$532,6,), "0")</f>
        <v>0</v>
      </c>
      <c r="M245" s="5">
        <f t="shared" si="27"/>
        <v>43.785946862499998</v>
      </c>
      <c r="N245" s="5">
        <f t="shared" si="28"/>
        <v>0.47499999999999998</v>
      </c>
      <c r="O245">
        <v>191</v>
      </c>
      <c r="P245">
        <f>IFERROR(VLOOKUP(O245,Capacity!$A$3:$D$532,4,), "0")</f>
        <v>22.619466719999998</v>
      </c>
      <c r="Q245" s="4">
        <f>IFERROR(VLOOKUP(O245,Capacity!$A$3:$F$532,6,), "0")</f>
        <v>0.3</v>
      </c>
      <c r="R245" s="5">
        <f t="shared" si="29"/>
        <v>22.619466719999998</v>
      </c>
      <c r="S245" s="5">
        <f t="shared" si="33"/>
        <v>0.3</v>
      </c>
      <c r="U245">
        <v>196</v>
      </c>
      <c r="V245">
        <v>3</v>
      </c>
      <c r="W245">
        <v>3</v>
      </c>
      <c r="X245">
        <v>1</v>
      </c>
      <c r="AB245">
        <f t="shared" si="30"/>
        <v>1.9357638888888888</v>
      </c>
      <c r="AC245">
        <f t="shared" si="31"/>
        <v>1.9357638888888888</v>
      </c>
      <c r="AD245">
        <f t="shared" si="32"/>
        <v>1.5833333333333333</v>
      </c>
      <c r="AE245">
        <f t="shared" si="34"/>
        <v>1.5833333333333333</v>
      </c>
      <c r="AG245">
        <f t="shared" si="35"/>
        <v>0.96788194444444442</v>
      </c>
    </row>
    <row r="246" spans="1:33" x14ac:dyDescent="0.25">
      <c r="A246">
        <v>200</v>
      </c>
      <c r="B246">
        <f>IFERROR(VLOOKUP(A246,Capacity!$A$3:$D$532,4,), "0")</f>
        <v>10.053096320000002</v>
      </c>
      <c r="C246" s="4">
        <f>IFERROR(VLOOKUP(A246,Capacity!$A$3:$F$532,6,), "0")</f>
        <v>0.2</v>
      </c>
      <c r="D246">
        <v>465</v>
      </c>
      <c r="E246">
        <f>IFERROR(VLOOKUP(D246,Capacity!$A$3:$D$532,4,), "0")</f>
        <v>353.42916750000001</v>
      </c>
      <c r="F246" s="4">
        <f>IFERROR(VLOOKUP(D246,Capacity!$A$3:$F$532,6,), "0")</f>
        <v>0.75</v>
      </c>
      <c r="H246" t="str">
        <f>IFERROR(VLOOKUP(G246,Capacity!$A$3:$D$532,4,), "0")</f>
        <v>0</v>
      </c>
      <c r="I246" s="4" t="str">
        <f>IFERROR(VLOOKUP(G246,Capacity!$A$3:$F$532,6,), "0")</f>
        <v>0</v>
      </c>
      <c r="K246" t="str">
        <f>IFERROR(VLOOKUP(J246,Capacity!$A$3:$D$532,4,), "0")</f>
        <v>0</v>
      </c>
      <c r="L246" s="4" t="str">
        <f>IFERROR(VLOOKUP(J246,Capacity!$A$3:$F$532,6,), "0")</f>
        <v>0</v>
      </c>
      <c r="M246" s="5">
        <f t="shared" si="27"/>
        <v>353.42916750000001</v>
      </c>
      <c r="N246" s="5">
        <f t="shared" si="28"/>
        <v>0.75</v>
      </c>
      <c r="O246">
        <v>202</v>
      </c>
      <c r="P246">
        <f>IFERROR(VLOOKUP(O246,Capacity!$A$3:$D$532,4,), "0")</f>
        <v>28.902651920000004</v>
      </c>
      <c r="Q246" s="4">
        <f>IFERROR(VLOOKUP(O246,Capacity!$A$3:$F$532,6,), "0")</f>
        <v>0.2</v>
      </c>
      <c r="R246" s="5">
        <f t="shared" si="29"/>
        <v>28.902651920000004</v>
      </c>
      <c r="S246" s="5">
        <f t="shared" si="33"/>
        <v>0.2</v>
      </c>
      <c r="U246">
        <v>200</v>
      </c>
      <c r="V246">
        <v>2</v>
      </c>
      <c r="W246">
        <v>2</v>
      </c>
      <c r="X246">
        <v>1</v>
      </c>
      <c r="AB246">
        <f t="shared" si="30"/>
        <v>12.228260869565215</v>
      </c>
      <c r="AC246">
        <f t="shared" si="31"/>
        <v>35.156249999999993</v>
      </c>
      <c r="AD246">
        <f t="shared" si="32"/>
        <v>3.75</v>
      </c>
      <c r="AE246">
        <f t="shared" si="34"/>
        <v>3.75</v>
      </c>
      <c r="AG246">
        <f t="shared" si="35"/>
        <v>9.07258064516129</v>
      </c>
    </row>
    <row r="247" spans="1:33" x14ac:dyDescent="0.25">
      <c r="A247">
        <v>467</v>
      </c>
      <c r="B247">
        <f>IFERROR(VLOOKUP(A247,Capacity!$A$3:$D$532,4,), "0")</f>
        <v>38.484509349999996</v>
      </c>
      <c r="C247" s="4">
        <f>IFERROR(VLOOKUP(A247,Capacity!$A$3:$F$532,6,), "0")</f>
        <v>0.17499999999999999</v>
      </c>
      <c r="E247" t="str">
        <f>IFERROR(VLOOKUP(D247,Capacity!$A$3:$D$532,4,), "0")</f>
        <v>0</v>
      </c>
      <c r="F247" s="4" t="str">
        <f>IFERROR(VLOOKUP(D247,Capacity!$A$3:$F$532,6,), "0")</f>
        <v>0</v>
      </c>
      <c r="H247" t="str">
        <f>IFERROR(VLOOKUP(G247,Capacity!$A$3:$D$532,4,), "0")</f>
        <v>0</v>
      </c>
      <c r="I247" s="4" t="str">
        <f>IFERROR(VLOOKUP(G247,Capacity!$A$3:$F$532,6,), "0")</f>
        <v>0</v>
      </c>
      <c r="K247" t="str">
        <f>IFERROR(VLOOKUP(J247,Capacity!$A$3:$D$532,4,), "0")</f>
        <v>0</v>
      </c>
      <c r="L247" s="4" t="str">
        <f>IFERROR(VLOOKUP(J247,Capacity!$A$3:$F$532,6,), "0")</f>
        <v>0</v>
      </c>
      <c r="M247" s="5">
        <f t="shared" si="27"/>
        <v>0</v>
      </c>
      <c r="N247" s="5">
        <f t="shared" si="28"/>
        <v>0</v>
      </c>
      <c r="O247">
        <v>204</v>
      </c>
      <c r="P247">
        <f>IFERROR(VLOOKUP(O247,Capacity!$A$3:$D$532,4,), "0")</f>
        <v>6.734789136249999</v>
      </c>
      <c r="Q247" s="4">
        <f>IFERROR(VLOOKUP(O247,Capacity!$A$3:$F$532,6,), "0")</f>
        <v>0.17499999999999999</v>
      </c>
      <c r="R247" s="5">
        <f t="shared" si="29"/>
        <v>6.734789136249999</v>
      </c>
      <c r="S247" s="5">
        <f t="shared" si="33"/>
        <v>0.17499999999999999</v>
      </c>
      <c r="U247">
        <v>467</v>
      </c>
      <c r="V247">
        <v>0</v>
      </c>
      <c r="W247">
        <v>0</v>
      </c>
      <c r="X247">
        <v>1</v>
      </c>
      <c r="AB247">
        <f t="shared" si="30"/>
        <v>0</v>
      </c>
      <c r="AC247">
        <f t="shared" si="31"/>
        <v>0</v>
      </c>
      <c r="AD247">
        <f t="shared" si="32"/>
        <v>0</v>
      </c>
      <c r="AE247">
        <f t="shared" si="34"/>
        <v>0</v>
      </c>
      <c r="AG247">
        <f t="shared" si="35"/>
        <v>0</v>
      </c>
    </row>
    <row r="248" spans="1:33" x14ac:dyDescent="0.25">
      <c r="A248">
        <v>211</v>
      </c>
      <c r="B248">
        <f>IFERROR(VLOOKUP(A248,Capacity!$A$3:$D$532,4,), "0")</f>
        <v>4.8105636687499995</v>
      </c>
      <c r="C248" s="4">
        <f>IFERROR(VLOOKUP(A248,Capacity!$A$3:$F$532,6,), "0")</f>
        <v>0.17499999999999999</v>
      </c>
      <c r="D248">
        <v>218</v>
      </c>
      <c r="E248">
        <f>IFERROR(VLOOKUP(D248,Capacity!$A$3:$D$532,4,), "0")</f>
        <v>9.621127337499999</v>
      </c>
      <c r="F248" s="4">
        <f>IFERROR(VLOOKUP(D248,Capacity!$A$3:$F$532,6,), "0")</f>
        <v>0.17499999999999999</v>
      </c>
      <c r="H248" t="str">
        <f>IFERROR(VLOOKUP(G248,Capacity!$A$3:$D$532,4,), "0")</f>
        <v>0</v>
      </c>
      <c r="I248" s="4" t="str">
        <f>IFERROR(VLOOKUP(G248,Capacity!$A$3:$F$532,6,), "0")</f>
        <v>0</v>
      </c>
      <c r="K248" t="str">
        <f>IFERROR(VLOOKUP(J248,Capacity!$A$3:$D$532,4,), "0")</f>
        <v>0</v>
      </c>
      <c r="L248" s="4" t="str">
        <f>IFERROR(VLOOKUP(J248,Capacity!$A$3:$F$532,6,), "0")</f>
        <v>0</v>
      </c>
      <c r="M248" s="5">
        <f t="shared" si="27"/>
        <v>9.621127337499999</v>
      </c>
      <c r="N248" s="5">
        <f t="shared" si="28"/>
        <v>0.17499999999999999</v>
      </c>
      <c r="O248">
        <v>210</v>
      </c>
      <c r="P248">
        <f>IFERROR(VLOOKUP(O248,Capacity!$A$3:$D$532,4,), "0")</f>
        <v>50.265481600000015</v>
      </c>
      <c r="Q248" s="4">
        <f>IFERROR(VLOOKUP(O248,Capacity!$A$3:$F$532,6,), "0")</f>
        <v>0.4</v>
      </c>
      <c r="R248" s="5">
        <f t="shared" si="29"/>
        <v>50.265481600000015</v>
      </c>
      <c r="S248" s="5">
        <f t="shared" si="33"/>
        <v>0.4</v>
      </c>
      <c r="U248">
        <v>211</v>
      </c>
      <c r="V248">
        <v>1</v>
      </c>
      <c r="W248">
        <v>1</v>
      </c>
      <c r="X248">
        <v>1</v>
      </c>
      <c r="AB248">
        <f t="shared" si="30"/>
        <v>0.19140624999999992</v>
      </c>
      <c r="AC248">
        <f t="shared" si="31"/>
        <v>2</v>
      </c>
      <c r="AD248">
        <f t="shared" si="32"/>
        <v>0.43749999999999994</v>
      </c>
      <c r="AE248">
        <f t="shared" si="34"/>
        <v>1</v>
      </c>
      <c r="AG248">
        <f t="shared" si="35"/>
        <v>0.17468805704099816</v>
      </c>
    </row>
    <row r="249" spans="1:33" x14ac:dyDescent="0.25">
      <c r="A249">
        <v>203</v>
      </c>
      <c r="B249">
        <f>IFERROR(VLOOKUP(A249,Capacity!$A$3:$D$532,4,), "0")</f>
        <v>75.398222400000023</v>
      </c>
      <c r="C249" s="4">
        <f>IFERROR(VLOOKUP(A249,Capacity!$A$3:$F$532,6,), "0")</f>
        <v>0.4</v>
      </c>
      <c r="D249">
        <v>468</v>
      </c>
      <c r="E249">
        <f>IFERROR(VLOOKUP(D249,Capacity!$A$3:$D$532,4,), "0")</f>
        <v>8.1779582368749981</v>
      </c>
      <c r="F249" s="4">
        <f>IFERROR(VLOOKUP(D249,Capacity!$A$3:$F$532,6,), "0")</f>
        <v>0.17499999999999999</v>
      </c>
      <c r="G249">
        <v>466</v>
      </c>
      <c r="H249">
        <f>IFERROR(VLOOKUP(G249,Capacity!$A$3:$D$532,4,), "0")</f>
        <v>22.128592876249996</v>
      </c>
      <c r="I249" s="4">
        <f>IFERROR(VLOOKUP(G249,Capacity!$A$3:$F$532,6,), "0")</f>
        <v>0.17499999999999999</v>
      </c>
      <c r="J249">
        <v>219</v>
      </c>
      <c r="K249">
        <f>IFERROR(VLOOKUP(J249,Capacity!$A$3:$D$532,4,), "0")</f>
        <v>50.265481600000015</v>
      </c>
      <c r="L249" s="4">
        <f>IFERROR(VLOOKUP(J249,Capacity!$A$3:$F$532,6,), "0")</f>
        <v>0.4</v>
      </c>
      <c r="M249" s="5">
        <f t="shared" si="27"/>
        <v>80.572032713125012</v>
      </c>
      <c r="N249" s="5">
        <f t="shared" si="28"/>
        <v>0.75</v>
      </c>
      <c r="O249">
        <v>210</v>
      </c>
      <c r="P249">
        <f>IFERROR(VLOOKUP(O249,Capacity!$A$3:$D$532,4,), "0")</f>
        <v>50.265481600000015</v>
      </c>
      <c r="Q249" s="4">
        <f>IFERROR(VLOOKUP(O249,Capacity!$A$3:$F$532,6,), "0")</f>
        <v>0.4</v>
      </c>
      <c r="R249" s="5">
        <f t="shared" si="29"/>
        <v>50.265481600000015</v>
      </c>
      <c r="S249" s="5">
        <f t="shared" si="33"/>
        <v>0.4</v>
      </c>
      <c r="U249">
        <v>203</v>
      </c>
      <c r="V249">
        <v>4</v>
      </c>
      <c r="W249">
        <v>4</v>
      </c>
      <c r="X249">
        <v>1</v>
      </c>
      <c r="AB249">
        <f t="shared" si="30"/>
        <v>1.6029296874999996</v>
      </c>
      <c r="AC249">
        <f t="shared" si="31"/>
        <v>1.0686197916666664</v>
      </c>
      <c r="AD249">
        <f t="shared" si="32"/>
        <v>1.875</v>
      </c>
      <c r="AE249">
        <f t="shared" si="34"/>
        <v>1.875</v>
      </c>
      <c r="AG249">
        <f t="shared" si="35"/>
        <v>0.64117187499999995</v>
      </c>
    </row>
    <row r="250" spans="1:33" x14ac:dyDescent="0.25">
      <c r="A250">
        <v>475</v>
      </c>
      <c r="B250">
        <f>IFERROR(VLOOKUP(A250,Capacity!$A$3:$D$532,4,), "0")</f>
        <v>26.939156544999996</v>
      </c>
      <c r="C250" s="4">
        <f>IFERROR(VLOOKUP(A250,Capacity!$A$3:$F$532,6,), "0")</f>
        <v>0.17499999999999999</v>
      </c>
      <c r="E250" t="str">
        <f>IFERROR(VLOOKUP(D250,Capacity!$A$3:$D$532,4,), "0")</f>
        <v>0</v>
      </c>
      <c r="F250" s="4" t="str">
        <f>IFERROR(VLOOKUP(D250,Capacity!$A$3:$F$532,6,), "0")</f>
        <v>0</v>
      </c>
      <c r="H250" t="str">
        <f>IFERROR(VLOOKUP(G250,Capacity!$A$3:$D$532,4,), "0")</f>
        <v>0</v>
      </c>
      <c r="I250" s="4" t="str">
        <f>IFERROR(VLOOKUP(G250,Capacity!$A$3:$F$532,6,), "0")</f>
        <v>0</v>
      </c>
      <c r="K250" t="str">
        <f>IFERROR(VLOOKUP(J250,Capacity!$A$3:$D$532,4,), "0")</f>
        <v>0</v>
      </c>
      <c r="L250" s="4" t="str">
        <f>IFERROR(VLOOKUP(J250,Capacity!$A$3:$F$532,6,), "0")</f>
        <v>0</v>
      </c>
      <c r="M250" s="5">
        <f t="shared" si="27"/>
        <v>0</v>
      </c>
      <c r="N250" s="5">
        <f t="shared" si="28"/>
        <v>0</v>
      </c>
      <c r="O250">
        <v>217</v>
      </c>
      <c r="P250">
        <f>IFERROR(VLOOKUP(O250,Capacity!$A$3:$D$532,4,), "0")</f>
        <v>19.242254674999998</v>
      </c>
      <c r="Q250" s="4">
        <f>IFERROR(VLOOKUP(O250,Capacity!$A$3:$F$532,6,), "0")</f>
        <v>0.17499999999999999</v>
      </c>
      <c r="R250" s="5">
        <f t="shared" si="29"/>
        <v>19.242254674999998</v>
      </c>
      <c r="S250" s="5">
        <f t="shared" si="33"/>
        <v>0.17499999999999999</v>
      </c>
      <c r="U250">
        <v>475</v>
      </c>
      <c r="V250">
        <v>0</v>
      </c>
      <c r="W250">
        <v>0</v>
      </c>
      <c r="X250">
        <v>1</v>
      </c>
      <c r="AB250">
        <f t="shared" si="30"/>
        <v>0</v>
      </c>
      <c r="AC250">
        <f t="shared" si="31"/>
        <v>0</v>
      </c>
      <c r="AD250">
        <f t="shared" si="32"/>
        <v>0</v>
      </c>
      <c r="AE250">
        <f t="shared" si="34"/>
        <v>0</v>
      </c>
      <c r="AG250">
        <f t="shared" si="35"/>
        <v>0</v>
      </c>
    </row>
    <row r="251" spans="1:33" x14ac:dyDescent="0.25">
      <c r="A251">
        <v>231</v>
      </c>
      <c r="B251">
        <f>IFERROR(VLOOKUP(A251,Capacity!$A$3:$D$532,4,), "0")</f>
        <v>16.355916473749996</v>
      </c>
      <c r="C251" s="4">
        <f>IFERROR(VLOOKUP(A251,Capacity!$A$3:$F$532,6,), "0")</f>
        <v>0.17499999999999999</v>
      </c>
      <c r="D251">
        <v>274</v>
      </c>
      <c r="E251">
        <f>IFERROR(VLOOKUP(D251,Capacity!$A$3:$D$532,4,), "0")</f>
        <v>4.8105636687499995</v>
      </c>
      <c r="F251" s="4">
        <f>IFERROR(VLOOKUP(D251,Capacity!$A$3:$F$532,6,), "0")</f>
        <v>0.17499999999999999</v>
      </c>
      <c r="G251">
        <v>230</v>
      </c>
      <c r="H251">
        <f>IFERROR(VLOOKUP(G251,Capacity!$A$3:$D$532,4,), "0")</f>
        <v>26.939156544999996</v>
      </c>
      <c r="I251" s="4">
        <f>IFERROR(VLOOKUP(G251,Capacity!$A$3:$F$532,6,), "0")</f>
        <v>0.17499999999999999</v>
      </c>
      <c r="K251" t="str">
        <f>IFERROR(VLOOKUP(J251,Capacity!$A$3:$D$532,4,), "0")</f>
        <v>0</v>
      </c>
      <c r="L251" s="4" t="str">
        <f>IFERROR(VLOOKUP(J251,Capacity!$A$3:$F$532,6,), "0")</f>
        <v>0</v>
      </c>
      <c r="M251" s="5">
        <f t="shared" si="27"/>
        <v>31.749720213749995</v>
      </c>
      <c r="N251" s="5">
        <f t="shared" si="28"/>
        <v>0.35</v>
      </c>
      <c r="O251">
        <v>217</v>
      </c>
      <c r="P251">
        <f>IFERROR(VLOOKUP(O251,Capacity!$A$3:$D$532,4,), "0")</f>
        <v>19.242254674999998</v>
      </c>
      <c r="Q251" s="4">
        <f>IFERROR(VLOOKUP(O251,Capacity!$A$3:$F$532,6,), "0")</f>
        <v>0.17499999999999999</v>
      </c>
      <c r="R251" s="5">
        <f t="shared" si="29"/>
        <v>19.242254674999998</v>
      </c>
      <c r="S251" s="5">
        <f t="shared" si="33"/>
        <v>0.17499999999999999</v>
      </c>
      <c r="U251">
        <v>231</v>
      </c>
      <c r="V251">
        <v>3</v>
      </c>
      <c r="W251">
        <v>3</v>
      </c>
      <c r="X251">
        <v>1</v>
      </c>
      <c r="AB251">
        <f t="shared" si="30"/>
        <v>1.65</v>
      </c>
      <c r="AC251">
        <f t="shared" si="31"/>
        <v>1.9411764705882355</v>
      </c>
      <c r="AD251">
        <f t="shared" si="32"/>
        <v>2</v>
      </c>
      <c r="AE251">
        <f t="shared" si="34"/>
        <v>2</v>
      </c>
      <c r="AG251">
        <f t="shared" si="35"/>
        <v>0.89189189189189177</v>
      </c>
    </row>
    <row r="252" spans="1:33" x14ac:dyDescent="0.25">
      <c r="A252">
        <v>107</v>
      </c>
      <c r="B252">
        <f>IFERROR(VLOOKUP(A252,Capacity!$A$3:$D$532,4,), "0")</f>
        <v>20.204367408749999</v>
      </c>
      <c r="C252" s="4">
        <f>IFERROR(VLOOKUP(A252,Capacity!$A$3:$F$532,6,), "0")</f>
        <v>0.17499999999999999</v>
      </c>
      <c r="E252" t="str">
        <f>IFERROR(VLOOKUP(D252,Capacity!$A$3:$D$532,4,), "0")</f>
        <v>0</v>
      </c>
      <c r="F252" s="4" t="str">
        <f>IFERROR(VLOOKUP(D252,Capacity!$A$3:$F$532,6,), "0")</f>
        <v>0</v>
      </c>
      <c r="H252" t="str">
        <f>IFERROR(VLOOKUP(G252,Capacity!$A$3:$D$532,4,), "0")</f>
        <v>0</v>
      </c>
      <c r="I252" s="4" t="str">
        <f>IFERROR(VLOOKUP(G252,Capacity!$A$3:$F$532,6,), "0")</f>
        <v>0</v>
      </c>
      <c r="K252" t="str">
        <f>IFERROR(VLOOKUP(J252,Capacity!$A$3:$D$532,4,), "0")</f>
        <v>0</v>
      </c>
      <c r="L252" s="4" t="str">
        <f>IFERROR(VLOOKUP(J252,Capacity!$A$3:$F$532,6,), "0")</f>
        <v>0</v>
      </c>
      <c r="M252" s="5">
        <f t="shared" si="27"/>
        <v>0</v>
      </c>
      <c r="N252" s="5">
        <f t="shared" si="28"/>
        <v>0</v>
      </c>
      <c r="O252">
        <v>106</v>
      </c>
      <c r="P252">
        <f>IFERROR(VLOOKUP(O252,Capacity!$A$3:$D$532,4,), "0")</f>
        <v>13.469578272499998</v>
      </c>
      <c r="Q252" s="4">
        <f>IFERROR(VLOOKUP(O252,Capacity!$A$3:$F$532,6,), "0")</f>
        <v>0.17499999999999999</v>
      </c>
      <c r="R252" s="5">
        <f t="shared" si="29"/>
        <v>13.469578272499998</v>
      </c>
      <c r="S252" s="5">
        <f t="shared" si="33"/>
        <v>0.17499999999999999</v>
      </c>
      <c r="U252">
        <v>107</v>
      </c>
      <c r="V252">
        <v>0</v>
      </c>
      <c r="W252">
        <v>0</v>
      </c>
      <c r="X252">
        <v>1</v>
      </c>
      <c r="AB252">
        <f t="shared" si="30"/>
        <v>0</v>
      </c>
      <c r="AC252">
        <f t="shared" si="31"/>
        <v>0</v>
      </c>
      <c r="AD252">
        <f t="shared" si="32"/>
        <v>0</v>
      </c>
      <c r="AE252">
        <f t="shared" si="34"/>
        <v>0</v>
      </c>
      <c r="AG252">
        <f t="shared" si="35"/>
        <v>0</v>
      </c>
    </row>
    <row r="253" spans="1:33" x14ac:dyDescent="0.25">
      <c r="A253">
        <v>105</v>
      </c>
      <c r="B253">
        <f>IFERROR(VLOOKUP(A253,Capacity!$A$3:$D$532,4,), "0")</f>
        <v>30.787607479999995</v>
      </c>
      <c r="C253" s="4">
        <f>IFERROR(VLOOKUP(A253,Capacity!$A$3:$F$532,6,), "0")</f>
        <v>0.17499999999999999</v>
      </c>
      <c r="D253">
        <v>430</v>
      </c>
      <c r="E253">
        <f>IFERROR(VLOOKUP(D253,Capacity!$A$3:$D$532,4,), "0")</f>
        <v>20.204367408749999</v>
      </c>
      <c r="F253" s="4">
        <f>IFERROR(VLOOKUP(D253,Capacity!$A$3:$F$532,6,), "0")</f>
        <v>0.17499999999999999</v>
      </c>
      <c r="G253">
        <v>104</v>
      </c>
      <c r="H253">
        <f>IFERROR(VLOOKUP(G253,Capacity!$A$3:$D$532,4,), "0")</f>
        <v>19.242254674999998</v>
      </c>
      <c r="I253" s="4">
        <f>IFERROR(VLOOKUP(G253,Capacity!$A$3:$F$532,6,), "0")</f>
        <v>0.17499999999999999</v>
      </c>
      <c r="K253" t="str">
        <f>IFERROR(VLOOKUP(J253,Capacity!$A$3:$D$532,4,), "0")</f>
        <v>0</v>
      </c>
      <c r="L253" s="4" t="str">
        <f>IFERROR(VLOOKUP(J253,Capacity!$A$3:$F$532,6,), "0")</f>
        <v>0</v>
      </c>
      <c r="M253" s="5">
        <f t="shared" si="27"/>
        <v>39.44662208375</v>
      </c>
      <c r="N253" s="5">
        <f t="shared" si="28"/>
        <v>0.35</v>
      </c>
      <c r="O253">
        <v>106</v>
      </c>
      <c r="P253">
        <f>IFERROR(VLOOKUP(O253,Capacity!$A$3:$D$532,4,), "0")</f>
        <v>13.469578272499998</v>
      </c>
      <c r="Q253" s="4">
        <f>IFERROR(VLOOKUP(O253,Capacity!$A$3:$F$532,6,), "0")</f>
        <v>0.17499999999999999</v>
      </c>
      <c r="R253" s="5">
        <f t="shared" si="29"/>
        <v>13.469578272499998</v>
      </c>
      <c r="S253" s="5">
        <f t="shared" si="33"/>
        <v>0.17499999999999999</v>
      </c>
      <c r="U253">
        <v>105</v>
      </c>
      <c r="V253">
        <v>2</v>
      </c>
      <c r="W253">
        <v>2</v>
      </c>
      <c r="X253">
        <v>1</v>
      </c>
      <c r="AB253">
        <f t="shared" si="30"/>
        <v>2.9285714285714288</v>
      </c>
      <c r="AC253">
        <f t="shared" si="31"/>
        <v>1.2812500000000002</v>
      </c>
      <c r="AD253">
        <f t="shared" si="32"/>
        <v>2</v>
      </c>
      <c r="AE253">
        <f t="shared" si="34"/>
        <v>2</v>
      </c>
      <c r="AG253">
        <f t="shared" si="35"/>
        <v>0.89130434782608714</v>
      </c>
    </row>
    <row r="254" spans="1:33" x14ac:dyDescent="0.25">
      <c r="A254">
        <v>108</v>
      </c>
      <c r="B254">
        <f>IFERROR(VLOOKUP(A254,Capacity!$A$3:$D$532,4,), "0")</f>
        <v>15.393803739999997</v>
      </c>
      <c r="C254" s="4">
        <f>IFERROR(VLOOKUP(A254,Capacity!$A$3:$F$532,6,), "0")</f>
        <v>0.17499999999999999</v>
      </c>
      <c r="D254">
        <v>429</v>
      </c>
      <c r="E254">
        <f>IFERROR(VLOOKUP(D254,Capacity!$A$3:$D$532,4,), "0")</f>
        <v>15.393803739999997</v>
      </c>
      <c r="F254" s="4">
        <f>IFERROR(VLOOKUP(D254,Capacity!$A$3:$F$532,6,), "0")</f>
        <v>0.17499999999999999</v>
      </c>
      <c r="H254" t="str">
        <f>IFERROR(VLOOKUP(G254,Capacity!$A$3:$D$532,4,), "0")</f>
        <v>0</v>
      </c>
      <c r="I254" s="4" t="str">
        <f>IFERROR(VLOOKUP(G254,Capacity!$A$3:$F$532,6,), "0")</f>
        <v>0</v>
      </c>
      <c r="K254" t="str">
        <f>IFERROR(VLOOKUP(J254,Capacity!$A$3:$D$532,4,), "0")</f>
        <v>0</v>
      </c>
      <c r="L254" s="4" t="str">
        <f>IFERROR(VLOOKUP(J254,Capacity!$A$3:$F$532,6,), "0")</f>
        <v>0</v>
      </c>
      <c r="M254" s="5">
        <f t="shared" si="27"/>
        <v>15.393803739999997</v>
      </c>
      <c r="N254" s="5">
        <f t="shared" si="28"/>
        <v>0.17499999999999999</v>
      </c>
      <c r="O254">
        <v>109</v>
      </c>
      <c r="P254">
        <f>IFERROR(VLOOKUP(O254,Capacity!$A$3:$D$532,4,), "0")</f>
        <v>14.431691006249999</v>
      </c>
      <c r="Q254" s="4">
        <f>IFERROR(VLOOKUP(O254,Capacity!$A$3:$F$532,6,), "0")</f>
        <v>0.17499999999999999</v>
      </c>
      <c r="R254" s="5">
        <f t="shared" si="29"/>
        <v>14.431691006249999</v>
      </c>
      <c r="S254" s="5">
        <f t="shared" si="33"/>
        <v>0.17499999999999999</v>
      </c>
      <c r="U254">
        <v>108</v>
      </c>
      <c r="V254">
        <v>1</v>
      </c>
      <c r="W254">
        <v>1</v>
      </c>
      <c r="X254">
        <v>1</v>
      </c>
      <c r="AB254">
        <f t="shared" si="30"/>
        <v>1.0666666666666667</v>
      </c>
      <c r="AC254">
        <f t="shared" si="31"/>
        <v>1</v>
      </c>
      <c r="AD254">
        <f t="shared" si="32"/>
        <v>1</v>
      </c>
      <c r="AE254">
        <f t="shared" si="34"/>
        <v>1</v>
      </c>
      <c r="AG254">
        <f t="shared" si="35"/>
        <v>0.5161290322580645</v>
      </c>
    </row>
    <row r="255" spans="1:33" x14ac:dyDescent="0.25">
      <c r="A255">
        <v>435</v>
      </c>
      <c r="B255">
        <f>IFERROR(VLOOKUP(A255,Capacity!$A$3:$D$532,4,), "0")</f>
        <v>9.621127337499999</v>
      </c>
      <c r="C255" s="4">
        <f>IFERROR(VLOOKUP(A255,Capacity!$A$3:$F$532,6,), "0")</f>
        <v>0.17499999999999999</v>
      </c>
      <c r="E255" t="str">
        <f>IFERROR(VLOOKUP(D255,Capacity!$A$3:$D$532,4,), "0")</f>
        <v>0</v>
      </c>
      <c r="F255" s="4" t="str">
        <f>IFERROR(VLOOKUP(D255,Capacity!$A$3:$F$532,6,), "0")</f>
        <v>0</v>
      </c>
      <c r="H255" t="str">
        <f>IFERROR(VLOOKUP(G255,Capacity!$A$3:$D$532,4,), "0")</f>
        <v>0</v>
      </c>
      <c r="I255" s="4" t="str">
        <f>IFERROR(VLOOKUP(G255,Capacity!$A$3:$F$532,6,), "0")</f>
        <v>0</v>
      </c>
      <c r="K255" t="str">
        <f>IFERROR(VLOOKUP(J255,Capacity!$A$3:$D$532,4,), "0")</f>
        <v>0</v>
      </c>
      <c r="L255" s="4" t="str">
        <f>IFERROR(VLOOKUP(J255,Capacity!$A$3:$F$532,6,), "0")</f>
        <v>0</v>
      </c>
      <c r="M255" s="5">
        <f t="shared" si="27"/>
        <v>0</v>
      </c>
      <c r="N255" s="5">
        <f t="shared" si="28"/>
        <v>0</v>
      </c>
      <c r="O255">
        <v>115</v>
      </c>
      <c r="P255">
        <f>IFERROR(VLOOKUP(O255,Capacity!$A$3:$D$532,4,), "0")</f>
        <v>18.849555600000006</v>
      </c>
      <c r="Q255" s="4">
        <f>IFERROR(VLOOKUP(O255,Capacity!$A$3:$F$532,6,), "0")</f>
        <v>0.2</v>
      </c>
      <c r="R255" s="5">
        <f t="shared" si="29"/>
        <v>18.849555600000006</v>
      </c>
      <c r="S255" s="5">
        <f t="shared" si="33"/>
        <v>0.2</v>
      </c>
      <c r="U255">
        <v>435</v>
      </c>
      <c r="V255">
        <v>0</v>
      </c>
      <c r="W255">
        <v>0</v>
      </c>
      <c r="X255">
        <v>1</v>
      </c>
      <c r="AB255">
        <f t="shared" si="30"/>
        <v>0</v>
      </c>
      <c r="AC255">
        <f t="shared" si="31"/>
        <v>0</v>
      </c>
      <c r="AD255">
        <f t="shared" si="32"/>
        <v>0</v>
      </c>
      <c r="AE255">
        <f t="shared" si="34"/>
        <v>0</v>
      </c>
      <c r="AG255">
        <f t="shared" si="35"/>
        <v>0</v>
      </c>
    </row>
    <row r="256" spans="1:33" x14ac:dyDescent="0.25">
      <c r="A256">
        <v>432</v>
      </c>
      <c r="B256">
        <f>IFERROR(VLOOKUP(A256,Capacity!$A$3:$D$532,4,), "0")</f>
        <v>7.6969018699999987</v>
      </c>
      <c r="C256" s="4">
        <f>IFERROR(VLOOKUP(A256,Capacity!$A$3:$F$532,6,), "0")</f>
        <v>0.17499999999999999</v>
      </c>
      <c r="E256" t="str">
        <f>IFERROR(VLOOKUP(D256,Capacity!$A$3:$D$532,4,), "0")</f>
        <v>0</v>
      </c>
      <c r="F256" s="4" t="str">
        <f>IFERROR(VLOOKUP(D256,Capacity!$A$3:$F$532,6,), "0")</f>
        <v>0</v>
      </c>
      <c r="H256" t="str">
        <f>IFERROR(VLOOKUP(G256,Capacity!$A$3:$D$532,4,), "0")</f>
        <v>0</v>
      </c>
      <c r="I256" s="4" t="str">
        <f>IFERROR(VLOOKUP(G256,Capacity!$A$3:$F$532,6,), "0")</f>
        <v>0</v>
      </c>
      <c r="K256" t="str">
        <f>IFERROR(VLOOKUP(J256,Capacity!$A$3:$D$532,4,), "0")</f>
        <v>0</v>
      </c>
      <c r="L256" s="4" t="str">
        <f>IFERROR(VLOOKUP(J256,Capacity!$A$3:$F$532,6,), "0")</f>
        <v>0</v>
      </c>
      <c r="M256" s="5">
        <f t="shared" si="27"/>
        <v>0</v>
      </c>
      <c r="N256" s="5">
        <f t="shared" si="28"/>
        <v>0</v>
      </c>
      <c r="O256">
        <v>115</v>
      </c>
      <c r="P256">
        <f>IFERROR(VLOOKUP(O256,Capacity!$A$3:$D$532,4,), "0")</f>
        <v>18.849555600000006</v>
      </c>
      <c r="Q256" s="4">
        <f>IFERROR(VLOOKUP(O256,Capacity!$A$3:$F$532,6,), "0")</f>
        <v>0.2</v>
      </c>
      <c r="R256" s="5">
        <f t="shared" si="29"/>
        <v>18.849555600000006</v>
      </c>
      <c r="S256" s="5">
        <f t="shared" si="33"/>
        <v>0.2</v>
      </c>
      <c r="U256">
        <v>432</v>
      </c>
      <c r="V256">
        <v>0</v>
      </c>
      <c r="W256">
        <v>0</v>
      </c>
      <c r="X256">
        <v>1</v>
      </c>
      <c r="AB256">
        <f t="shared" si="30"/>
        <v>0</v>
      </c>
      <c r="AC256">
        <f t="shared" si="31"/>
        <v>0</v>
      </c>
      <c r="AD256">
        <f t="shared" si="32"/>
        <v>0</v>
      </c>
      <c r="AE256">
        <f t="shared" si="34"/>
        <v>0</v>
      </c>
      <c r="AG256">
        <f t="shared" si="35"/>
        <v>0</v>
      </c>
    </row>
    <row r="257" spans="1:33" x14ac:dyDescent="0.25">
      <c r="A257">
        <v>116</v>
      </c>
      <c r="B257">
        <f>IFERROR(VLOOKUP(A257,Capacity!$A$3:$D$532,4,), "0")</f>
        <v>16.336281520000004</v>
      </c>
      <c r="C257" s="4">
        <f>IFERROR(VLOOKUP(A257,Capacity!$A$3:$F$532,6,), "0")</f>
        <v>0.2</v>
      </c>
      <c r="E257" t="str">
        <f>IFERROR(VLOOKUP(D257,Capacity!$A$3:$D$532,4,), "0")</f>
        <v>0</v>
      </c>
      <c r="F257" s="4" t="str">
        <f>IFERROR(VLOOKUP(D257,Capacity!$A$3:$F$532,6,), "0")</f>
        <v>0</v>
      </c>
      <c r="H257" t="str">
        <f>IFERROR(VLOOKUP(G257,Capacity!$A$3:$D$532,4,), "0")</f>
        <v>0</v>
      </c>
      <c r="I257" s="4" t="str">
        <f>IFERROR(VLOOKUP(G257,Capacity!$A$3:$F$532,6,), "0")</f>
        <v>0</v>
      </c>
      <c r="K257" t="str">
        <f>IFERROR(VLOOKUP(J257,Capacity!$A$3:$D$532,4,), "0")</f>
        <v>0</v>
      </c>
      <c r="L257" s="4" t="str">
        <f>IFERROR(VLOOKUP(J257,Capacity!$A$3:$F$532,6,), "0")</f>
        <v>0</v>
      </c>
      <c r="M257" s="5">
        <f t="shared" si="27"/>
        <v>0</v>
      </c>
      <c r="N257" s="5">
        <f t="shared" si="28"/>
        <v>0</v>
      </c>
      <c r="O257">
        <v>115</v>
      </c>
      <c r="P257">
        <f>IFERROR(VLOOKUP(O257,Capacity!$A$3:$D$532,4,), "0")</f>
        <v>18.849555600000006</v>
      </c>
      <c r="Q257" s="4">
        <f>IFERROR(VLOOKUP(O257,Capacity!$A$3:$F$532,6,), "0")</f>
        <v>0.2</v>
      </c>
      <c r="R257" s="5">
        <f t="shared" si="29"/>
        <v>18.849555600000006</v>
      </c>
      <c r="S257" s="5">
        <f t="shared" si="33"/>
        <v>0.2</v>
      </c>
      <c r="U257">
        <v>116</v>
      </c>
      <c r="V257">
        <v>0</v>
      </c>
      <c r="W257">
        <v>0</v>
      </c>
      <c r="X257">
        <v>1</v>
      </c>
      <c r="AB257">
        <f t="shared" si="30"/>
        <v>0</v>
      </c>
      <c r="AC257">
        <f t="shared" si="31"/>
        <v>0</v>
      </c>
      <c r="AD257">
        <f t="shared" si="32"/>
        <v>0</v>
      </c>
      <c r="AE257">
        <f t="shared" si="34"/>
        <v>0</v>
      </c>
      <c r="AG257">
        <f t="shared" si="35"/>
        <v>0</v>
      </c>
    </row>
    <row r="258" spans="1:33" x14ac:dyDescent="0.25">
      <c r="A258">
        <v>359</v>
      </c>
      <c r="B258">
        <f>IFERROR(VLOOKUP(A258,Capacity!$A$3:$D$532,4,), "0")</f>
        <v>7.6969018699999987</v>
      </c>
      <c r="C258" s="4">
        <f>IFERROR(VLOOKUP(A258,Capacity!$A$3:$F$532,6,), "0")</f>
        <v>0.17499999999999999</v>
      </c>
      <c r="E258" t="str">
        <f>IFERROR(VLOOKUP(D258,Capacity!$A$3:$D$532,4,), "0")</f>
        <v>0</v>
      </c>
      <c r="F258" s="4" t="str">
        <f>IFERROR(VLOOKUP(D258,Capacity!$A$3:$F$532,6,), "0")</f>
        <v>0</v>
      </c>
      <c r="H258" t="str">
        <f>IFERROR(VLOOKUP(G258,Capacity!$A$3:$D$532,4,), "0")</f>
        <v>0</v>
      </c>
      <c r="I258" s="4" t="str">
        <f>IFERROR(VLOOKUP(G258,Capacity!$A$3:$F$532,6,), "0")</f>
        <v>0</v>
      </c>
      <c r="K258" t="str">
        <f>IFERROR(VLOOKUP(J258,Capacity!$A$3:$D$532,4,), "0")</f>
        <v>0</v>
      </c>
      <c r="L258" s="4" t="str">
        <f>IFERROR(VLOOKUP(J258,Capacity!$A$3:$F$532,6,), "0")</f>
        <v>0</v>
      </c>
      <c r="M258" s="5">
        <f t="shared" ref="M258:M321" si="36">$E258+$H258+$K258</f>
        <v>0</v>
      </c>
      <c r="N258" s="5">
        <f t="shared" si="28"/>
        <v>0</v>
      </c>
      <c r="O258">
        <v>17</v>
      </c>
      <c r="P258">
        <f>IFERROR(VLOOKUP(O258,Capacity!$A$3:$D$532,4,), "0")</f>
        <v>10.053096320000002</v>
      </c>
      <c r="Q258" s="4">
        <f>IFERROR(VLOOKUP(O258,Capacity!$A$3:$F$532,6,), "0")</f>
        <v>0.2</v>
      </c>
      <c r="R258" s="5">
        <f t="shared" si="29"/>
        <v>10.053096320000002</v>
      </c>
      <c r="S258" s="5">
        <f t="shared" si="33"/>
        <v>0.2</v>
      </c>
      <c r="U258">
        <v>359</v>
      </c>
      <c r="V258">
        <v>0</v>
      </c>
      <c r="W258">
        <v>0</v>
      </c>
      <c r="X258">
        <v>1</v>
      </c>
      <c r="AB258">
        <f t="shared" si="30"/>
        <v>0</v>
      </c>
      <c r="AC258">
        <f t="shared" si="31"/>
        <v>0</v>
      </c>
      <c r="AD258">
        <f t="shared" si="32"/>
        <v>0</v>
      </c>
      <c r="AE258">
        <f t="shared" si="34"/>
        <v>0</v>
      </c>
      <c r="AG258">
        <f t="shared" si="35"/>
        <v>0</v>
      </c>
    </row>
    <row r="259" spans="1:33" x14ac:dyDescent="0.25">
      <c r="A259">
        <v>7</v>
      </c>
      <c r="B259">
        <f>IFERROR(VLOOKUP(A259,Capacity!$A$3:$D$532,4,), "0")</f>
        <v>20.106192640000003</v>
      </c>
      <c r="C259" s="4">
        <f>IFERROR(VLOOKUP(A259,Capacity!$A$3:$F$532,6,), "0")</f>
        <v>0.2</v>
      </c>
      <c r="D259">
        <v>352</v>
      </c>
      <c r="E259">
        <f>IFERROR(VLOOKUP(D259,Capacity!$A$3:$D$532,4,), "0")</f>
        <v>7.2158455031249993</v>
      </c>
      <c r="F259" s="4">
        <f>IFERROR(VLOOKUP(D259,Capacity!$A$3:$F$532,6,), "0")</f>
        <v>0.17499999999999999</v>
      </c>
      <c r="G259">
        <v>241</v>
      </c>
      <c r="H259">
        <f>IFERROR(VLOOKUP(G259,Capacity!$A$3:$D$532,4,), "0")</f>
        <v>15.079644480000002</v>
      </c>
      <c r="I259" s="4">
        <f>IFERROR(VLOOKUP(G259,Capacity!$A$3:$F$532,6,), "0")</f>
        <v>0.2</v>
      </c>
      <c r="J259">
        <v>8</v>
      </c>
      <c r="K259">
        <f>IFERROR(VLOOKUP(J259,Capacity!$A$3:$D$532,4,), "0")</f>
        <v>9.4247778000000029</v>
      </c>
      <c r="L259" s="4">
        <f>IFERROR(VLOOKUP(J259,Capacity!$A$3:$F$532,6,), "0")</f>
        <v>0.2</v>
      </c>
      <c r="M259" s="5">
        <f t="shared" si="36"/>
        <v>31.720267783125003</v>
      </c>
      <c r="N259" s="5">
        <f t="shared" ref="N259:N322" si="37">$F259+$I259+$L259</f>
        <v>0.57499999999999996</v>
      </c>
      <c r="O259">
        <v>17</v>
      </c>
      <c r="P259">
        <f>IFERROR(VLOOKUP(O259,Capacity!$A$3:$D$532,4,), "0")</f>
        <v>10.053096320000002</v>
      </c>
      <c r="Q259" s="4">
        <f>IFERROR(VLOOKUP(O259,Capacity!$A$3:$F$532,6,), "0")</f>
        <v>0.2</v>
      </c>
      <c r="R259" s="5">
        <f t="shared" ref="R259:R322" si="38">$P259</f>
        <v>10.053096320000002</v>
      </c>
      <c r="S259" s="5">
        <f t="shared" si="33"/>
        <v>0.2</v>
      </c>
      <c r="U259">
        <v>7</v>
      </c>
      <c r="V259">
        <v>4</v>
      </c>
      <c r="W259">
        <v>4</v>
      </c>
      <c r="X259">
        <v>1</v>
      </c>
      <c r="AB259">
        <f t="shared" ref="AB259:AB322" si="39">($M259/$R259)</f>
        <v>3.1552734374999996</v>
      </c>
      <c r="AC259">
        <f t="shared" ref="AC259:AC322" si="40">($M259/$B259)</f>
        <v>1.5776367187499998</v>
      </c>
      <c r="AD259">
        <f t="shared" ref="AD259:AD322" si="41">($N259/$S259)</f>
        <v>2.8749999999999996</v>
      </c>
      <c r="AE259">
        <f t="shared" si="34"/>
        <v>2.8749999999999996</v>
      </c>
      <c r="AG259">
        <f t="shared" si="35"/>
        <v>1.0517578125</v>
      </c>
    </row>
    <row r="260" spans="1:33" x14ac:dyDescent="0.25">
      <c r="A260">
        <v>15</v>
      </c>
      <c r="B260">
        <f>IFERROR(VLOOKUP(A260,Capacity!$A$3:$D$532,4,), "0")</f>
        <v>251.32740799999999</v>
      </c>
      <c r="C260" s="4">
        <f>IFERROR(VLOOKUP(A260,Capacity!$A$3:$F$532,6,), "0")</f>
        <v>1</v>
      </c>
      <c r="D260">
        <v>357</v>
      </c>
      <c r="E260">
        <f>IFERROR(VLOOKUP(D260,Capacity!$A$3:$D$532,4,), "0")</f>
        <v>7.6969018699999987</v>
      </c>
      <c r="F260" s="4">
        <f>IFERROR(VLOOKUP(D260,Capacity!$A$3:$F$532,6,), "0")</f>
        <v>0.17499999999999999</v>
      </c>
      <c r="G260">
        <v>9</v>
      </c>
      <c r="H260">
        <f>IFERROR(VLOOKUP(G260,Capacity!$A$3:$D$532,4,), "0")</f>
        <v>14.431691006249999</v>
      </c>
      <c r="I260" s="4">
        <f>IFERROR(VLOOKUP(G260,Capacity!$A$3:$F$532,6,), "0")</f>
        <v>0.17499999999999999</v>
      </c>
      <c r="K260" t="str">
        <f>IFERROR(VLOOKUP(J260,Capacity!$A$3:$D$532,4,), "0")</f>
        <v>0</v>
      </c>
      <c r="L260" s="4" t="str">
        <f>IFERROR(VLOOKUP(J260,Capacity!$A$3:$F$532,6,), "0")</f>
        <v>0</v>
      </c>
      <c r="M260" s="5">
        <f t="shared" si="36"/>
        <v>22.128592876249996</v>
      </c>
      <c r="N260" s="5">
        <f t="shared" si="37"/>
        <v>0.35</v>
      </c>
      <c r="O260">
        <v>16</v>
      </c>
      <c r="P260">
        <f>IFERROR(VLOOKUP(O260,Capacity!$A$3:$D$532,4,), "0")</f>
        <v>57.36076848710001</v>
      </c>
      <c r="Q260" s="4">
        <f>IFERROR(VLOOKUP(O260,Capacity!$A$3:$F$532,6,), "0")</f>
        <v>0.26500000000000001</v>
      </c>
      <c r="R260" s="5">
        <f t="shared" si="38"/>
        <v>57.36076848710001</v>
      </c>
      <c r="S260" s="5">
        <f t="shared" ref="S260:S323" si="42">$Q260</f>
        <v>0.26500000000000001</v>
      </c>
      <c r="U260">
        <v>15</v>
      </c>
      <c r="V260">
        <v>3</v>
      </c>
      <c r="W260">
        <v>3</v>
      </c>
      <c r="X260">
        <v>1</v>
      </c>
      <c r="AB260">
        <f t="shared" si="39"/>
        <v>0.38577922611386467</v>
      </c>
      <c r="AC260">
        <f t="shared" si="40"/>
        <v>8.8046874999999983E-2</v>
      </c>
      <c r="AD260">
        <f t="shared" si="41"/>
        <v>1.320754716981132</v>
      </c>
      <c r="AE260">
        <f t="shared" ref="AE260:AE323" si="43">($N260/$C260)</f>
        <v>0.35</v>
      </c>
      <c r="AG260">
        <f t="shared" ref="AG260:AG323" si="44">$M260/($R260+$B260)</f>
        <v>7.1685910124823796E-2</v>
      </c>
    </row>
    <row r="261" spans="1:33" x14ac:dyDescent="0.25">
      <c r="A261">
        <v>427</v>
      </c>
      <c r="B261">
        <f>IFERROR(VLOOKUP(A261,Capacity!$A$3:$D$532,4,), "0")</f>
        <v>21.647536509374998</v>
      </c>
      <c r="C261" s="4">
        <f>IFERROR(VLOOKUP(A261,Capacity!$A$3:$F$532,6,), "0")</f>
        <v>0.17499999999999999</v>
      </c>
      <c r="E261" t="str">
        <f>IFERROR(VLOOKUP(D261,Capacity!$A$3:$D$532,4,), "0")</f>
        <v>0</v>
      </c>
      <c r="F261" s="4" t="str">
        <f>IFERROR(VLOOKUP(D261,Capacity!$A$3:$F$532,6,), "0")</f>
        <v>0</v>
      </c>
      <c r="H261" t="str">
        <f>IFERROR(VLOOKUP(G261,Capacity!$A$3:$D$532,4,), "0")</f>
        <v>0</v>
      </c>
      <c r="I261" s="4" t="str">
        <f>IFERROR(VLOOKUP(G261,Capacity!$A$3:$F$532,6,), "0")</f>
        <v>0</v>
      </c>
      <c r="K261" t="str">
        <f>IFERROR(VLOOKUP(J261,Capacity!$A$3:$D$532,4,), "0")</f>
        <v>0</v>
      </c>
      <c r="L261" s="4" t="str">
        <f>IFERROR(VLOOKUP(J261,Capacity!$A$3:$F$532,6,), "0")</f>
        <v>0</v>
      </c>
      <c r="M261" s="5">
        <f t="shared" si="36"/>
        <v>0</v>
      </c>
      <c r="N261" s="5">
        <f t="shared" si="37"/>
        <v>0</v>
      </c>
      <c r="O261">
        <v>56</v>
      </c>
      <c r="P261">
        <f>IFERROR(VLOOKUP(O261,Capacity!$A$3:$D$532,4,), "0")</f>
        <v>7.6969018699999987</v>
      </c>
      <c r="Q261" s="4">
        <f>IFERROR(VLOOKUP(O261,Capacity!$A$3:$F$532,6,), "0")</f>
        <v>0.17499999999999999</v>
      </c>
      <c r="R261" s="5">
        <f t="shared" si="38"/>
        <v>7.6969018699999987</v>
      </c>
      <c r="S261" s="5">
        <f t="shared" si="42"/>
        <v>0.17499999999999999</v>
      </c>
      <c r="U261">
        <v>427</v>
      </c>
      <c r="V261">
        <v>0</v>
      </c>
      <c r="W261">
        <v>0</v>
      </c>
      <c r="X261">
        <v>1</v>
      </c>
      <c r="AB261">
        <f t="shared" si="39"/>
        <v>0</v>
      </c>
      <c r="AC261">
        <f t="shared" si="40"/>
        <v>0</v>
      </c>
      <c r="AD261">
        <f t="shared" si="41"/>
        <v>0</v>
      </c>
      <c r="AE261">
        <f t="shared" si="43"/>
        <v>0</v>
      </c>
      <c r="AG261">
        <f t="shared" si="44"/>
        <v>0</v>
      </c>
    </row>
    <row r="262" spans="1:33" x14ac:dyDescent="0.25">
      <c r="A262">
        <v>380</v>
      </c>
      <c r="B262">
        <f>IFERROR(VLOOKUP(A262,Capacity!$A$3:$D$532,4,), "0")</f>
        <v>7.6969018699999987</v>
      </c>
      <c r="C262" s="4">
        <f>IFERROR(VLOOKUP(A262,Capacity!$A$3:$F$532,6,), "0")</f>
        <v>0.17499999999999999</v>
      </c>
      <c r="E262" t="str">
        <f>IFERROR(VLOOKUP(D262,Capacity!$A$3:$D$532,4,), "0")</f>
        <v>0</v>
      </c>
      <c r="F262" s="4" t="str">
        <f>IFERROR(VLOOKUP(D262,Capacity!$A$3:$F$532,6,), "0")</f>
        <v>0</v>
      </c>
      <c r="H262" t="str">
        <f>IFERROR(VLOOKUP(G262,Capacity!$A$3:$D$532,4,), "0")</f>
        <v>0</v>
      </c>
      <c r="I262" s="4" t="str">
        <f>IFERROR(VLOOKUP(G262,Capacity!$A$3:$F$532,6,), "0")</f>
        <v>0</v>
      </c>
      <c r="K262" t="str">
        <f>IFERROR(VLOOKUP(J262,Capacity!$A$3:$D$532,4,), "0")</f>
        <v>0</v>
      </c>
      <c r="L262" s="4" t="str">
        <f>IFERROR(VLOOKUP(J262,Capacity!$A$3:$F$532,6,), "0")</f>
        <v>0</v>
      </c>
      <c r="M262" s="5">
        <f t="shared" si="36"/>
        <v>0</v>
      </c>
      <c r="N262" s="5">
        <f t="shared" si="37"/>
        <v>0</v>
      </c>
      <c r="O262">
        <v>56</v>
      </c>
      <c r="P262">
        <f>IFERROR(VLOOKUP(O262,Capacity!$A$3:$D$532,4,), "0")</f>
        <v>7.6969018699999987</v>
      </c>
      <c r="Q262" s="4">
        <f>IFERROR(VLOOKUP(O262,Capacity!$A$3:$F$532,6,), "0")</f>
        <v>0.17499999999999999</v>
      </c>
      <c r="R262" s="5">
        <f t="shared" si="38"/>
        <v>7.6969018699999987</v>
      </c>
      <c r="S262" s="5">
        <f t="shared" si="42"/>
        <v>0.17499999999999999</v>
      </c>
      <c r="U262">
        <v>380</v>
      </c>
      <c r="V262">
        <v>0</v>
      </c>
      <c r="W262">
        <v>0</v>
      </c>
      <c r="X262">
        <v>1</v>
      </c>
      <c r="AB262">
        <f t="shared" si="39"/>
        <v>0</v>
      </c>
      <c r="AC262">
        <f t="shared" si="40"/>
        <v>0</v>
      </c>
      <c r="AD262">
        <f t="shared" si="41"/>
        <v>0</v>
      </c>
      <c r="AE262">
        <f t="shared" si="43"/>
        <v>0</v>
      </c>
      <c r="AG262">
        <f t="shared" si="44"/>
        <v>0</v>
      </c>
    </row>
    <row r="263" spans="1:33" x14ac:dyDescent="0.25">
      <c r="A263">
        <v>358</v>
      </c>
      <c r="B263">
        <f>IFERROR(VLOOKUP(A263,Capacity!$A$3:$D$532,4,), "0")</f>
        <v>25.014931077499998</v>
      </c>
      <c r="C263" s="4">
        <f>IFERROR(VLOOKUP(A263,Capacity!$A$3:$F$532,6,), "0")</f>
        <v>0.17499999999999999</v>
      </c>
      <c r="E263" t="str">
        <f>IFERROR(VLOOKUP(D263,Capacity!$A$3:$D$532,4,), "0")</f>
        <v>0</v>
      </c>
      <c r="F263" s="4" t="str">
        <f>IFERROR(VLOOKUP(D263,Capacity!$A$3:$F$532,6,), "0")</f>
        <v>0</v>
      </c>
      <c r="H263" t="str">
        <f>IFERROR(VLOOKUP(G263,Capacity!$A$3:$D$532,4,), "0")</f>
        <v>0</v>
      </c>
      <c r="I263" s="4" t="str">
        <f>IFERROR(VLOOKUP(G263,Capacity!$A$3:$F$532,6,), "0")</f>
        <v>0</v>
      </c>
      <c r="K263" t="str">
        <f>IFERROR(VLOOKUP(J263,Capacity!$A$3:$D$532,4,), "0")</f>
        <v>0</v>
      </c>
      <c r="L263" s="4" t="str">
        <f>IFERROR(VLOOKUP(J263,Capacity!$A$3:$F$532,6,), "0")</f>
        <v>0</v>
      </c>
      <c r="M263" s="5">
        <f t="shared" si="36"/>
        <v>0</v>
      </c>
      <c r="N263" s="5">
        <f t="shared" si="37"/>
        <v>0</v>
      </c>
      <c r="O263">
        <v>56</v>
      </c>
      <c r="P263">
        <f>IFERROR(VLOOKUP(O263,Capacity!$A$3:$D$532,4,), "0")</f>
        <v>7.6969018699999987</v>
      </c>
      <c r="Q263" s="4">
        <f>IFERROR(VLOOKUP(O263,Capacity!$A$3:$F$532,6,), "0")</f>
        <v>0.17499999999999999</v>
      </c>
      <c r="R263" s="5">
        <f t="shared" si="38"/>
        <v>7.6969018699999987</v>
      </c>
      <c r="S263" s="5">
        <f t="shared" si="42"/>
        <v>0.17499999999999999</v>
      </c>
      <c r="U263">
        <v>358</v>
      </c>
      <c r="V263">
        <v>0</v>
      </c>
      <c r="W263">
        <v>0</v>
      </c>
      <c r="X263">
        <v>1</v>
      </c>
      <c r="AB263">
        <f t="shared" si="39"/>
        <v>0</v>
      </c>
      <c r="AC263">
        <f t="shared" si="40"/>
        <v>0</v>
      </c>
      <c r="AD263">
        <f t="shared" si="41"/>
        <v>0</v>
      </c>
      <c r="AE263">
        <f t="shared" si="43"/>
        <v>0</v>
      </c>
      <c r="AG263">
        <f t="shared" si="44"/>
        <v>0</v>
      </c>
    </row>
    <row r="264" spans="1:33" x14ac:dyDescent="0.25">
      <c r="A264">
        <v>428</v>
      </c>
      <c r="B264">
        <f>IFERROR(VLOOKUP(A264,Capacity!$A$3:$D$532,4,), "0")</f>
        <v>7.6969018699999987</v>
      </c>
      <c r="C264" s="4">
        <f>IFERROR(VLOOKUP(A264,Capacity!$A$3:$F$532,6,), "0")</f>
        <v>0.17499999999999999</v>
      </c>
      <c r="E264" t="str">
        <f>IFERROR(VLOOKUP(D264,Capacity!$A$3:$D$532,4,), "0")</f>
        <v>0</v>
      </c>
      <c r="F264" s="4" t="str">
        <f>IFERROR(VLOOKUP(D264,Capacity!$A$3:$F$532,6,), "0")</f>
        <v>0</v>
      </c>
      <c r="H264" t="str">
        <f>IFERROR(VLOOKUP(G264,Capacity!$A$3:$D$532,4,), "0")</f>
        <v>0</v>
      </c>
      <c r="I264" s="4" t="str">
        <f>IFERROR(VLOOKUP(G264,Capacity!$A$3:$F$532,6,), "0")</f>
        <v>0</v>
      </c>
      <c r="K264" t="str">
        <f>IFERROR(VLOOKUP(J264,Capacity!$A$3:$D$532,4,), "0")</f>
        <v>0</v>
      </c>
      <c r="L264" s="4" t="str">
        <f>IFERROR(VLOOKUP(J264,Capacity!$A$3:$F$532,6,), "0")</f>
        <v>0</v>
      </c>
      <c r="M264" s="5">
        <f t="shared" si="36"/>
        <v>0</v>
      </c>
      <c r="N264" s="5">
        <f t="shared" si="37"/>
        <v>0</v>
      </c>
      <c r="O264">
        <v>97</v>
      </c>
      <c r="P264">
        <f>IFERROR(VLOOKUP(O264,Capacity!$A$3:$D$532,4,), "0")</f>
        <v>203.57520048000001</v>
      </c>
      <c r="Q264" s="4">
        <f>IFERROR(VLOOKUP(O264,Capacity!$A$3:$F$532,6,), "0")</f>
        <v>0.9</v>
      </c>
      <c r="R264" s="5">
        <f t="shared" si="38"/>
        <v>203.57520048000001</v>
      </c>
      <c r="S264" s="5">
        <f t="shared" si="42"/>
        <v>0.9</v>
      </c>
      <c r="U264">
        <v>428</v>
      </c>
      <c r="V264">
        <v>0</v>
      </c>
      <c r="W264">
        <v>0</v>
      </c>
      <c r="X264">
        <v>1</v>
      </c>
      <c r="AB264">
        <f t="shared" si="39"/>
        <v>0</v>
      </c>
      <c r="AC264">
        <f t="shared" si="40"/>
        <v>0</v>
      </c>
      <c r="AD264">
        <f t="shared" si="41"/>
        <v>0</v>
      </c>
      <c r="AE264">
        <f t="shared" si="43"/>
        <v>0</v>
      </c>
      <c r="AG264">
        <f t="shared" si="44"/>
        <v>0</v>
      </c>
    </row>
    <row r="265" spans="1:33" x14ac:dyDescent="0.25">
      <c r="A265">
        <v>58</v>
      </c>
      <c r="B265">
        <f>IFERROR(VLOOKUP(A265,Capacity!$A$3:$D$532,4,), "0")</f>
        <v>21.647536509374998</v>
      </c>
      <c r="C265" s="4">
        <f>IFERROR(VLOOKUP(A265,Capacity!$A$3:$F$532,6,), "0")</f>
        <v>0.17499999999999999</v>
      </c>
      <c r="D265">
        <v>14</v>
      </c>
      <c r="E265">
        <f>IFERROR(VLOOKUP(D265,Capacity!$A$3:$D$532,4,), "0")</f>
        <v>25.014931077499998</v>
      </c>
      <c r="F265" s="4">
        <f>IFERROR(VLOOKUP(D265,Capacity!$A$3:$F$532,6,), "0")</f>
        <v>0.17499999999999999</v>
      </c>
      <c r="H265" t="str">
        <f>IFERROR(VLOOKUP(G265,Capacity!$A$3:$D$532,4,), "0")</f>
        <v>0</v>
      </c>
      <c r="I265" s="4" t="str">
        <f>IFERROR(VLOOKUP(G265,Capacity!$A$3:$F$532,6,), "0")</f>
        <v>0</v>
      </c>
      <c r="K265" t="str">
        <f>IFERROR(VLOOKUP(J265,Capacity!$A$3:$D$532,4,), "0")</f>
        <v>0</v>
      </c>
      <c r="L265" s="4" t="str">
        <f>IFERROR(VLOOKUP(J265,Capacity!$A$3:$F$532,6,), "0")</f>
        <v>0</v>
      </c>
      <c r="M265" s="5">
        <f t="shared" si="36"/>
        <v>25.014931077499998</v>
      </c>
      <c r="N265" s="5">
        <f t="shared" si="37"/>
        <v>0.17499999999999999</v>
      </c>
      <c r="O265">
        <v>97</v>
      </c>
      <c r="P265">
        <f>IFERROR(VLOOKUP(O265,Capacity!$A$3:$D$532,4,), "0")</f>
        <v>203.57520048000001</v>
      </c>
      <c r="Q265" s="4">
        <f>IFERROR(VLOOKUP(O265,Capacity!$A$3:$F$532,6,), "0")</f>
        <v>0.9</v>
      </c>
      <c r="R265" s="5">
        <f t="shared" si="38"/>
        <v>203.57520048000001</v>
      </c>
      <c r="S265" s="5">
        <f t="shared" si="42"/>
        <v>0.9</v>
      </c>
      <c r="U265">
        <v>58</v>
      </c>
      <c r="V265">
        <v>2</v>
      </c>
      <c r="W265">
        <v>2</v>
      </c>
      <c r="X265">
        <v>1</v>
      </c>
      <c r="AB265">
        <f t="shared" si="39"/>
        <v>0.12287808641975308</v>
      </c>
      <c r="AC265">
        <f t="shared" si="40"/>
        <v>1.1555555555555557</v>
      </c>
      <c r="AD265">
        <f t="shared" si="41"/>
        <v>0.19444444444444442</v>
      </c>
      <c r="AE265">
        <f t="shared" si="43"/>
        <v>1</v>
      </c>
      <c r="AG265">
        <f t="shared" si="44"/>
        <v>0.11106752103221307</v>
      </c>
    </row>
    <row r="266" spans="1:33" x14ac:dyDescent="0.25">
      <c r="A266">
        <v>434</v>
      </c>
      <c r="B266">
        <f>IFERROR(VLOOKUP(A266,Capacity!$A$3:$D$532,4,), "0")</f>
        <v>197.92033380000001</v>
      </c>
      <c r="C266" s="4">
        <f>IFERROR(VLOOKUP(A266,Capacity!$A$3:$F$532,6,), "0")</f>
        <v>0.6</v>
      </c>
      <c r="E266" t="str">
        <f>IFERROR(VLOOKUP(D266,Capacity!$A$3:$D$532,4,), "0")</f>
        <v>0</v>
      </c>
      <c r="F266" s="4" t="str">
        <f>IFERROR(VLOOKUP(D266,Capacity!$A$3:$F$532,6,), "0")</f>
        <v>0</v>
      </c>
      <c r="H266" t="str">
        <f>IFERROR(VLOOKUP(G266,Capacity!$A$3:$D$532,4,), "0")</f>
        <v>0</v>
      </c>
      <c r="I266" s="4" t="str">
        <f>IFERROR(VLOOKUP(G266,Capacity!$A$3:$F$532,6,), "0")</f>
        <v>0</v>
      </c>
      <c r="K266" t="str">
        <f>IFERROR(VLOOKUP(J266,Capacity!$A$3:$D$532,4,), "0")</f>
        <v>0</v>
      </c>
      <c r="L266" s="4" t="str">
        <f>IFERROR(VLOOKUP(J266,Capacity!$A$3:$F$532,6,), "0")</f>
        <v>0</v>
      </c>
      <c r="M266" s="5">
        <f t="shared" si="36"/>
        <v>0</v>
      </c>
      <c r="N266" s="5">
        <f t="shared" si="37"/>
        <v>0</v>
      </c>
      <c r="O266">
        <v>99</v>
      </c>
      <c r="P266">
        <f>IFERROR(VLOOKUP(O266,Capacity!$A$3:$D$532,4,), "0")</f>
        <v>29.688050070000003</v>
      </c>
      <c r="Q266" s="4">
        <f>IFERROR(VLOOKUP(O266,Capacity!$A$3:$F$532,6,), "0")</f>
        <v>0.3</v>
      </c>
      <c r="R266" s="5">
        <f t="shared" si="38"/>
        <v>29.688050070000003</v>
      </c>
      <c r="S266" s="5">
        <f t="shared" si="42"/>
        <v>0.3</v>
      </c>
      <c r="U266">
        <v>434</v>
      </c>
      <c r="V266">
        <v>0</v>
      </c>
      <c r="W266">
        <v>0</v>
      </c>
      <c r="X266">
        <v>1</v>
      </c>
      <c r="AB266">
        <f t="shared" si="39"/>
        <v>0</v>
      </c>
      <c r="AC266">
        <f t="shared" si="40"/>
        <v>0</v>
      </c>
      <c r="AD266">
        <f t="shared" si="41"/>
        <v>0</v>
      </c>
      <c r="AE266">
        <f t="shared" si="43"/>
        <v>0</v>
      </c>
      <c r="AG266">
        <f t="shared" si="44"/>
        <v>0</v>
      </c>
    </row>
    <row r="267" spans="1:33" x14ac:dyDescent="0.25">
      <c r="A267">
        <v>100</v>
      </c>
      <c r="B267">
        <f>IFERROR(VLOOKUP(A267,Capacity!$A$3:$D$532,4,), "0")</f>
        <v>36.75663342</v>
      </c>
      <c r="C267" s="4">
        <f>IFERROR(VLOOKUP(A267,Capacity!$A$3:$F$532,6,), "0")</f>
        <v>0.3</v>
      </c>
      <c r="D267">
        <v>433</v>
      </c>
      <c r="E267">
        <f>IFERROR(VLOOKUP(D267,Capacity!$A$3:$D$532,4,), "0")</f>
        <v>56.799994208000008</v>
      </c>
      <c r="F267" s="4">
        <f>IFERROR(VLOOKUP(D267,Capacity!$A$3:$F$532,6,), "0")</f>
        <v>0.4</v>
      </c>
      <c r="G267">
        <v>102</v>
      </c>
      <c r="H267">
        <f>IFERROR(VLOOKUP(G267,Capacity!$A$3:$D$532,4,), "0")</f>
        <v>50.265481600000015</v>
      </c>
      <c r="I267" s="4">
        <f>IFERROR(VLOOKUP(G267,Capacity!$A$3:$F$532,6,), "0")</f>
        <v>0.4</v>
      </c>
      <c r="J267">
        <v>60</v>
      </c>
      <c r="K267">
        <f>IFERROR(VLOOKUP(J267,Capacity!$A$3:$D$532,4,), "0")</f>
        <v>90.477866880000022</v>
      </c>
      <c r="L267" s="4">
        <f>IFERROR(VLOOKUP(J267,Capacity!$A$3:$F$532,6,), "0")</f>
        <v>0.4</v>
      </c>
      <c r="M267" s="5">
        <f t="shared" si="36"/>
        <v>197.54334268800005</v>
      </c>
      <c r="N267" s="5">
        <f t="shared" si="37"/>
        <v>1.2000000000000002</v>
      </c>
      <c r="O267">
        <v>99</v>
      </c>
      <c r="P267">
        <f>IFERROR(VLOOKUP(O267,Capacity!$A$3:$D$532,4,), "0")</f>
        <v>29.688050070000003</v>
      </c>
      <c r="Q267" s="4">
        <f>IFERROR(VLOOKUP(O267,Capacity!$A$3:$F$532,6,), "0")</f>
        <v>0.3</v>
      </c>
      <c r="R267" s="5">
        <f t="shared" si="38"/>
        <v>29.688050070000003</v>
      </c>
      <c r="S267" s="5">
        <f t="shared" si="42"/>
        <v>0.3</v>
      </c>
      <c r="U267">
        <v>100</v>
      </c>
      <c r="V267">
        <v>4</v>
      </c>
      <c r="W267">
        <v>4</v>
      </c>
      <c r="X267">
        <v>1</v>
      </c>
      <c r="AB267">
        <f t="shared" si="39"/>
        <v>6.6539682539682552</v>
      </c>
      <c r="AC267">
        <f t="shared" si="40"/>
        <v>5.3743589743589757</v>
      </c>
      <c r="AD267">
        <f t="shared" si="41"/>
        <v>4.0000000000000009</v>
      </c>
      <c r="AE267">
        <f t="shared" si="43"/>
        <v>4.0000000000000009</v>
      </c>
      <c r="AG267">
        <f t="shared" si="44"/>
        <v>2.9730496453900717</v>
      </c>
    </row>
    <row r="268" spans="1:33" x14ac:dyDescent="0.25">
      <c r="A268">
        <v>59</v>
      </c>
      <c r="B268">
        <f>IFERROR(VLOOKUP(A268,Capacity!$A$3:$D$532,4,), "0")</f>
        <v>294.05306736</v>
      </c>
      <c r="C268" s="4">
        <f>IFERROR(VLOOKUP(A268,Capacity!$A$3:$F$532,6,), "0")</f>
        <v>0.6</v>
      </c>
      <c r="D268">
        <v>382</v>
      </c>
      <c r="E268">
        <f>IFERROR(VLOOKUP(D268,Capacity!$A$3:$D$532,4,), "0")</f>
        <v>7.6969018699999987</v>
      </c>
      <c r="F268" s="4">
        <f>IFERROR(VLOOKUP(D268,Capacity!$A$3:$F$532,6,), "0")</f>
        <v>0.17499999999999999</v>
      </c>
      <c r="G268">
        <v>381</v>
      </c>
      <c r="H268">
        <f>IFERROR(VLOOKUP(G268,Capacity!$A$3:$D$532,4,), "0")</f>
        <v>7.6969018699999987</v>
      </c>
      <c r="I268" s="4">
        <f>IFERROR(VLOOKUP(G268,Capacity!$A$3:$F$532,6,), "0")</f>
        <v>0.17499999999999999</v>
      </c>
      <c r="J268">
        <v>12</v>
      </c>
      <c r="K268">
        <f>IFERROR(VLOOKUP(J268,Capacity!$A$3:$D$532,4,), "0")</f>
        <v>32.672563040000007</v>
      </c>
      <c r="L268" s="4">
        <f>IFERROR(VLOOKUP(J268,Capacity!$A$3:$F$532,6,), "0")</f>
        <v>0.2</v>
      </c>
      <c r="M268" s="5">
        <f t="shared" si="36"/>
        <v>48.066366780000003</v>
      </c>
      <c r="N268" s="5">
        <f t="shared" si="37"/>
        <v>0.55000000000000004</v>
      </c>
      <c r="O268">
        <v>99</v>
      </c>
      <c r="P268">
        <f>IFERROR(VLOOKUP(O268,Capacity!$A$3:$D$532,4,), "0")</f>
        <v>29.688050070000003</v>
      </c>
      <c r="Q268" s="4">
        <f>IFERROR(VLOOKUP(O268,Capacity!$A$3:$F$532,6,), "0")</f>
        <v>0.3</v>
      </c>
      <c r="R268" s="5">
        <f t="shared" si="38"/>
        <v>29.688050070000003</v>
      </c>
      <c r="S268" s="5">
        <f t="shared" si="42"/>
        <v>0.3</v>
      </c>
      <c r="U268">
        <v>59</v>
      </c>
      <c r="V268">
        <v>3</v>
      </c>
      <c r="W268">
        <v>3</v>
      </c>
      <c r="X268">
        <v>1</v>
      </c>
      <c r="AB268">
        <f t="shared" si="39"/>
        <v>1.6190476190476191</v>
      </c>
      <c r="AC268">
        <f t="shared" si="40"/>
        <v>0.16346153846153846</v>
      </c>
      <c r="AD268">
        <f t="shared" si="41"/>
        <v>1.8333333333333335</v>
      </c>
      <c r="AE268">
        <f t="shared" si="43"/>
        <v>0.91666666666666674</v>
      </c>
      <c r="AG268">
        <f t="shared" si="44"/>
        <v>0.148471615720524</v>
      </c>
    </row>
    <row r="269" spans="1:33" x14ac:dyDescent="0.25">
      <c r="A269">
        <v>242</v>
      </c>
      <c r="B269">
        <f>IFERROR(VLOOKUP(A269,Capacity!$A$3:$D$532,4,), "0")</f>
        <v>26.474200840200002</v>
      </c>
      <c r="C269" s="4">
        <f>IFERROR(VLOOKUP(A269,Capacity!$A$3:$F$532,6,), "0")</f>
        <v>0.26500000000000001</v>
      </c>
      <c r="E269" t="str">
        <f>IFERROR(VLOOKUP(D269,Capacity!$A$3:$D$532,4,), "0")</f>
        <v>0</v>
      </c>
      <c r="F269" s="4" t="str">
        <f>IFERROR(VLOOKUP(D269,Capacity!$A$3:$F$532,6,), "0")</f>
        <v>0</v>
      </c>
      <c r="H269" t="str">
        <f>IFERROR(VLOOKUP(G269,Capacity!$A$3:$D$532,4,), "0")</f>
        <v>0</v>
      </c>
      <c r="I269" s="4" t="str">
        <f>IFERROR(VLOOKUP(G269,Capacity!$A$3:$F$532,6,), "0")</f>
        <v>0</v>
      </c>
      <c r="K269" t="str">
        <f>IFERROR(VLOOKUP(J269,Capacity!$A$3:$D$532,4,), "0")</f>
        <v>0</v>
      </c>
      <c r="L269" s="4" t="str">
        <f>IFERROR(VLOOKUP(J269,Capacity!$A$3:$F$532,6,), "0")</f>
        <v>0</v>
      </c>
      <c r="M269" s="5">
        <f t="shared" si="36"/>
        <v>0</v>
      </c>
      <c r="N269" s="5">
        <f t="shared" si="37"/>
        <v>0</v>
      </c>
      <c r="O269">
        <v>6</v>
      </c>
      <c r="P269">
        <f>IFERROR(VLOOKUP(O269,Capacity!$A$3:$D$532,4,), "0")</f>
        <v>16.546375525125004</v>
      </c>
      <c r="Q269" s="4">
        <f>IFERROR(VLOOKUP(O269,Capacity!$A$3:$F$532,6,), "0")</f>
        <v>0.26500000000000001</v>
      </c>
      <c r="R269" s="5">
        <f t="shared" si="38"/>
        <v>16.546375525125004</v>
      </c>
      <c r="S269" s="5">
        <f t="shared" si="42"/>
        <v>0.26500000000000001</v>
      </c>
      <c r="U269">
        <v>242</v>
      </c>
      <c r="V269">
        <v>1</v>
      </c>
      <c r="W269">
        <v>1</v>
      </c>
      <c r="X269">
        <v>1</v>
      </c>
      <c r="AB269">
        <f t="shared" si="39"/>
        <v>0</v>
      </c>
      <c r="AC269">
        <f t="shared" si="40"/>
        <v>0</v>
      </c>
      <c r="AD269">
        <f t="shared" si="41"/>
        <v>0</v>
      </c>
      <c r="AE269">
        <f t="shared" si="43"/>
        <v>0</v>
      </c>
      <c r="AG269">
        <f t="shared" si="44"/>
        <v>0</v>
      </c>
    </row>
    <row r="270" spans="1:33" x14ac:dyDescent="0.25">
      <c r="A270">
        <v>321</v>
      </c>
      <c r="B270">
        <f>IFERROR(VLOOKUP(A270,Capacity!$A$3:$D$532,4,), "0")</f>
        <v>80.424770560000013</v>
      </c>
      <c r="C270" s="4">
        <f>IFERROR(VLOOKUP(A270,Capacity!$A$3:$F$532,6,), "0")</f>
        <v>0.4</v>
      </c>
      <c r="D270">
        <v>525</v>
      </c>
      <c r="E270">
        <f>IFERROR(VLOOKUP(D270,Capacity!$A$3:$D$532,4,), "0")</f>
        <v>12.026409171874999</v>
      </c>
      <c r="F270" s="4">
        <f>IFERROR(VLOOKUP(D270,Capacity!$A$3:$F$532,6,), "0")</f>
        <v>0.17499999999999999</v>
      </c>
      <c r="G270">
        <v>504</v>
      </c>
      <c r="H270">
        <f>IFERROR(VLOOKUP(G270,Capacity!$A$3:$D$532,4,), "0")</f>
        <v>14.431691006249999</v>
      </c>
      <c r="I270" s="4">
        <f>IFERROR(VLOOKUP(G270,Capacity!$A$3:$F$532,6,), "0")</f>
        <v>0.17499999999999999</v>
      </c>
      <c r="J270">
        <v>322</v>
      </c>
      <c r="K270">
        <f>IFERROR(VLOOKUP(J270,Capacity!$A$3:$D$532,4,), "0")</f>
        <v>75.398222400000023</v>
      </c>
      <c r="L270" s="4">
        <f>IFERROR(VLOOKUP(J270,Capacity!$A$3:$F$532,6,), "0")</f>
        <v>0.4</v>
      </c>
      <c r="M270" s="5">
        <f t="shared" si="36"/>
        <v>101.85632257812502</v>
      </c>
      <c r="N270" s="5">
        <f t="shared" si="37"/>
        <v>0.75</v>
      </c>
      <c r="O270">
        <v>320</v>
      </c>
      <c r="P270">
        <f>IFERROR(VLOOKUP(O270,Capacity!$A$3:$D$532,4,), "0")</f>
        <v>82.466805750000006</v>
      </c>
      <c r="Q270" s="4">
        <f>IFERROR(VLOOKUP(O270,Capacity!$A$3:$F$532,6,), "0")</f>
        <v>0.5</v>
      </c>
      <c r="R270" s="5">
        <f t="shared" si="38"/>
        <v>82.466805750000006</v>
      </c>
      <c r="S270" s="5">
        <f t="shared" si="42"/>
        <v>0.5</v>
      </c>
      <c r="U270">
        <v>321</v>
      </c>
      <c r="V270">
        <v>4</v>
      </c>
      <c r="W270">
        <v>4</v>
      </c>
      <c r="X270">
        <v>1</v>
      </c>
      <c r="AB270">
        <f t="shared" si="39"/>
        <v>1.2351190476190477</v>
      </c>
      <c r="AC270">
        <f t="shared" si="40"/>
        <v>1.2664794921875</v>
      </c>
      <c r="AD270">
        <f t="shared" si="41"/>
        <v>1.5</v>
      </c>
      <c r="AE270">
        <f t="shared" si="43"/>
        <v>1.875</v>
      </c>
      <c r="AG270">
        <f t="shared" si="44"/>
        <v>0.62530135004821608</v>
      </c>
    </row>
    <row r="271" spans="1:33" x14ac:dyDescent="0.25">
      <c r="A271">
        <v>341</v>
      </c>
      <c r="B271">
        <f>IFERROR(VLOOKUP(A271,Capacity!$A$3:$D$532,4,), "0")</f>
        <v>17.649467226800002</v>
      </c>
      <c r="C271" s="4">
        <f>IFERROR(VLOOKUP(A271,Capacity!$A$3:$F$532,6,), "0")</f>
        <v>0.26500000000000001</v>
      </c>
      <c r="D271">
        <v>340</v>
      </c>
      <c r="E271">
        <f>IFERROR(VLOOKUP(D271,Capacity!$A$3:$D$532,4,), "0")</f>
        <v>5.0265481600000008</v>
      </c>
      <c r="F271" s="4">
        <f>IFERROR(VLOOKUP(D271,Capacity!$A$3:$F$532,6,), "0")</f>
        <v>0.2</v>
      </c>
      <c r="H271" t="str">
        <f>IFERROR(VLOOKUP(G271,Capacity!$A$3:$D$532,4,), "0")</f>
        <v>0</v>
      </c>
      <c r="I271" s="4" t="str">
        <f>IFERROR(VLOOKUP(G271,Capacity!$A$3:$F$532,6,), "0")</f>
        <v>0</v>
      </c>
      <c r="K271" t="str">
        <f>IFERROR(VLOOKUP(J271,Capacity!$A$3:$D$532,4,), "0")</f>
        <v>0</v>
      </c>
      <c r="L271" s="4" t="str">
        <f>IFERROR(VLOOKUP(J271,Capacity!$A$3:$F$532,6,), "0")</f>
        <v>0</v>
      </c>
      <c r="M271" s="5">
        <f t="shared" si="36"/>
        <v>5.0265481600000008</v>
      </c>
      <c r="N271" s="5">
        <f t="shared" si="37"/>
        <v>0.2</v>
      </c>
      <c r="O271">
        <v>342</v>
      </c>
      <c r="P271">
        <f>IFERROR(VLOOKUP(O271,Capacity!$A$3:$D$532,4,), "0")</f>
        <v>20.106192640000003</v>
      </c>
      <c r="Q271" s="4">
        <f>IFERROR(VLOOKUP(O271,Capacity!$A$3:$F$532,6,), "0")</f>
        <v>0.4</v>
      </c>
      <c r="R271" s="5">
        <f t="shared" si="38"/>
        <v>20.106192640000003</v>
      </c>
      <c r="S271" s="5">
        <f t="shared" si="42"/>
        <v>0.4</v>
      </c>
      <c r="U271">
        <v>341</v>
      </c>
      <c r="V271">
        <v>1</v>
      </c>
      <c r="W271">
        <v>1</v>
      </c>
      <c r="X271">
        <v>1</v>
      </c>
      <c r="AB271">
        <f t="shared" si="39"/>
        <v>0.25</v>
      </c>
      <c r="AC271">
        <f t="shared" si="40"/>
        <v>0.2847988608045568</v>
      </c>
      <c r="AD271">
        <f t="shared" si="41"/>
        <v>0.5</v>
      </c>
      <c r="AE271">
        <f t="shared" si="43"/>
        <v>0.75471698113207553</v>
      </c>
      <c r="AG271">
        <f t="shared" si="44"/>
        <v>0.13313363288400734</v>
      </c>
    </row>
    <row r="272" spans="1:33" x14ac:dyDescent="0.25">
      <c r="A272">
        <v>316</v>
      </c>
      <c r="B272">
        <f>IFERROR(VLOOKUP(A272,Capacity!$A$3:$D$532,4,), "0")</f>
        <v>132.53593781250001</v>
      </c>
      <c r="C272" s="4">
        <f>IFERROR(VLOOKUP(A272,Capacity!$A$3:$F$532,6,), "0")</f>
        <v>0.75</v>
      </c>
      <c r="D272">
        <v>315</v>
      </c>
      <c r="E272">
        <f>IFERROR(VLOOKUP(D272,Capacity!$A$3:$D$532,4,), "0")</f>
        <v>132.53593781250001</v>
      </c>
      <c r="F272" s="4">
        <f>IFERROR(VLOOKUP(D272,Capacity!$A$3:$F$532,6,), "0")</f>
        <v>0.75</v>
      </c>
      <c r="G272">
        <v>255</v>
      </c>
      <c r="H272">
        <f>IFERROR(VLOOKUP(G272,Capacity!$A$3:$D$532,4,), "0")</f>
        <v>26.474200840200002</v>
      </c>
      <c r="I272" s="4">
        <f>IFERROR(VLOOKUP(G272,Capacity!$A$3:$F$532,6,), "0")</f>
        <v>0.26500000000000001</v>
      </c>
      <c r="K272" t="str">
        <f>IFERROR(VLOOKUP(J272,Capacity!$A$3:$D$532,4,), "0")</f>
        <v>0</v>
      </c>
      <c r="L272" s="4" t="str">
        <f>IFERROR(VLOOKUP(J272,Capacity!$A$3:$F$532,6,), "0")</f>
        <v>0</v>
      </c>
      <c r="M272" s="5">
        <f t="shared" si="36"/>
        <v>159.01013865270002</v>
      </c>
      <c r="N272" s="5">
        <f t="shared" si="37"/>
        <v>1.0150000000000001</v>
      </c>
      <c r="O272">
        <v>318</v>
      </c>
      <c r="P272">
        <f>IFERROR(VLOOKUP(O272,Capacity!$A$3:$D$532,4,), "0")</f>
        <v>132.53593781250001</v>
      </c>
      <c r="Q272" s="4">
        <f>IFERROR(VLOOKUP(O272,Capacity!$A$3:$F$532,6,), "0")</f>
        <v>0.75</v>
      </c>
      <c r="R272" s="5">
        <f t="shared" si="38"/>
        <v>132.53593781250001</v>
      </c>
      <c r="S272" s="5">
        <f t="shared" si="42"/>
        <v>0.75</v>
      </c>
      <c r="U272">
        <v>316</v>
      </c>
      <c r="V272">
        <v>3</v>
      </c>
      <c r="W272">
        <v>3</v>
      </c>
      <c r="X272">
        <v>1</v>
      </c>
      <c r="AB272">
        <f t="shared" si="39"/>
        <v>1.1997511111111112</v>
      </c>
      <c r="AC272">
        <f t="shared" si="40"/>
        <v>1.1997511111111112</v>
      </c>
      <c r="AD272">
        <f t="shared" si="41"/>
        <v>1.3533333333333335</v>
      </c>
      <c r="AE272">
        <f t="shared" si="43"/>
        <v>1.3533333333333335</v>
      </c>
      <c r="AG272">
        <f t="shared" si="44"/>
        <v>0.59987555555555561</v>
      </c>
    </row>
    <row r="273" spans="1:33" x14ac:dyDescent="0.25">
      <c r="A273">
        <v>254</v>
      </c>
      <c r="B273">
        <f>IFERROR(VLOOKUP(A273,Capacity!$A$3:$D$532,4,), "0")</f>
        <v>26.474200840200002</v>
      </c>
      <c r="C273" s="4">
        <f>IFERROR(VLOOKUP(A273,Capacity!$A$3:$F$532,6,), "0")</f>
        <v>0.26500000000000001</v>
      </c>
      <c r="E273" t="str">
        <f>IFERROR(VLOOKUP(D273,Capacity!$A$3:$D$532,4,), "0")</f>
        <v>0</v>
      </c>
      <c r="F273" s="4" t="str">
        <f>IFERROR(VLOOKUP(D273,Capacity!$A$3:$F$532,6,), "0")</f>
        <v>0</v>
      </c>
      <c r="H273" t="str">
        <f>IFERROR(VLOOKUP(G273,Capacity!$A$3:$D$532,4,), "0")</f>
        <v>0</v>
      </c>
      <c r="I273" s="4" t="str">
        <f>IFERROR(VLOOKUP(G273,Capacity!$A$3:$F$532,6,), "0")</f>
        <v>0</v>
      </c>
      <c r="K273" t="str">
        <f>IFERROR(VLOOKUP(J273,Capacity!$A$3:$D$532,4,), "0")</f>
        <v>0</v>
      </c>
      <c r="L273" s="4" t="str">
        <f>IFERROR(VLOOKUP(J273,Capacity!$A$3:$F$532,6,), "0")</f>
        <v>0</v>
      </c>
      <c r="M273" s="5">
        <f t="shared" si="36"/>
        <v>0</v>
      </c>
      <c r="N273" s="5">
        <f t="shared" si="37"/>
        <v>0</v>
      </c>
      <c r="O273">
        <v>318</v>
      </c>
      <c r="P273">
        <f>IFERROR(VLOOKUP(O273,Capacity!$A$3:$D$532,4,), "0")</f>
        <v>132.53593781250001</v>
      </c>
      <c r="Q273" s="4">
        <f>IFERROR(VLOOKUP(O273,Capacity!$A$3:$F$532,6,), "0")</f>
        <v>0.75</v>
      </c>
      <c r="R273" s="5">
        <f t="shared" si="38"/>
        <v>132.53593781250001</v>
      </c>
      <c r="S273" s="5">
        <f t="shared" si="42"/>
        <v>0.75</v>
      </c>
      <c r="U273">
        <v>254</v>
      </c>
      <c r="V273">
        <v>0</v>
      </c>
      <c r="W273">
        <v>0</v>
      </c>
      <c r="X273">
        <v>1</v>
      </c>
      <c r="AB273">
        <f t="shared" si="39"/>
        <v>0</v>
      </c>
      <c r="AC273">
        <f t="shared" si="40"/>
        <v>0</v>
      </c>
      <c r="AD273">
        <f t="shared" si="41"/>
        <v>0</v>
      </c>
      <c r="AE273">
        <f t="shared" si="43"/>
        <v>0</v>
      </c>
      <c r="AG273">
        <f t="shared" si="44"/>
        <v>0</v>
      </c>
    </row>
    <row r="274" spans="1:33" x14ac:dyDescent="0.25">
      <c r="A274">
        <v>524</v>
      </c>
      <c r="B274">
        <f>IFERROR(VLOOKUP(A274,Capacity!$A$3:$D$532,4,), "0")</f>
        <v>22.128592876249996</v>
      </c>
      <c r="C274" s="4">
        <f>IFERROR(VLOOKUP(A274,Capacity!$A$3:$F$532,6,), "0")</f>
        <v>0.17499999999999999</v>
      </c>
      <c r="E274" t="str">
        <f>IFERROR(VLOOKUP(D274,Capacity!$A$3:$D$532,4,), "0")</f>
        <v>0</v>
      </c>
      <c r="F274" s="4" t="str">
        <f>IFERROR(VLOOKUP(D274,Capacity!$A$3:$F$532,6,), "0")</f>
        <v>0</v>
      </c>
      <c r="H274" t="str">
        <f>IFERROR(VLOOKUP(G274,Capacity!$A$3:$D$532,4,), "0")</f>
        <v>0</v>
      </c>
      <c r="I274" s="4" t="str">
        <f>IFERROR(VLOOKUP(G274,Capacity!$A$3:$F$532,6,), "0")</f>
        <v>0</v>
      </c>
      <c r="K274" t="str">
        <f>IFERROR(VLOOKUP(J274,Capacity!$A$3:$D$532,4,), "0")</f>
        <v>0</v>
      </c>
      <c r="L274" s="4" t="str">
        <f>IFERROR(VLOOKUP(J274,Capacity!$A$3:$F$532,6,), "0")</f>
        <v>0</v>
      </c>
      <c r="M274" s="5">
        <f t="shared" si="36"/>
        <v>0</v>
      </c>
      <c r="N274" s="5">
        <f t="shared" si="37"/>
        <v>0</v>
      </c>
      <c r="O274">
        <v>40</v>
      </c>
      <c r="P274">
        <f>IFERROR(VLOOKUP(O274,Capacity!$A$3:$D$532,4,), "0")</f>
        <v>40.212385280000007</v>
      </c>
      <c r="Q274" s="4">
        <f>IFERROR(VLOOKUP(O274,Capacity!$A$3:$F$532,6,), "0")</f>
        <v>0.4</v>
      </c>
      <c r="R274" s="5">
        <f t="shared" si="38"/>
        <v>40.212385280000007</v>
      </c>
      <c r="S274" s="5">
        <f t="shared" si="42"/>
        <v>0.4</v>
      </c>
      <c r="U274">
        <v>524</v>
      </c>
      <c r="V274">
        <v>0</v>
      </c>
      <c r="W274">
        <v>0</v>
      </c>
      <c r="X274">
        <v>1</v>
      </c>
      <c r="AB274">
        <f t="shared" si="39"/>
        <v>0</v>
      </c>
      <c r="AC274">
        <f t="shared" si="40"/>
        <v>0</v>
      </c>
      <c r="AD274">
        <f t="shared" si="41"/>
        <v>0</v>
      </c>
      <c r="AE274">
        <f t="shared" si="43"/>
        <v>0</v>
      </c>
      <c r="AG274">
        <f t="shared" si="44"/>
        <v>0</v>
      </c>
    </row>
    <row r="275" spans="1:33" x14ac:dyDescent="0.25">
      <c r="A275">
        <v>405</v>
      </c>
      <c r="B275">
        <f>IFERROR(VLOOKUP(A275,Capacity!$A$3:$D$532,4,), "0")</f>
        <v>21.647536509374998</v>
      </c>
      <c r="C275" s="4">
        <f>IFERROR(VLOOKUP(A275,Capacity!$A$3:$F$532,6,), "0")</f>
        <v>0.17499999999999999</v>
      </c>
      <c r="E275" t="str">
        <f>IFERROR(VLOOKUP(D275,Capacity!$A$3:$D$532,4,), "0")</f>
        <v>0</v>
      </c>
      <c r="F275" s="4" t="str">
        <f>IFERROR(VLOOKUP(D275,Capacity!$A$3:$F$532,6,), "0")</f>
        <v>0</v>
      </c>
      <c r="H275" t="str">
        <f>IFERROR(VLOOKUP(G275,Capacity!$A$3:$D$532,4,), "0")</f>
        <v>0</v>
      </c>
      <c r="I275" s="4" t="str">
        <f>IFERROR(VLOOKUP(G275,Capacity!$A$3:$F$532,6,), "0")</f>
        <v>0</v>
      </c>
      <c r="K275" t="str">
        <f>IFERROR(VLOOKUP(J275,Capacity!$A$3:$D$532,4,), "0")</f>
        <v>0</v>
      </c>
      <c r="L275" s="4" t="str">
        <f>IFERROR(VLOOKUP(J275,Capacity!$A$3:$F$532,6,), "0")</f>
        <v>0</v>
      </c>
      <c r="M275" s="5">
        <f t="shared" si="36"/>
        <v>0</v>
      </c>
      <c r="N275" s="5">
        <f t="shared" si="37"/>
        <v>0</v>
      </c>
      <c r="O275">
        <v>40</v>
      </c>
      <c r="P275">
        <f>IFERROR(VLOOKUP(O275,Capacity!$A$3:$D$532,4,), "0")</f>
        <v>40.212385280000007</v>
      </c>
      <c r="Q275" s="4">
        <f>IFERROR(VLOOKUP(O275,Capacity!$A$3:$F$532,6,), "0")</f>
        <v>0.4</v>
      </c>
      <c r="R275" s="5">
        <f t="shared" si="38"/>
        <v>40.212385280000007</v>
      </c>
      <c r="S275" s="5">
        <f t="shared" si="42"/>
        <v>0.4</v>
      </c>
      <c r="U275">
        <v>405</v>
      </c>
      <c r="V275">
        <v>0</v>
      </c>
      <c r="W275">
        <v>0</v>
      </c>
      <c r="X275">
        <v>1</v>
      </c>
      <c r="AB275">
        <f t="shared" si="39"/>
        <v>0</v>
      </c>
      <c r="AC275">
        <f t="shared" si="40"/>
        <v>0</v>
      </c>
      <c r="AD275">
        <f t="shared" si="41"/>
        <v>0</v>
      </c>
      <c r="AE275">
        <f t="shared" si="43"/>
        <v>0</v>
      </c>
      <c r="AG275">
        <f t="shared" si="44"/>
        <v>0</v>
      </c>
    </row>
    <row r="276" spans="1:33" x14ac:dyDescent="0.25">
      <c r="A276">
        <v>39</v>
      </c>
      <c r="B276">
        <f>IFERROR(VLOOKUP(A276,Capacity!$A$3:$D$532,4,), "0")</f>
        <v>40.212385280000007</v>
      </c>
      <c r="C276" s="4">
        <f>IFERROR(VLOOKUP(A276,Capacity!$A$3:$F$532,6,), "0")</f>
        <v>0.4</v>
      </c>
      <c r="D276">
        <v>403</v>
      </c>
      <c r="E276">
        <f>IFERROR(VLOOKUP(D276,Capacity!$A$3:$D$532,4,), "0")</f>
        <v>21.647536509374998</v>
      </c>
      <c r="F276" s="4">
        <f>IFERROR(VLOOKUP(D276,Capacity!$A$3:$F$532,6,), "0")</f>
        <v>0.17499999999999999</v>
      </c>
      <c r="G276">
        <v>337</v>
      </c>
      <c r="H276">
        <f>IFERROR(VLOOKUP(G276,Capacity!$A$3:$D$532,4,), "0")</f>
        <v>115.61060768000002</v>
      </c>
      <c r="I276" s="4">
        <f>IFERROR(VLOOKUP(G276,Capacity!$A$3:$F$532,6,), "0")</f>
        <v>0.4</v>
      </c>
      <c r="J276">
        <v>38</v>
      </c>
      <c r="K276">
        <f>IFERROR(VLOOKUP(J276,Capacity!$A$3:$D$532,4,), "0")</f>
        <v>17.649467226800002</v>
      </c>
      <c r="L276" s="4">
        <f>IFERROR(VLOOKUP(J276,Capacity!$A$3:$F$532,6,), "0")</f>
        <v>0.26500000000000001</v>
      </c>
      <c r="M276" s="5">
        <f t="shared" si="36"/>
        <v>154.907611416175</v>
      </c>
      <c r="N276" s="5">
        <f t="shared" si="37"/>
        <v>0.84</v>
      </c>
      <c r="O276">
        <v>40</v>
      </c>
      <c r="P276">
        <f>IFERROR(VLOOKUP(O276,Capacity!$A$3:$D$532,4,), "0")</f>
        <v>40.212385280000007</v>
      </c>
      <c r="Q276" s="4">
        <f>IFERROR(VLOOKUP(O276,Capacity!$A$3:$F$532,6,), "0")</f>
        <v>0.4</v>
      </c>
      <c r="R276" s="5">
        <f t="shared" si="38"/>
        <v>40.212385280000007</v>
      </c>
      <c r="S276" s="5">
        <f t="shared" si="42"/>
        <v>0.4</v>
      </c>
      <c r="U276">
        <v>39</v>
      </c>
      <c r="V276">
        <v>4</v>
      </c>
      <c r="W276">
        <v>4</v>
      </c>
      <c r="X276">
        <v>1</v>
      </c>
      <c r="AB276">
        <f t="shared" si="39"/>
        <v>3.8522363281249996</v>
      </c>
      <c r="AC276">
        <f t="shared" si="40"/>
        <v>3.8522363281249996</v>
      </c>
      <c r="AD276">
        <f t="shared" si="41"/>
        <v>2.0999999999999996</v>
      </c>
      <c r="AE276">
        <f t="shared" si="43"/>
        <v>2.0999999999999996</v>
      </c>
      <c r="AG276">
        <f t="shared" si="44"/>
        <v>1.9261181640624998</v>
      </c>
    </row>
    <row r="277" spans="1:33" x14ac:dyDescent="0.25">
      <c r="A277">
        <v>77</v>
      </c>
      <c r="B277">
        <f>IFERROR(VLOOKUP(A277,Capacity!$A$3:$D$532,4,), "0")</f>
        <v>90.477866879999993</v>
      </c>
      <c r="C277" s="4">
        <f>IFERROR(VLOOKUP(A277,Capacity!$A$3:$F$532,6,), "0")</f>
        <v>0.6</v>
      </c>
      <c r="D277">
        <v>76</v>
      </c>
      <c r="E277">
        <f>IFERROR(VLOOKUP(D277,Capacity!$A$3:$D$532,4,), "0")</f>
        <v>90.477866879999993</v>
      </c>
      <c r="F277" s="4">
        <f>IFERROR(VLOOKUP(D277,Capacity!$A$3:$F$532,6,), "0")</f>
        <v>0.6</v>
      </c>
      <c r="H277" t="str">
        <f>IFERROR(VLOOKUP(G277,Capacity!$A$3:$D$532,4,), "0")</f>
        <v>0</v>
      </c>
      <c r="I277" s="4" t="str">
        <f>IFERROR(VLOOKUP(G277,Capacity!$A$3:$F$532,6,), "0")</f>
        <v>0</v>
      </c>
      <c r="K277" t="str">
        <f>IFERROR(VLOOKUP(J277,Capacity!$A$3:$D$532,4,), "0")</f>
        <v>0</v>
      </c>
      <c r="L277" s="4" t="str">
        <f>IFERROR(VLOOKUP(J277,Capacity!$A$3:$F$532,6,), "0")</f>
        <v>0</v>
      </c>
      <c r="M277" s="5">
        <f t="shared" si="36"/>
        <v>90.477866879999993</v>
      </c>
      <c r="N277" s="5">
        <f t="shared" si="37"/>
        <v>0.6</v>
      </c>
      <c r="O277">
        <v>78</v>
      </c>
      <c r="P277">
        <f>IFERROR(VLOOKUP(O277,Capacity!$A$3:$D$532,4,), "0")</f>
        <v>90.477866879999993</v>
      </c>
      <c r="Q277" s="4">
        <f>IFERROR(VLOOKUP(O277,Capacity!$A$3:$F$532,6,), "0")</f>
        <v>0.6</v>
      </c>
      <c r="R277" s="5">
        <f t="shared" si="38"/>
        <v>90.477866879999993</v>
      </c>
      <c r="S277" s="5">
        <f t="shared" si="42"/>
        <v>0.6</v>
      </c>
      <c r="U277">
        <v>77</v>
      </c>
      <c r="V277">
        <v>2</v>
      </c>
      <c r="W277">
        <v>2</v>
      </c>
      <c r="X277">
        <v>1</v>
      </c>
      <c r="AB277">
        <f t="shared" si="39"/>
        <v>1</v>
      </c>
      <c r="AC277">
        <f t="shared" si="40"/>
        <v>1</v>
      </c>
      <c r="AD277">
        <f t="shared" si="41"/>
        <v>1</v>
      </c>
      <c r="AE277">
        <f t="shared" si="43"/>
        <v>1</v>
      </c>
      <c r="AG277">
        <f t="shared" si="44"/>
        <v>0.5</v>
      </c>
    </row>
    <row r="278" spans="1:33" x14ac:dyDescent="0.25">
      <c r="A278">
        <v>402</v>
      </c>
      <c r="B278">
        <f>IFERROR(VLOOKUP(A278,Capacity!$A$3:$D$532,4,), "0")</f>
        <v>21.166480142499999</v>
      </c>
      <c r="C278" s="4">
        <f>IFERROR(VLOOKUP(A278,Capacity!$A$3:$F$532,6,), "0")</f>
        <v>0.17499999999999999</v>
      </c>
      <c r="E278" t="str">
        <f>IFERROR(VLOOKUP(D278,Capacity!$A$3:$D$532,4,), "0")</f>
        <v>0</v>
      </c>
      <c r="F278" s="4" t="str">
        <f>IFERROR(VLOOKUP(D278,Capacity!$A$3:$F$532,6,), "0")</f>
        <v>0</v>
      </c>
      <c r="H278" t="str">
        <f>IFERROR(VLOOKUP(G278,Capacity!$A$3:$D$532,4,), "0")</f>
        <v>0</v>
      </c>
      <c r="I278" s="4" t="str">
        <f>IFERROR(VLOOKUP(G278,Capacity!$A$3:$F$532,6,), "0")</f>
        <v>0</v>
      </c>
      <c r="K278" t="str">
        <f>IFERROR(VLOOKUP(J278,Capacity!$A$3:$D$532,4,), "0")</f>
        <v>0</v>
      </c>
      <c r="L278" s="4" t="str">
        <f>IFERROR(VLOOKUP(J278,Capacity!$A$3:$F$532,6,), "0")</f>
        <v>0</v>
      </c>
      <c r="M278" s="5">
        <f t="shared" si="36"/>
        <v>0</v>
      </c>
      <c r="N278" s="5">
        <f t="shared" si="37"/>
        <v>0</v>
      </c>
      <c r="O278">
        <v>196</v>
      </c>
      <c r="P278">
        <f>IFERROR(VLOOKUP(O278,Capacity!$A$3:$D$532,4,), "0")</f>
        <v>22.619466719999998</v>
      </c>
      <c r="Q278" s="4">
        <f>IFERROR(VLOOKUP(O278,Capacity!$A$3:$F$532,6,), "0")</f>
        <v>0.3</v>
      </c>
      <c r="R278" s="5">
        <f t="shared" si="38"/>
        <v>22.619466719999998</v>
      </c>
      <c r="S278" s="5">
        <f t="shared" si="42"/>
        <v>0.3</v>
      </c>
      <c r="U278">
        <v>402</v>
      </c>
      <c r="V278">
        <v>0</v>
      </c>
      <c r="W278">
        <v>0</v>
      </c>
      <c r="X278">
        <v>1</v>
      </c>
      <c r="AB278">
        <f t="shared" si="39"/>
        <v>0</v>
      </c>
      <c r="AC278">
        <f t="shared" si="40"/>
        <v>0</v>
      </c>
      <c r="AD278">
        <f t="shared" si="41"/>
        <v>0</v>
      </c>
      <c r="AE278">
        <f t="shared" si="43"/>
        <v>0</v>
      </c>
      <c r="AG278">
        <f t="shared" si="44"/>
        <v>0</v>
      </c>
    </row>
    <row r="279" spans="1:33" x14ac:dyDescent="0.25">
      <c r="A279">
        <v>197</v>
      </c>
      <c r="B279">
        <f>IFERROR(VLOOKUP(A279,Capacity!$A$3:$D$532,4,), "0")</f>
        <v>22.619466719999998</v>
      </c>
      <c r="C279" s="4">
        <f>IFERROR(VLOOKUP(A279,Capacity!$A$3:$F$532,6,), "0")</f>
        <v>0.3</v>
      </c>
      <c r="D279">
        <v>400</v>
      </c>
      <c r="E279">
        <f>IFERROR(VLOOKUP(D279,Capacity!$A$3:$D$532,4,), "0")</f>
        <v>21.166480142499999</v>
      </c>
      <c r="F279" s="4">
        <f>IFERROR(VLOOKUP(D279,Capacity!$A$3:$F$532,6,), "0")</f>
        <v>0.17499999999999999</v>
      </c>
      <c r="G279">
        <v>198</v>
      </c>
      <c r="H279">
        <f>IFERROR(VLOOKUP(G279,Capacity!$A$3:$D$532,4,), "0")</f>
        <v>17.649467226800002</v>
      </c>
      <c r="I279" s="4">
        <f>IFERROR(VLOOKUP(G279,Capacity!$A$3:$F$532,6,), "0")</f>
        <v>0.26500000000000001</v>
      </c>
      <c r="K279" t="str">
        <f>IFERROR(VLOOKUP(J279,Capacity!$A$3:$D$532,4,), "0")</f>
        <v>0</v>
      </c>
      <c r="L279" s="4" t="str">
        <f>IFERROR(VLOOKUP(J279,Capacity!$A$3:$F$532,6,), "0")</f>
        <v>0</v>
      </c>
      <c r="M279" s="5">
        <f t="shared" si="36"/>
        <v>38.815947369300005</v>
      </c>
      <c r="N279" s="5">
        <f t="shared" si="37"/>
        <v>0.44</v>
      </c>
      <c r="O279">
        <v>196</v>
      </c>
      <c r="P279">
        <f>IFERROR(VLOOKUP(O279,Capacity!$A$3:$D$532,4,), "0")</f>
        <v>22.619466719999998</v>
      </c>
      <c r="Q279" s="4">
        <f>IFERROR(VLOOKUP(O279,Capacity!$A$3:$F$532,6,), "0")</f>
        <v>0.3</v>
      </c>
      <c r="R279" s="5">
        <f t="shared" si="38"/>
        <v>22.619466719999998</v>
      </c>
      <c r="S279" s="5">
        <f t="shared" si="42"/>
        <v>0.3</v>
      </c>
      <c r="U279">
        <v>197</v>
      </c>
      <c r="V279">
        <v>2</v>
      </c>
      <c r="W279">
        <v>2</v>
      </c>
      <c r="X279">
        <v>1</v>
      </c>
      <c r="AB279">
        <f t="shared" si="39"/>
        <v>1.7160416666666671</v>
      </c>
      <c r="AC279">
        <f t="shared" si="40"/>
        <v>1.7160416666666671</v>
      </c>
      <c r="AD279">
        <f t="shared" si="41"/>
        <v>1.4666666666666668</v>
      </c>
      <c r="AE279">
        <f t="shared" si="43"/>
        <v>1.4666666666666668</v>
      </c>
      <c r="AG279">
        <f t="shared" si="44"/>
        <v>0.85802083333333357</v>
      </c>
    </row>
    <row r="280" spans="1:33" x14ac:dyDescent="0.25">
      <c r="A280">
        <v>465</v>
      </c>
      <c r="B280">
        <f>IFERROR(VLOOKUP(A280,Capacity!$A$3:$D$532,4,), "0")</f>
        <v>353.42916750000001</v>
      </c>
      <c r="C280" s="4">
        <f>IFERROR(VLOOKUP(A280,Capacity!$A$3:$F$532,6,), "0")</f>
        <v>0.75</v>
      </c>
      <c r="E280" t="str">
        <f>IFERROR(VLOOKUP(D280,Capacity!$A$3:$D$532,4,), "0")</f>
        <v>0</v>
      </c>
      <c r="F280" s="4" t="str">
        <f>IFERROR(VLOOKUP(D280,Capacity!$A$3:$F$532,6,), "0")</f>
        <v>0</v>
      </c>
      <c r="H280" t="str">
        <f>IFERROR(VLOOKUP(G280,Capacity!$A$3:$D$532,4,), "0")</f>
        <v>0</v>
      </c>
      <c r="I280" s="4" t="str">
        <f>IFERROR(VLOOKUP(G280,Capacity!$A$3:$F$532,6,), "0")</f>
        <v>0</v>
      </c>
      <c r="K280" t="str">
        <f>IFERROR(VLOOKUP(J280,Capacity!$A$3:$D$532,4,), "0")</f>
        <v>0</v>
      </c>
      <c r="L280" s="4" t="str">
        <f>IFERROR(VLOOKUP(J280,Capacity!$A$3:$F$532,6,), "0")</f>
        <v>0</v>
      </c>
      <c r="M280" s="5">
        <f t="shared" si="36"/>
        <v>0</v>
      </c>
      <c r="N280" s="5">
        <f t="shared" si="37"/>
        <v>0</v>
      </c>
      <c r="O280">
        <v>200</v>
      </c>
      <c r="P280">
        <f>IFERROR(VLOOKUP(O280,Capacity!$A$3:$D$532,4,), "0")</f>
        <v>10.053096320000002</v>
      </c>
      <c r="Q280" s="4">
        <f>IFERROR(VLOOKUP(O280,Capacity!$A$3:$F$532,6,), "0")</f>
        <v>0.2</v>
      </c>
      <c r="R280" s="5">
        <f t="shared" si="38"/>
        <v>10.053096320000002</v>
      </c>
      <c r="S280" s="5">
        <f t="shared" si="42"/>
        <v>0.2</v>
      </c>
      <c r="U280">
        <v>465</v>
      </c>
      <c r="V280">
        <v>0</v>
      </c>
      <c r="W280">
        <v>0</v>
      </c>
      <c r="X280">
        <v>1</v>
      </c>
      <c r="AB280">
        <f t="shared" si="39"/>
        <v>0</v>
      </c>
      <c r="AC280">
        <f t="shared" si="40"/>
        <v>0</v>
      </c>
      <c r="AD280">
        <f t="shared" si="41"/>
        <v>0</v>
      </c>
      <c r="AE280">
        <f t="shared" si="43"/>
        <v>0</v>
      </c>
      <c r="AG280">
        <f t="shared" si="44"/>
        <v>0</v>
      </c>
    </row>
    <row r="281" spans="1:33" x14ac:dyDescent="0.25">
      <c r="A281">
        <v>468</v>
      </c>
      <c r="B281">
        <f>IFERROR(VLOOKUP(A281,Capacity!$A$3:$D$532,4,), "0")</f>
        <v>8.1779582368749981</v>
      </c>
      <c r="C281" s="4">
        <f>IFERROR(VLOOKUP(A281,Capacity!$A$3:$F$532,6,), "0")</f>
        <v>0.17499999999999999</v>
      </c>
      <c r="E281" t="str">
        <f>IFERROR(VLOOKUP(D281,Capacity!$A$3:$D$532,4,), "0")</f>
        <v>0</v>
      </c>
      <c r="F281" s="4" t="str">
        <f>IFERROR(VLOOKUP(D281,Capacity!$A$3:$F$532,6,), "0")</f>
        <v>0</v>
      </c>
      <c r="H281" t="str">
        <f>IFERROR(VLOOKUP(G281,Capacity!$A$3:$D$532,4,), "0")</f>
        <v>0</v>
      </c>
      <c r="I281" s="4" t="str">
        <f>IFERROR(VLOOKUP(G281,Capacity!$A$3:$F$532,6,), "0")</f>
        <v>0</v>
      </c>
      <c r="K281" t="str">
        <f>IFERROR(VLOOKUP(J281,Capacity!$A$3:$D$532,4,), "0")</f>
        <v>0</v>
      </c>
      <c r="L281" s="4" t="str">
        <f>IFERROR(VLOOKUP(J281,Capacity!$A$3:$F$532,6,), "0")</f>
        <v>0</v>
      </c>
      <c r="M281" s="5">
        <f t="shared" si="36"/>
        <v>0</v>
      </c>
      <c r="N281" s="5">
        <f t="shared" si="37"/>
        <v>0</v>
      </c>
      <c r="O281">
        <v>203</v>
      </c>
      <c r="P281">
        <f>IFERROR(VLOOKUP(O281,Capacity!$A$3:$D$532,4,), "0")</f>
        <v>75.398222400000023</v>
      </c>
      <c r="Q281" s="4">
        <f>IFERROR(VLOOKUP(O281,Capacity!$A$3:$F$532,6,), "0")</f>
        <v>0.4</v>
      </c>
      <c r="R281" s="5">
        <f t="shared" si="38"/>
        <v>75.398222400000023</v>
      </c>
      <c r="S281" s="5">
        <f t="shared" si="42"/>
        <v>0.4</v>
      </c>
      <c r="U281">
        <v>468</v>
      </c>
      <c r="V281">
        <v>0</v>
      </c>
      <c r="W281">
        <v>0</v>
      </c>
      <c r="X281">
        <v>1</v>
      </c>
      <c r="AB281">
        <f t="shared" si="39"/>
        <v>0</v>
      </c>
      <c r="AC281">
        <f t="shared" si="40"/>
        <v>0</v>
      </c>
      <c r="AD281">
        <f t="shared" si="41"/>
        <v>0</v>
      </c>
      <c r="AE281">
        <f t="shared" si="43"/>
        <v>0</v>
      </c>
      <c r="AG281">
        <f t="shared" si="44"/>
        <v>0</v>
      </c>
    </row>
    <row r="282" spans="1:33" x14ac:dyDescent="0.25">
      <c r="A282">
        <v>466</v>
      </c>
      <c r="B282">
        <f>IFERROR(VLOOKUP(A282,Capacity!$A$3:$D$532,4,), "0")</f>
        <v>22.128592876249996</v>
      </c>
      <c r="C282" s="4">
        <f>IFERROR(VLOOKUP(A282,Capacity!$A$3:$F$532,6,), "0")</f>
        <v>0.17499999999999999</v>
      </c>
      <c r="E282" t="str">
        <f>IFERROR(VLOOKUP(D282,Capacity!$A$3:$D$532,4,), "0")</f>
        <v>0</v>
      </c>
      <c r="F282" s="4" t="str">
        <f>IFERROR(VLOOKUP(D282,Capacity!$A$3:$F$532,6,), "0")</f>
        <v>0</v>
      </c>
      <c r="H282" t="str">
        <f>IFERROR(VLOOKUP(G282,Capacity!$A$3:$D$532,4,), "0")</f>
        <v>0</v>
      </c>
      <c r="I282" s="4" t="str">
        <f>IFERROR(VLOOKUP(G282,Capacity!$A$3:$F$532,6,), "0")</f>
        <v>0</v>
      </c>
      <c r="K282" t="str">
        <f>IFERROR(VLOOKUP(J282,Capacity!$A$3:$D$532,4,), "0")</f>
        <v>0</v>
      </c>
      <c r="L282" s="4" t="str">
        <f>IFERROR(VLOOKUP(J282,Capacity!$A$3:$F$532,6,), "0")</f>
        <v>0</v>
      </c>
      <c r="M282" s="5">
        <f t="shared" si="36"/>
        <v>0</v>
      </c>
      <c r="N282" s="5">
        <f t="shared" si="37"/>
        <v>0</v>
      </c>
      <c r="O282">
        <v>203</v>
      </c>
      <c r="P282">
        <f>IFERROR(VLOOKUP(O282,Capacity!$A$3:$D$532,4,), "0")</f>
        <v>75.398222400000023</v>
      </c>
      <c r="Q282" s="4">
        <f>IFERROR(VLOOKUP(O282,Capacity!$A$3:$F$532,6,), "0")</f>
        <v>0.4</v>
      </c>
      <c r="R282" s="5">
        <f t="shared" si="38"/>
        <v>75.398222400000023</v>
      </c>
      <c r="S282" s="5">
        <f t="shared" si="42"/>
        <v>0.4</v>
      </c>
      <c r="U282">
        <v>466</v>
      </c>
      <c r="V282">
        <v>0</v>
      </c>
      <c r="W282">
        <v>0</v>
      </c>
      <c r="X282">
        <v>1</v>
      </c>
      <c r="AB282">
        <f t="shared" si="39"/>
        <v>0</v>
      </c>
      <c r="AC282">
        <f t="shared" si="40"/>
        <v>0</v>
      </c>
      <c r="AD282">
        <f t="shared" si="41"/>
        <v>0</v>
      </c>
      <c r="AE282">
        <f t="shared" si="43"/>
        <v>0</v>
      </c>
      <c r="AG282">
        <f t="shared" si="44"/>
        <v>0</v>
      </c>
    </row>
    <row r="283" spans="1:33" x14ac:dyDescent="0.25">
      <c r="A283">
        <v>219</v>
      </c>
      <c r="B283">
        <f>IFERROR(VLOOKUP(A283,Capacity!$A$3:$D$532,4,), "0")</f>
        <v>50.265481600000015</v>
      </c>
      <c r="C283" s="4">
        <f>IFERROR(VLOOKUP(A283,Capacity!$A$3:$F$532,6,), "0")</f>
        <v>0.4</v>
      </c>
      <c r="D283">
        <v>476</v>
      </c>
      <c r="E283">
        <f>IFERROR(VLOOKUP(D283,Capacity!$A$3:$D$532,4,), "0")</f>
        <v>19.242254674999998</v>
      </c>
      <c r="F283" s="4">
        <f>IFERROR(VLOOKUP(D283,Capacity!$A$3:$F$532,6,), "0")</f>
        <v>0.17499999999999999</v>
      </c>
      <c r="G283">
        <v>220</v>
      </c>
      <c r="H283">
        <f>IFERROR(VLOOKUP(G283,Capacity!$A$3:$D$532,4,), "0")</f>
        <v>52.778755680000017</v>
      </c>
      <c r="I283" s="4">
        <f>IFERROR(VLOOKUP(G283,Capacity!$A$3:$F$532,6,), "0")</f>
        <v>0.4</v>
      </c>
      <c r="K283" t="str">
        <f>IFERROR(VLOOKUP(J283,Capacity!$A$3:$D$532,4,), "0")</f>
        <v>0</v>
      </c>
      <c r="L283" s="4" t="str">
        <f>IFERROR(VLOOKUP(J283,Capacity!$A$3:$F$532,6,), "0")</f>
        <v>0</v>
      </c>
      <c r="M283" s="5">
        <f t="shared" si="36"/>
        <v>72.021010355000016</v>
      </c>
      <c r="N283" s="5">
        <f t="shared" si="37"/>
        <v>0.57499999999999996</v>
      </c>
      <c r="O283">
        <v>203</v>
      </c>
      <c r="P283">
        <f>IFERROR(VLOOKUP(O283,Capacity!$A$3:$D$532,4,), "0")</f>
        <v>75.398222400000023</v>
      </c>
      <c r="Q283" s="4">
        <f>IFERROR(VLOOKUP(O283,Capacity!$A$3:$F$532,6,), "0")</f>
        <v>0.4</v>
      </c>
      <c r="R283" s="5">
        <f t="shared" si="38"/>
        <v>75.398222400000023</v>
      </c>
      <c r="S283" s="5">
        <f t="shared" si="42"/>
        <v>0.4</v>
      </c>
      <c r="U283">
        <v>219</v>
      </c>
      <c r="V283">
        <v>3</v>
      </c>
      <c r="W283">
        <v>3</v>
      </c>
      <c r="X283">
        <v>1</v>
      </c>
      <c r="AB283">
        <f t="shared" si="39"/>
        <v>0.95520833333333321</v>
      </c>
      <c r="AC283">
        <f t="shared" si="40"/>
        <v>1.4328124999999998</v>
      </c>
      <c r="AD283">
        <f t="shared" si="41"/>
        <v>1.4374999999999998</v>
      </c>
      <c r="AE283">
        <f t="shared" si="43"/>
        <v>1.4374999999999998</v>
      </c>
      <c r="AG283">
        <f t="shared" si="44"/>
        <v>0.573125</v>
      </c>
    </row>
    <row r="284" spans="1:33" x14ac:dyDescent="0.25">
      <c r="A284">
        <v>218</v>
      </c>
      <c r="B284">
        <f>IFERROR(VLOOKUP(A284,Capacity!$A$3:$D$532,4,), "0")</f>
        <v>9.621127337499999</v>
      </c>
      <c r="C284" s="4">
        <f>IFERROR(VLOOKUP(A284,Capacity!$A$3:$F$532,6,), "0")</f>
        <v>0.17499999999999999</v>
      </c>
      <c r="E284" t="str">
        <f>IFERROR(VLOOKUP(D284,Capacity!$A$3:$D$532,4,), "0")</f>
        <v>0</v>
      </c>
      <c r="F284" s="4" t="str">
        <f>IFERROR(VLOOKUP(D284,Capacity!$A$3:$F$532,6,), "0")</f>
        <v>0</v>
      </c>
      <c r="H284" t="str">
        <f>IFERROR(VLOOKUP(G284,Capacity!$A$3:$D$532,4,), "0")</f>
        <v>0</v>
      </c>
      <c r="I284" s="4" t="str">
        <f>IFERROR(VLOOKUP(G284,Capacity!$A$3:$F$532,6,), "0")</f>
        <v>0</v>
      </c>
      <c r="K284" t="str">
        <f>IFERROR(VLOOKUP(J284,Capacity!$A$3:$D$532,4,), "0")</f>
        <v>0</v>
      </c>
      <c r="L284" s="4" t="str">
        <f>IFERROR(VLOOKUP(J284,Capacity!$A$3:$F$532,6,), "0")</f>
        <v>0</v>
      </c>
      <c r="M284" s="5">
        <f t="shared" si="36"/>
        <v>0</v>
      </c>
      <c r="N284" s="5">
        <f t="shared" si="37"/>
        <v>0</v>
      </c>
      <c r="O284">
        <v>211</v>
      </c>
      <c r="P284">
        <f>IFERROR(VLOOKUP(O284,Capacity!$A$3:$D$532,4,), "0")</f>
        <v>4.8105636687499995</v>
      </c>
      <c r="Q284" s="4">
        <f>IFERROR(VLOOKUP(O284,Capacity!$A$3:$F$532,6,), "0")</f>
        <v>0.17499999999999999</v>
      </c>
      <c r="R284" s="5">
        <f t="shared" si="38"/>
        <v>4.8105636687499995</v>
      </c>
      <c r="S284" s="5">
        <f t="shared" si="42"/>
        <v>0.17499999999999999</v>
      </c>
      <c r="U284">
        <v>218</v>
      </c>
      <c r="V284">
        <v>1</v>
      </c>
      <c r="W284">
        <v>1</v>
      </c>
      <c r="X284">
        <v>1</v>
      </c>
      <c r="AB284">
        <f t="shared" si="39"/>
        <v>0</v>
      </c>
      <c r="AC284">
        <f t="shared" si="40"/>
        <v>0</v>
      </c>
      <c r="AD284">
        <f t="shared" si="41"/>
        <v>0</v>
      </c>
      <c r="AE284">
        <f t="shared" si="43"/>
        <v>0</v>
      </c>
      <c r="AG284">
        <f t="shared" si="44"/>
        <v>0</v>
      </c>
    </row>
    <row r="285" spans="1:33" x14ac:dyDescent="0.25">
      <c r="A285">
        <v>274</v>
      </c>
      <c r="B285">
        <f>IFERROR(VLOOKUP(A285,Capacity!$A$3:$D$532,4,), "0")</f>
        <v>4.8105636687499995</v>
      </c>
      <c r="C285" s="4">
        <f>IFERROR(VLOOKUP(A285,Capacity!$A$3:$F$532,6,), "0")</f>
        <v>0.17499999999999999</v>
      </c>
      <c r="E285" t="str">
        <f>IFERROR(VLOOKUP(D285,Capacity!$A$3:$D$532,4,), "0")</f>
        <v>0</v>
      </c>
      <c r="F285" s="4" t="str">
        <f>IFERROR(VLOOKUP(D285,Capacity!$A$3:$F$532,6,), "0")</f>
        <v>0</v>
      </c>
      <c r="H285" t="str">
        <f>IFERROR(VLOOKUP(G285,Capacity!$A$3:$D$532,4,), "0")</f>
        <v>0</v>
      </c>
      <c r="I285" s="4" t="str">
        <f>IFERROR(VLOOKUP(G285,Capacity!$A$3:$F$532,6,), "0")</f>
        <v>0</v>
      </c>
      <c r="K285" t="str">
        <f>IFERROR(VLOOKUP(J285,Capacity!$A$3:$D$532,4,), "0")</f>
        <v>0</v>
      </c>
      <c r="L285" s="4" t="str">
        <f>IFERROR(VLOOKUP(J285,Capacity!$A$3:$F$532,6,), "0")</f>
        <v>0</v>
      </c>
      <c r="M285" s="5">
        <f t="shared" si="36"/>
        <v>0</v>
      </c>
      <c r="N285" s="5">
        <f t="shared" si="37"/>
        <v>0</v>
      </c>
      <c r="O285">
        <v>231</v>
      </c>
      <c r="P285">
        <f>IFERROR(VLOOKUP(O285,Capacity!$A$3:$D$532,4,), "0")</f>
        <v>16.355916473749996</v>
      </c>
      <c r="Q285" s="4">
        <f>IFERROR(VLOOKUP(O285,Capacity!$A$3:$F$532,6,), "0")</f>
        <v>0.17499999999999999</v>
      </c>
      <c r="R285" s="5">
        <f t="shared" si="38"/>
        <v>16.355916473749996</v>
      </c>
      <c r="S285" s="5">
        <f t="shared" si="42"/>
        <v>0.17499999999999999</v>
      </c>
      <c r="U285">
        <v>274</v>
      </c>
      <c r="V285">
        <v>0</v>
      </c>
      <c r="W285">
        <v>0</v>
      </c>
      <c r="X285">
        <v>1</v>
      </c>
      <c r="AB285">
        <f t="shared" si="39"/>
        <v>0</v>
      </c>
      <c r="AC285">
        <f t="shared" si="40"/>
        <v>0</v>
      </c>
      <c r="AD285">
        <f t="shared" si="41"/>
        <v>0</v>
      </c>
      <c r="AE285">
        <f t="shared" si="43"/>
        <v>0</v>
      </c>
      <c r="AG285">
        <f t="shared" si="44"/>
        <v>0</v>
      </c>
    </row>
    <row r="286" spans="1:33" x14ac:dyDescent="0.25">
      <c r="A286">
        <v>230</v>
      </c>
      <c r="B286">
        <f>IFERROR(VLOOKUP(A286,Capacity!$A$3:$D$532,4,), "0")</f>
        <v>26.939156544999996</v>
      </c>
      <c r="C286" s="4">
        <f>IFERROR(VLOOKUP(A286,Capacity!$A$3:$F$532,6,), "0")</f>
        <v>0.17499999999999999</v>
      </c>
      <c r="E286" t="str">
        <f>IFERROR(VLOOKUP(D286,Capacity!$A$3:$D$532,4,), "0")</f>
        <v>0</v>
      </c>
      <c r="F286" s="4" t="str">
        <f>IFERROR(VLOOKUP(D286,Capacity!$A$3:$F$532,6,), "0")</f>
        <v>0</v>
      </c>
      <c r="H286" t="str">
        <f>IFERROR(VLOOKUP(G286,Capacity!$A$3:$D$532,4,), "0")</f>
        <v>0</v>
      </c>
      <c r="I286" s="4" t="str">
        <f>IFERROR(VLOOKUP(G286,Capacity!$A$3:$F$532,6,), "0")</f>
        <v>0</v>
      </c>
      <c r="K286" t="str">
        <f>IFERROR(VLOOKUP(J286,Capacity!$A$3:$D$532,4,), "0")</f>
        <v>0</v>
      </c>
      <c r="L286" s="4" t="str">
        <f>IFERROR(VLOOKUP(J286,Capacity!$A$3:$F$532,6,), "0")</f>
        <v>0</v>
      </c>
      <c r="M286" s="5">
        <f t="shared" si="36"/>
        <v>0</v>
      </c>
      <c r="N286" s="5">
        <f t="shared" si="37"/>
        <v>0</v>
      </c>
      <c r="O286">
        <v>231</v>
      </c>
      <c r="P286">
        <f>IFERROR(VLOOKUP(O286,Capacity!$A$3:$D$532,4,), "0")</f>
        <v>16.355916473749996</v>
      </c>
      <c r="Q286" s="4">
        <f>IFERROR(VLOOKUP(O286,Capacity!$A$3:$F$532,6,), "0")</f>
        <v>0.17499999999999999</v>
      </c>
      <c r="R286" s="5">
        <f t="shared" si="38"/>
        <v>16.355916473749996</v>
      </c>
      <c r="S286" s="5">
        <f t="shared" si="42"/>
        <v>0.17499999999999999</v>
      </c>
      <c r="U286">
        <v>230</v>
      </c>
      <c r="V286">
        <v>0</v>
      </c>
      <c r="W286">
        <v>0</v>
      </c>
      <c r="X286">
        <v>1</v>
      </c>
      <c r="AB286">
        <f t="shared" si="39"/>
        <v>0</v>
      </c>
      <c r="AC286">
        <f t="shared" si="40"/>
        <v>0</v>
      </c>
      <c r="AD286">
        <f t="shared" si="41"/>
        <v>0</v>
      </c>
      <c r="AE286">
        <f t="shared" si="43"/>
        <v>0</v>
      </c>
      <c r="AG286">
        <f t="shared" si="44"/>
        <v>0</v>
      </c>
    </row>
    <row r="287" spans="1:33" x14ac:dyDescent="0.25">
      <c r="A287">
        <v>430</v>
      </c>
      <c r="B287">
        <f>IFERROR(VLOOKUP(A287,Capacity!$A$3:$D$532,4,), "0")</f>
        <v>20.204367408749999</v>
      </c>
      <c r="C287" s="4">
        <f>IFERROR(VLOOKUP(A287,Capacity!$A$3:$F$532,6,), "0")</f>
        <v>0.17499999999999999</v>
      </c>
      <c r="E287" t="str">
        <f>IFERROR(VLOOKUP(D287,Capacity!$A$3:$D$532,4,), "0")</f>
        <v>0</v>
      </c>
      <c r="F287" s="4" t="str">
        <f>IFERROR(VLOOKUP(D287,Capacity!$A$3:$F$532,6,), "0")</f>
        <v>0</v>
      </c>
      <c r="H287" t="str">
        <f>IFERROR(VLOOKUP(G287,Capacity!$A$3:$D$532,4,), "0")</f>
        <v>0</v>
      </c>
      <c r="I287" s="4" t="str">
        <f>IFERROR(VLOOKUP(G287,Capacity!$A$3:$F$532,6,), "0")</f>
        <v>0</v>
      </c>
      <c r="K287" t="str">
        <f>IFERROR(VLOOKUP(J287,Capacity!$A$3:$D$532,4,), "0")</f>
        <v>0</v>
      </c>
      <c r="L287" s="4" t="str">
        <f>IFERROR(VLOOKUP(J287,Capacity!$A$3:$F$532,6,), "0")</f>
        <v>0</v>
      </c>
      <c r="M287" s="5">
        <f t="shared" si="36"/>
        <v>0</v>
      </c>
      <c r="N287" s="5">
        <f t="shared" si="37"/>
        <v>0</v>
      </c>
      <c r="O287">
        <v>105</v>
      </c>
      <c r="P287">
        <f>IFERROR(VLOOKUP(O287,Capacity!$A$3:$D$532,4,), "0")</f>
        <v>30.787607479999995</v>
      </c>
      <c r="Q287" s="4">
        <f>IFERROR(VLOOKUP(O287,Capacity!$A$3:$F$532,6,), "0")</f>
        <v>0.17499999999999999</v>
      </c>
      <c r="R287" s="5">
        <f t="shared" si="38"/>
        <v>30.787607479999995</v>
      </c>
      <c r="S287" s="5">
        <f t="shared" si="42"/>
        <v>0.17499999999999999</v>
      </c>
      <c r="U287">
        <v>430</v>
      </c>
      <c r="V287">
        <v>0</v>
      </c>
      <c r="W287">
        <v>0</v>
      </c>
      <c r="X287">
        <v>1</v>
      </c>
      <c r="AB287">
        <f t="shared" si="39"/>
        <v>0</v>
      </c>
      <c r="AC287">
        <f t="shared" si="40"/>
        <v>0</v>
      </c>
      <c r="AD287">
        <f t="shared" si="41"/>
        <v>0</v>
      </c>
      <c r="AE287">
        <f t="shared" si="43"/>
        <v>0</v>
      </c>
      <c r="AG287">
        <f t="shared" si="44"/>
        <v>0</v>
      </c>
    </row>
    <row r="288" spans="1:33" x14ac:dyDescent="0.25">
      <c r="A288">
        <v>104</v>
      </c>
      <c r="B288">
        <f>IFERROR(VLOOKUP(A288,Capacity!$A$3:$D$532,4,), "0")</f>
        <v>19.242254674999998</v>
      </c>
      <c r="C288" s="4">
        <f>IFERROR(VLOOKUP(A288,Capacity!$A$3:$F$532,6,), "0")</f>
        <v>0.17499999999999999</v>
      </c>
      <c r="D288">
        <v>385</v>
      </c>
      <c r="E288">
        <f>IFERROR(VLOOKUP(D288,Capacity!$A$3:$D$532,4,), "0")</f>
        <v>15.393803739999997</v>
      </c>
      <c r="F288" s="4">
        <f>IFERROR(VLOOKUP(D288,Capacity!$A$3:$F$532,6,), "0")</f>
        <v>0.17499999999999999</v>
      </c>
      <c r="G288">
        <v>279</v>
      </c>
      <c r="H288">
        <f>IFERROR(VLOOKUP(G288,Capacity!$A$3:$D$532,4,), "0")</f>
        <v>5.7726764024999992</v>
      </c>
      <c r="I288" s="4">
        <f>IFERROR(VLOOKUP(G288,Capacity!$A$3:$F$532,6,), "0")</f>
        <v>0.17499999999999999</v>
      </c>
      <c r="K288" t="str">
        <f>IFERROR(VLOOKUP(J288,Capacity!$A$3:$D$532,4,), "0")</f>
        <v>0</v>
      </c>
      <c r="L288" s="4" t="str">
        <f>IFERROR(VLOOKUP(J288,Capacity!$A$3:$F$532,6,), "0")</f>
        <v>0</v>
      </c>
      <c r="M288" s="5">
        <f t="shared" si="36"/>
        <v>21.166480142499996</v>
      </c>
      <c r="N288" s="5">
        <f t="shared" si="37"/>
        <v>0.35</v>
      </c>
      <c r="O288">
        <v>105</v>
      </c>
      <c r="P288">
        <f>IFERROR(VLOOKUP(O288,Capacity!$A$3:$D$532,4,), "0")</f>
        <v>30.787607479999995</v>
      </c>
      <c r="Q288" s="4">
        <f>IFERROR(VLOOKUP(O288,Capacity!$A$3:$F$532,6,), "0")</f>
        <v>0.17499999999999999</v>
      </c>
      <c r="R288" s="5">
        <f t="shared" si="38"/>
        <v>30.787607479999995</v>
      </c>
      <c r="S288" s="5">
        <f t="shared" si="42"/>
        <v>0.17499999999999999</v>
      </c>
      <c r="U288">
        <v>104</v>
      </c>
      <c r="V288">
        <v>2</v>
      </c>
      <c r="W288">
        <v>2</v>
      </c>
      <c r="X288">
        <v>1</v>
      </c>
      <c r="AB288">
        <f t="shared" si="39"/>
        <v>0.6875</v>
      </c>
      <c r="AC288">
        <f t="shared" si="40"/>
        <v>1.0999999999999999</v>
      </c>
      <c r="AD288">
        <f t="shared" si="41"/>
        <v>2</v>
      </c>
      <c r="AE288">
        <f t="shared" si="43"/>
        <v>2</v>
      </c>
      <c r="AG288">
        <f t="shared" si="44"/>
        <v>0.42307692307692307</v>
      </c>
    </row>
    <row r="289" spans="1:33" x14ac:dyDescent="0.25">
      <c r="A289">
        <v>429</v>
      </c>
      <c r="B289">
        <f>IFERROR(VLOOKUP(A289,Capacity!$A$3:$D$532,4,), "0")</f>
        <v>15.393803739999997</v>
      </c>
      <c r="C289" s="4">
        <f>IFERROR(VLOOKUP(A289,Capacity!$A$3:$F$532,6,), "0")</f>
        <v>0.17499999999999999</v>
      </c>
      <c r="E289" t="str">
        <f>IFERROR(VLOOKUP(D289,Capacity!$A$3:$D$532,4,), "0")</f>
        <v>0</v>
      </c>
      <c r="F289" s="4" t="str">
        <f>IFERROR(VLOOKUP(D289,Capacity!$A$3:$F$532,6,), "0")</f>
        <v>0</v>
      </c>
      <c r="H289" t="str">
        <f>IFERROR(VLOOKUP(G289,Capacity!$A$3:$D$532,4,), "0")</f>
        <v>0</v>
      </c>
      <c r="I289" s="4" t="str">
        <f>IFERROR(VLOOKUP(G289,Capacity!$A$3:$F$532,6,), "0")</f>
        <v>0</v>
      </c>
      <c r="K289" t="str">
        <f>IFERROR(VLOOKUP(J289,Capacity!$A$3:$D$532,4,), "0")</f>
        <v>0</v>
      </c>
      <c r="L289" s="4" t="str">
        <f>IFERROR(VLOOKUP(J289,Capacity!$A$3:$F$532,6,), "0")</f>
        <v>0</v>
      </c>
      <c r="M289" s="5">
        <f t="shared" si="36"/>
        <v>0</v>
      </c>
      <c r="N289" s="5">
        <f t="shared" si="37"/>
        <v>0</v>
      </c>
      <c r="O289">
        <v>108</v>
      </c>
      <c r="P289">
        <f>IFERROR(VLOOKUP(O289,Capacity!$A$3:$D$532,4,), "0")</f>
        <v>15.393803739999997</v>
      </c>
      <c r="Q289" s="4">
        <f>IFERROR(VLOOKUP(O289,Capacity!$A$3:$F$532,6,), "0")</f>
        <v>0.17499999999999999</v>
      </c>
      <c r="R289" s="5">
        <f t="shared" si="38"/>
        <v>15.393803739999997</v>
      </c>
      <c r="S289" s="5">
        <f t="shared" si="42"/>
        <v>0.17499999999999999</v>
      </c>
      <c r="U289">
        <v>429</v>
      </c>
      <c r="V289">
        <v>0</v>
      </c>
      <c r="W289">
        <v>0</v>
      </c>
      <c r="X289">
        <v>1</v>
      </c>
      <c r="AB289">
        <f t="shared" si="39"/>
        <v>0</v>
      </c>
      <c r="AC289">
        <f t="shared" si="40"/>
        <v>0</v>
      </c>
      <c r="AD289">
        <f t="shared" si="41"/>
        <v>0</v>
      </c>
      <c r="AE289">
        <f t="shared" si="43"/>
        <v>0</v>
      </c>
      <c r="AG289">
        <f t="shared" si="44"/>
        <v>0</v>
      </c>
    </row>
    <row r="290" spans="1:33" x14ac:dyDescent="0.25">
      <c r="A290">
        <v>352</v>
      </c>
      <c r="B290">
        <f>IFERROR(VLOOKUP(A290,Capacity!$A$3:$D$532,4,), "0")</f>
        <v>7.2158455031249993</v>
      </c>
      <c r="C290" s="4">
        <f>IFERROR(VLOOKUP(A290,Capacity!$A$3:$F$532,6,), "0")</f>
        <v>0.17499999999999999</v>
      </c>
      <c r="E290" t="str">
        <f>IFERROR(VLOOKUP(D290,Capacity!$A$3:$D$532,4,), "0")</f>
        <v>0</v>
      </c>
      <c r="F290" s="4" t="str">
        <f>IFERROR(VLOOKUP(D290,Capacity!$A$3:$F$532,6,), "0")</f>
        <v>0</v>
      </c>
      <c r="H290" t="str">
        <f>IFERROR(VLOOKUP(G290,Capacity!$A$3:$D$532,4,), "0")</f>
        <v>0</v>
      </c>
      <c r="I290" s="4" t="str">
        <f>IFERROR(VLOOKUP(G290,Capacity!$A$3:$F$532,6,), "0")</f>
        <v>0</v>
      </c>
      <c r="K290" t="str">
        <f>IFERROR(VLOOKUP(J290,Capacity!$A$3:$D$532,4,), "0")</f>
        <v>0</v>
      </c>
      <c r="L290" s="4" t="str">
        <f>IFERROR(VLOOKUP(J290,Capacity!$A$3:$F$532,6,), "0")</f>
        <v>0</v>
      </c>
      <c r="M290" s="5">
        <f t="shared" si="36"/>
        <v>0</v>
      </c>
      <c r="N290" s="5">
        <f t="shared" si="37"/>
        <v>0</v>
      </c>
      <c r="O290">
        <v>7</v>
      </c>
      <c r="P290">
        <f>IFERROR(VLOOKUP(O290,Capacity!$A$3:$D$532,4,), "0")</f>
        <v>20.106192640000003</v>
      </c>
      <c r="Q290" s="4">
        <f>IFERROR(VLOOKUP(O290,Capacity!$A$3:$F$532,6,), "0")</f>
        <v>0.2</v>
      </c>
      <c r="R290" s="5">
        <f t="shared" si="38"/>
        <v>20.106192640000003</v>
      </c>
      <c r="S290" s="5">
        <f t="shared" si="42"/>
        <v>0.2</v>
      </c>
      <c r="U290">
        <v>352</v>
      </c>
      <c r="V290">
        <v>0</v>
      </c>
      <c r="W290">
        <v>0</v>
      </c>
      <c r="X290">
        <v>1</v>
      </c>
      <c r="AB290">
        <f t="shared" si="39"/>
        <v>0</v>
      </c>
      <c r="AC290">
        <f t="shared" si="40"/>
        <v>0</v>
      </c>
      <c r="AD290">
        <f t="shared" si="41"/>
        <v>0</v>
      </c>
      <c r="AE290">
        <f t="shared" si="43"/>
        <v>0</v>
      </c>
      <c r="AG290">
        <f t="shared" si="44"/>
        <v>0</v>
      </c>
    </row>
    <row r="291" spans="1:33" x14ac:dyDescent="0.25">
      <c r="A291">
        <v>241</v>
      </c>
      <c r="B291">
        <f>IFERROR(VLOOKUP(A291,Capacity!$A$3:$D$532,4,), "0")</f>
        <v>15.079644480000002</v>
      </c>
      <c r="C291" s="4">
        <f>IFERROR(VLOOKUP(A291,Capacity!$A$3:$F$532,6,), "0")</f>
        <v>0.2</v>
      </c>
      <c r="E291" t="str">
        <f>IFERROR(VLOOKUP(D291,Capacity!$A$3:$D$532,4,), "0")</f>
        <v>0</v>
      </c>
      <c r="F291" s="4" t="str">
        <f>IFERROR(VLOOKUP(D291,Capacity!$A$3:$F$532,6,), "0")</f>
        <v>0</v>
      </c>
      <c r="H291" t="str">
        <f>IFERROR(VLOOKUP(G291,Capacity!$A$3:$D$532,4,), "0")</f>
        <v>0</v>
      </c>
      <c r="I291" s="4" t="str">
        <f>IFERROR(VLOOKUP(G291,Capacity!$A$3:$F$532,6,), "0")</f>
        <v>0</v>
      </c>
      <c r="K291" t="str">
        <f>IFERROR(VLOOKUP(J291,Capacity!$A$3:$D$532,4,), "0")</f>
        <v>0</v>
      </c>
      <c r="L291" s="4" t="str">
        <f>IFERROR(VLOOKUP(J291,Capacity!$A$3:$F$532,6,), "0")</f>
        <v>0</v>
      </c>
      <c r="M291" s="5">
        <f t="shared" si="36"/>
        <v>0</v>
      </c>
      <c r="N291" s="5">
        <f t="shared" si="37"/>
        <v>0</v>
      </c>
      <c r="O291">
        <v>7</v>
      </c>
      <c r="P291">
        <f>IFERROR(VLOOKUP(O291,Capacity!$A$3:$D$532,4,), "0")</f>
        <v>20.106192640000003</v>
      </c>
      <c r="Q291" s="4">
        <f>IFERROR(VLOOKUP(O291,Capacity!$A$3:$F$532,6,), "0")</f>
        <v>0.2</v>
      </c>
      <c r="R291" s="5">
        <f t="shared" si="38"/>
        <v>20.106192640000003</v>
      </c>
      <c r="S291" s="5">
        <f t="shared" si="42"/>
        <v>0.2</v>
      </c>
      <c r="U291">
        <v>241</v>
      </c>
      <c r="V291">
        <v>1</v>
      </c>
      <c r="W291">
        <v>1</v>
      </c>
      <c r="X291">
        <v>1</v>
      </c>
      <c r="AB291">
        <f t="shared" si="39"/>
        <v>0</v>
      </c>
      <c r="AC291">
        <f t="shared" si="40"/>
        <v>0</v>
      </c>
      <c r="AD291">
        <f t="shared" si="41"/>
        <v>0</v>
      </c>
      <c r="AE291">
        <f t="shared" si="43"/>
        <v>0</v>
      </c>
      <c r="AG291">
        <f t="shared" si="44"/>
        <v>0</v>
      </c>
    </row>
    <row r="292" spans="1:33" x14ac:dyDescent="0.25">
      <c r="A292">
        <v>8</v>
      </c>
      <c r="B292">
        <f>IFERROR(VLOOKUP(A292,Capacity!$A$3:$D$532,4,), "0")</f>
        <v>9.4247778000000029</v>
      </c>
      <c r="C292" s="4">
        <f>IFERROR(VLOOKUP(A292,Capacity!$A$3:$F$532,6,), "0")</f>
        <v>0.2</v>
      </c>
      <c r="D292">
        <v>240</v>
      </c>
      <c r="E292">
        <f>IFERROR(VLOOKUP(D292,Capacity!$A$3:$D$532,4,), "0")</f>
        <v>15.079644480000002</v>
      </c>
      <c r="F292" s="4">
        <f>IFERROR(VLOOKUP(D292,Capacity!$A$3:$F$532,6,), "0")</f>
        <v>0.2</v>
      </c>
      <c r="H292" t="str">
        <f>IFERROR(VLOOKUP(G292,Capacity!$A$3:$D$532,4,), "0")</f>
        <v>0</v>
      </c>
      <c r="I292" s="4" t="str">
        <f>IFERROR(VLOOKUP(G292,Capacity!$A$3:$F$532,6,), "0")</f>
        <v>0</v>
      </c>
      <c r="K292" t="str">
        <f>IFERROR(VLOOKUP(J292,Capacity!$A$3:$D$532,4,), "0")</f>
        <v>0</v>
      </c>
      <c r="L292" s="4" t="str">
        <f>IFERROR(VLOOKUP(J292,Capacity!$A$3:$F$532,6,), "0")</f>
        <v>0</v>
      </c>
      <c r="M292" s="5">
        <f t="shared" si="36"/>
        <v>15.079644480000002</v>
      </c>
      <c r="N292" s="5">
        <f t="shared" si="37"/>
        <v>0.2</v>
      </c>
      <c r="O292">
        <v>7</v>
      </c>
      <c r="P292">
        <f>IFERROR(VLOOKUP(O292,Capacity!$A$3:$D$532,4,), "0")</f>
        <v>20.106192640000003</v>
      </c>
      <c r="Q292" s="4">
        <f>IFERROR(VLOOKUP(O292,Capacity!$A$3:$F$532,6,), "0")</f>
        <v>0.2</v>
      </c>
      <c r="R292" s="5">
        <f t="shared" si="38"/>
        <v>20.106192640000003</v>
      </c>
      <c r="S292" s="5">
        <f t="shared" si="42"/>
        <v>0.2</v>
      </c>
      <c r="U292">
        <v>8</v>
      </c>
      <c r="V292">
        <v>1</v>
      </c>
      <c r="W292">
        <v>1</v>
      </c>
      <c r="X292">
        <v>1</v>
      </c>
      <c r="AB292">
        <f t="shared" si="39"/>
        <v>0.75</v>
      </c>
      <c r="AC292">
        <f t="shared" si="40"/>
        <v>1.5999999999999999</v>
      </c>
      <c r="AD292">
        <f t="shared" si="41"/>
        <v>1</v>
      </c>
      <c r="AE292">
        <f t="shared" si="43"/>
        <v>1</v>
      </c>
      <c r="AG292">
        <f t="shared" si="44"/>
        <v>0.51063829787234039</v>
      </c>
    </row>
    <row r="293" spans="1:33" x14ac:dyDescent="0.25">
      <c r="A293">
        <v>357</v>
      </c>
      <c r="B293">
        <f>IFERROR(VLOOKUP(A293,Capacity!$A$3:$D$532,4,), "0")</f>
        <v>7.6969018699999987</v>
      </c>
      <c r="C293" s="4">
        <f>IFERROR(VLOOKUP(A293,Capacity!$A$3:$F$532,6,), "0")</f>
        <v>0.17499999999999999</v>
      </c>
      <c r="E293" t="str">
        <f>IFERROR(VLOOKUP(D293,Capacity!$A$3:$D$532,4,), "0")</f>
        <v>0</v>
      </c>
      <c r="F293" s="4" t="str">
        <f>IFERROR(VLOOKUP(D293,Capacity!$A$3:$F$532,6,), "0")</f>
        <v>0</v>
      </c>
      <c r="H293" t="str">
        <f>IFERROR(VLOOKUP(G293,Capacity!$A$3:$D$532,4,), "0")</f>
        <v>0</v>
      </c>
      <c r="I293" s="4" t="str">
        <f>IFERROR(VLOOKUP(G293,Capacity!$A$3:$F$532,6,), "0")</f>
        <v>0</v>
      </c>
      <c r="K293" t="str">
        <f>IFERROR(VLOOKUP(J293,Capacity!$A$3:$D$532,4,), "0")</f>
        <v>0</v>
      </c>
      <c r="L293" s="4" t="str">
        <f>IFERROR(VLOOKUP(J293,Capacity!$A$3:$F$532,6,), "0")</f>
        <v>0</v>
      </c>
      <c r="M293" s="5">
        <f t="shared" si="36"/>
        <v>0</v>
      </c>
      <c r="N293" s="5">
        <f t="shared" si="37"/>
        <v>0</v>
      </c>
      <c r="O293">
        <v>15</v>
      </c>
      <c r="P293">
        <f>IFERROR(VLOOKUP(O293,Capacity!$A$3:$D$532,4,), "0")</f>
        <v>251.32740799999999</v>
      </c>
      <c r="Q293" s="4">
        <f>IFERROR(VLOOKUP(O293,Capacity!$A$3:$F$532,6,), "0")</f>
        <v>1</v>
      </c>
      <c r="R293" s="5">
        <f t="shared" si="38"/>
        <v>251.32740799999999</v>
      </c>
      <c r="S293" s="5">
        <f t="shared" si="42"/>
        <v>1</v>
      </c>
      <c r="U293">
        <v>357</v>
      </c>
      <c r="V293">
        <v>0</v>
      </c>
      <c r="W293">
        <v>0</v>
      </c>
      <c r="X293">
        <v>1</v>
      </c>
      <c r="AB293">
        <f t="shared" si="39"/>
        <v>0</v>
      </c>
      <c r="AC293">
        <f t="shared" si="40"/>
        <v>0</v>
      </c>
      <c r="AD293">
        <f t="shared" si="41"/>
        <v>0</v>
      </c>
      <c r="AE293">
        <f t="shared" si="43"/>
        <v>0</v>
      </c>
      <c r="AG293">
        <f t="shared" si="44"/>
        <v>0</v>
      </c>
    </row>
    <row r="294" spans="1:33" x14ac:dyDescent="0.25">
      <c r="A294">
        <v>9</v>
      </c>
      <c r="B294">
        <f>IFERROR(VLOOKUP(A294,Capacity!$A$3:$D$532,4,), "0")</f>
        <v>14.431691006249999</v>
      </c>
      <c r="C294" s="4">
        <f>IFERROR(VLOOKUP(A294,Capacity!$A$3:$F$532,6,), "0")</f>
        <v>0.17499999999999999</v>
      </c>
      <c r="D294">
        <v>353</v>
      </c>
      <c r="E294">
        <f>IFERROR(VLOOKUP(D294,Capacity!$A$3:$D$532,4,), "0")</f>
        <v>7.2158455031249993</v>
      </c>
      <c r="F294" s="4">
        <f>IFERROR(VLOOKUP(D294,Capacity!$A$3:$F$532,6,), "0")</f>
        <v>0.17499999999999999</v>
      </c>
      <c r="G294">
        <v>239</v>
      </c>
      <c r="H294">
        <f>IFERROR(VLOOKUP(G294,Capacity!$A$3:$D$532,4,), "0")</f>
        <v>11.545352804999998</v>
      </c>
      <c r="I294" s="4">
        <f>IFERROR(VLOOKUP(G294,Capacity!$A$3:$F$532,6,), "0")</f>
        <v>0.17499999999999999</v>
      </c>
      <c r="J294">
        <v>10</v>
      </c>
      <c r="K294">
        <f>IFERROR(VLOOKUP(J294,Capacity!$A$3:$D$532,4,), "0")</f>
        <v>7.2158455031249993</v>
      </c>
      <c r="L294" s="4">
        <f>IFERROR(VLOOKUP(J294,Capacity!$A$3:$F$532,6,), "0")</f>
        <v>0.17499999999999999</v>
      </c>
      <c r="M294" s="5">
        <f t="shared" si="36"/>
        <v>25.977043811249995</v>
      </c>
      <c r="N294" s="5">
        <f t="shared" si="37"/>
        <v>0.52499999999999991</v>
      </c>
      <c r="O294">
        <v>15</v>
      </c>
      <c r="P294">
        <f>IFERROR(VLOOKUP(O294,Capacity!$A$3:$D$532,4,), "0")</f>
        <v>251.32740799999999</v>
      </c>
      <c r="Q294" s="4">
        <f>IFERROR(VLOOKUP(O294,Capacity!$A$3:$F$532,6,), "0")</f>
        <v>1</v>
      </c>
      <c r="R294" s="5">
        <f t="shared" si="38"/>
        <v>251.32740799999999</v>
      </c>
      <c r="S294" s="5">
        <f t="shared" si="42"/>
        <v>1</v>
      </c>
      <c r="U294">
        <v>9</v>
      </c>
      <c r="V294">
        <v>4</v>
      </c>
      <c r="W294">
        <v>4</v>
      </c>
      <c r="X294">
        <v>1</v>
      </c>
      <c r="AB294">
        <f t="shared" si="39"/>
        <v>0.10335937499999999</v>
      </c>
      <c r="AC294">
        <f t="shared" si="40"/>
        <v>1.7999999999999998</v>
      </c>
      <c r="AD294">
        <f t="shared" si="41"/>
        <v>0.52499999999999991</v>
      </c>
      <c r="AE294">
        <f t="shared" si="43"/>
        <v>2.9999999999999996</v>
      </c>
      <c r="AG294">
        <f t="shared" si="44"/>
        <v>9.7746582933136303E-2</v>
      </c>
    </row>
    <row r="295" spans="1:33" x14ac:dyDescent="0.25">
      <c r="A295">
        <v>14</v>
      </c>
      <c r="B295">
        <f>IFERROR(VLOOKUP(A295,Capacity!$A$3:$D$532,4,), "0")</f>
        <v>25.014931077499998</v>
      </c>
      <c r="C295" s="4">
        <f>IFERROR(VLOOKUP(A295,Capacity!$A$3:$F$532,6,), "0")</f>
        <v>0.17499999999999999</v>
      </c>
      <c r="D295">
        <v>355</v>
      </c>
      <c r="E295">
        <f>IFERROR(VLOOKUP(D295,Capacity!$A$3:$D$532,4,), "0")</f>
        <v>9.621127337499999</v>
      </c>
      <c r="F295" s="4">
        <f>IFERROR(VLOOKUP(D295,Capacity!$A$3:$F$532,6,), "0")</f>
        <v>0.17499999999999999</v>
      </c>
      <c r="H295" t="str">
        <f>IFERROR(VLOOKUP(G295,Capacity!$A$3:$D$532,4,), "0")</f>
        <v>0</v>
      </c>
      <c r="I295" s="4" t="str">
        <f>IFERROR(VLOOKUP(G295,Capacity!$A$3:$F$532,6,), "0")</f>
        <v>0</v>
      </c>
      <c r="K295" t="str">
        <f>IFERROR(VLOOKUP(J295,Capacity!$A$3:$D$532,4,), "0")</f>
        <v>0</v>
      </c>
      <c r="L295" s="4" t="str">
        <f>IFERROR(VLOOKUP(J295,Capacity!$A$3:$F$532,6,), "0")</f>
        <v>0</v>
      </c>
      <c r="M295" s="5">
        <f t="shared" si="36"/>
        <v>9.621127337499999</v>
      </c>
      <c r="N295" s="5">
        <f t="shared" si="37"/>
        <v>0.17499999999999999</v>
      </c>
      <c r="O295">
        <v>58</v>
      </c>
      <c r="P295">
        <f>IFERROR(VLOOKUP(O295,Capacity!$A$3:$D$532,4,), "0")</f>
        <v>21.647536509374998</v>
      </c>
      <c r="Q295" s="4">
        <f>IFERROR(VLOOKUP(O295,Capacity!$A$3:$F$532,6,), "0")</f>
        <v>0.17499999999999999</v>
      </c>
      <c r="R295" s="5">
        <f t="shared" si="38"/>
        <v>21.647536509374998</v>
      </c>
      <c r="S295" s="5">
        <f t="shared" si="42"/>
        <v>0.17499999999999999</v>
      </c>
      <c r="U295">
        <v>14</v>
      </c>
      <c r="V295">
        <v>1</v>
      </c>
      <c r="W295">
        <v>1</v>
      </c>
      <c r="X295">
        <v>1</v>
      </c>
      <c r="AB295">
        <f t="shared" si="39"/>
        <v>0.44444444444444442</v>
      </c>
      <c r="AC295">
        <f t="shared" si="40"/>
        <v>0.38461538461538458</v>
      </c>
      <c r="AD295">
        <f t="shared" si="41"/>
        <v>1</v>
      </c>
      <c r="AE295">
        <f t="shared" si="43"/>
        <v>1</v>
      </c>
      <c r="AG295">
        <f t="shared" si="44"/>
        <v>0.20618556701030927</v>
      </c>
    </row>
    <row r="296" spans="1:33" x14ac:dyDescent="0.25">
      <c r="A296">
        <v>382</v>
      </c>
      <c r="B296">
        <f>IFERROR(VLOOKUP(A296,Capacity!$A$3:$D$532,4,), "0")</f>
        <v>7.6969018699999987</v>
      </c>
      <c r="C296" s="4">
        <f>IFERROR(VLOOKUP(A296,Capacity!$A$3:$F$532,6,), "0")</f>
        <v>0.17499999999999999</v>
      </c>
      <c r="E296" t="str">
        <f>IFERROR(VLOOKUP(D296,Capacity!$A$3:$D$532,4,), "0")</f>
        <v>0</v>
      </c>
      <c r="F296" s="4" t="str">
        <f>IFERROR(VLOOKUP(D296,Capacity!$A$3:$F$532,6,), "0")</f>
        <v>0</v>
      </c>
      <c r="H296" t="str">
        <f>IFERROR(VLOOKUP(G296,Capacity!$A$3:$D$532,4,), "0")</f>
        <v>0</v>
      </c>
      <c r="I296" s="4" t="str">
        <f>IFERROR(VLOOKUP(G296,Capacity!$A$3:$F$532,6,), "0")</f>
        <v>0</v>
      </c>
      <c r="K296" t="str">
        <f>IFERROR(VLOOKUP(J296,Capacity!$A$3:$D$532,4,), "0")</f>
        <v>0</v>
      </c>
      <c r="L296" s="4" t="str">
        <f>IFERROR(VLOOKUP(J296,Capacity!$A$3:$F$532,6,), "0")</f>
        <v>0</v>
      </c>
      <c r="M296" s="5">
        <f t="shared" si="36"/>
        <v>0</v>
      </c>
      <c r="N296" s="5">
        <f t="shared" si="37"/>
        <v>0</v>
      </c>
      <c r="O296">
        <v>59</v>
      </c>
      <c r="P296">
        <f>IFERROR(VLOOKUP(O296,Capacity!$A$3:$D$532,4,), "0")</f>
        <v>294.05306736</v>
      </c>
      <c r="Q296" s="4">
        <f>IFERROR(VLOOKUP(O296,Capacity!$A$3:$F$532,6,), "0")</f>
        <v>0.6</v>
      </c>
      <c r="R296" s="5">
        <f t="shared" si="38"/>
        <v>294.05306736</v>
      </c>
      <c r="S296" s="5">
        <f t="shared" si="42"/>
        <v>0.6</v>
      </c>
      <c r="U296">
        <v>382</v>
      </c>
      <c r="V296">
        <v>0</v>
      </c>
      <c r="W296">
        <v>0</v>
      </c>
      <c r="X296">
        <v>1</v>
      </c>
      <c r="AB296">
        <f t="shared" si="39"/>
        <v>0</v>
      </c>
      <c r="AC296">
        <f t="shared" si="40"/>
        <v>0</v>
      </c>
      <c r="AD296">
        <f t="shared" si="41"/>
        <v>0</v>
      </c>
      <c r="AE296">
        <f t="shared" si="43"/>
        <v>0</v>
      </c>
      <c r="AG296">
        <f t="shared" si="44"/>
        <v>0</v>
      </c>
    </row>
    <row r="297" spans="1:33" x14ac:dyDescent="0.25">
      <c r="A297">
        <v>381</v>
      </c>
      <c r="B297">
        <f>IFERROR(VLOOKUP(A297,Capacity!$A$3:$D$532,4,), "0")</f>
        <v>7.6969018699999987</v>
      </c>
      <c r="C297" s="4">
        <f>IFERROR(VLOOKUP(A297,Capacity!$A$3:$F$532,6,), "0")</f>
        <v>0.17499999999999999</v>
      </c>
      <c r="E297" t="str">
        <f>IFERROR(VLOOKUP(D297,Capacity!$A$3:$D$532,4,), "0")</f>
        <v>0</v>
      </c>
      <c r="F297" s="4" t="str">
        <f>IFERROR(VLOOKUP(D297,Capacity!$A$3:$F$532,6,), "0")</f>
        <v>0</v>
      </c>
      <c r="H297" t="str">
        <f>IFERROR(VLOOKUP(G297,Capacity!$A$3:$D$532,4,), "0")</f>
        <v>0</v>
      </c>
      <c r="I297" s="4" t="str">
        <f>IFERROR(VLOOKUP(G297,Capacity!$A$3:$F$532,6,), "0")</f>
        <v>0</v>
      </c>
      <c r="K297" t="str">
        <f>IFERROR(VLOOKUP(J297,Capacity!$A$3:$D$532,4,), "0")</f>
        <v>0</v>
      </c>
      <c r="L297" s="4" t="str">
        <f>IFERROR(VLOOKUP(J297,Capacity!$A$3:$F$532,6,), "0")</f>
        <v>0</v>
      </c>
      <c r="M297" s="5">
        <f t="shared" si="36"/>
        <v>0</v>
      </c>
      <c r="N297" s="5">
        <f t="shared" si="37"/>
        <v>0</v>
      </c>
      <c r="O297">
        <v>59</v>
      </c>
      <c r="P297">
        <f>IFERROR(VLOOKUP(O297,Capacity!$A$3:$D$532,4,), "0")</f>
        <v>294.05306736</v>
      </c>
      <c r="Q297" s="4">
        <f>IFERROR(VLOOKUP(O297,Capacity!$A$3:$F$532,6,), "0")</f>
        <v>0.6</v>
      </c>
      <c r="R297" s="5">
        <f t="shared" si="38"/>
        <v>294.05306736</v>
      </c>
      <c r="S297" s="5">
        <f t="shared" si="42"/>
        <v>0.6</v>
      </c>
      <c r="U297">
        <v>381</v>
      </c>
      <c r="V297">
        <v>0</v>
      </c>
      <c r="W297">
        <v>0</v>
      </c>
      <c r="X297">
        <v>1</v>
      </c>
      <c r="AB297">
        <f t="shared" si="39"/>
        <v>0</v>
      </c>
      <c r="AC297">
        <f t="shared" si="40"/>
        <v>0</v>
      </c>
      <c r="AD297">
        <f t="shared" si="41"/>
        <v>0</v>
      </c>
      <c r="AE297">
        <f t="shared" si="43"/>
        <v>0</v>
      </c>
      <c r="AG297">
        <f t="shared" si="44"/>
        <v>0</v>
      </c>
    </row>
    <row r="298" spans="1:33" x14ac:dyDescent="0.25">
      <c r="A298">
        <v>12</v>
      </c>
      <c r="B298">
        <f>IFERROR(VLOOKUP(A298,Capacity!$A$3:$D$532,4,), "0")</f>
        <v>32.672563040000007</v>
      </c>
      <c r="C298" s="4">
        <f>IFERROR(VLOOKUP(A298,Capacity!$A$3:$F$532,6,), "0")</f>
        <v>0.2</v>
      </c>
      <c r="D298">
        <v>11</v>
      </c>
      <c r="E298">
        <f>IFERROR(VLOOKUP(D298,Capacity!$A$3:$D$532,4,), "0")</f>
        <v>12.507465538749999</v>
      </c>
      <c r="F298" s="4">
        <f>IFERROR(VLOOKUP(D298,Capacity!$A$3:$F$532,6,), "0")</f>
        <v>0.17499999999999999</v>
      </c>
      <c r="H298" t="str">
        <f>IFERROR(VLOOKUP(G298,Capacity!$A$3:$D$532,4,), "0")</f>
        <v>0</v>
      </c>
      <c r="I298" s="4" t="str">
        <f>IFERROR(VLOOKUP(G298,Capacity!$A$3:$F$532,6,), "0")</f>
        <v>0</v>
      </c>
      <c r="K298" t="str">
        <f>IFERROR(VLOOKUP(J298,Capacity!$A$3:$D$532,4,), "0")</f>
        <v>0</v>
      </c>
      <c r="L298" s="4" t="str">
        <f>IFERROR(VLOOKUP(J298,Capacity!$A$3:$F$532,6,), "0")</f>
        <v>0</v>
      </c>
      <c r="M298" s="5">
        <f t="shared" si="36"/>
        <v>12.507465538749999</v>
      </c>
      <c r="N298" s="5">
        <f t="shared" si="37"/>
        <v>0.17499999999999999</v>
      </c>
      <c r="O298">
        <v>59</v>
      </c>
      <c r="P298">
        <f>IFERROR(VLOOKUP(O298,Capacity!$A$3:$D$532,4,), "0")</f>
        <v>294.05306736</v>
      </c>
      <c r="Q298" s="4">
        <f>IFERROR(VLOOKUP(O298,Capacity!$A$3:$F$532,6,), "0")</f>
        <v>0.6</v>
      </c>
      <c r="R298" s="5">
        <f t="shared" si="38"/>
        <v>294.05306736</v>
      </c>
      <c r="S298" s="5">
        <f t="shared" si="42"/>
        <v>0.6</v>
      </c>
      <c r="U298">
        <v>12</v>
      </c>
      <c r="V298">
        <v>2</v>
      </c>
      <c r="W298">
        <v>2</v>
      </c>
      <c r="X298">
        <v>1</v>
      </c>
      <c r="AB298">
        <f t="shared" si="39"/>
        <v>4.2534722222222217E-2</v>
      </c>
      <c r="AC298">
        <f t="shared" si="40"/>
        <v>0.38281249999999989</v>
      </c>
      <c r="AD298">
        <f t="shared" si="41"/>
        <v>0.29166666666666669</v>
      </c>
      <c r="AE298">
        <f t="shared" si="43"/>
        <v>0.87499999999999989</v>
      </c>
      <c r="AG298">
        <f t="shared" si="44"/>
        <v>3.8281249999999996E-2</v>
      </c>
    </row>
    <row r="299" spans="1:33" x14ac:dyDescent="0.25">
      <c r="A299">
        <v>433</v>
      </c>
      <c r="B299">
        <f>IFERROR(VLOOKUP(A299,Capacity!$A$3:$D$532,4,), "0")</f>
        <v>56.799994208000008</v>
      </c>
      <c r="C299" s="4">
        <f>IFERROR(VLOOKUP(A299,Capacity!$A$3:$F$532,6,), "0")</f>
        <v>0.4</v>
      </c>
      <c r="E299" t="str">
        <f>IFERROR(VLOOKUP(D299,Capacity!$A$3:$D$532,4,), "0")</f>
        <v>0</v>
      </c>
      <c r="F299" s="4" t="str">
        <f>IFERROR(VLOOKUP(D299,Capacity!$A$3:$F$532,6,), "0")</f>
        <v>0</v>
      </c>
      <c r="H299" t="str">
        <f>IFERROR(VLOOKUP(G299,Capacity!$A$3:$D$532,4,), "0")</f>
        <v>0</v>
      </c>
      <c r="I299" s="4" t="str">
        <f>IFERROR(VLOOKUP(G299,Capacity!$A$3:$F$532,6,), "0")</f>
        <v>0</v>
      </c>
      <c r="K299" t="str">
        <f>IFERROR(VLOOKUP(J299,Capacity!$A$3:$D$532,4,), "0")</f>
        <v>0</v>
      </c>
      <c r="L299" s="4" t="str">
        <f>IFERROR(VLOOKUP(J299,Capacity!$A$3:$F$532,6,), "0")</f>
        <v>0</v>
      </c>
      <c r="M299" s="5">
        <f t="shared" si="36"/>
        <v>0</v>
      </c>
      <c r="N299" s="5">
        <f t="shared" si="37"/>
        <v>0</v>
      </c>
      <c r="O299">
        <v>100</v>
      </c>
      <c r="P299">
        <f>IFERROR(VLOOKUP(O299,Capacity!$A$3:$D$532,4,), "0")</f>
        <v>36.75663342</v>
      </c>
      <c r="Q299" s="4">
        <f>IFERROR(VLOOKUP(O299,Capacity!$A$3:$F$532,6,), "0")</f>
        <v>0.3</v>
      </c>
      <c r="R299" s="5">
        <f t="shared" si="38"/>
        <v>36.75663342</v>
      </c>
      <c r="S299" s="5">
        <f t="shared" si="42"/>
        <v>0.3</v>
      </c>
      <c r="U299">
        <v>433</v>
      </c>
      <c r="V299">
        <v>0</v>
      </c>
      <c r="W299">
        <v>0</v>
      </c>
      <c r="X299">
        <v>1</v>
      </c>
      <c r="AB299">
        <f t="shared" si="39"/>
        <v>0</v>
      </c>
      <c r="AC299">
        <f t="shared" si="40"/>
        <v>0</v>
      </c>
      <c r="AD299">
        <f t="shared" si="41"/>
        <v>0</v>
      </c>
      <c r="AE299">
        <f t="shared" si="43"/>
        <v>0</v>
      </c>
      <c r="AG299">
        <f t="shared" si="44"/>
        <v>0</v>
      </c>
    </row>
    <row r="300" spans="1:33" x14ac:dyDescent="0.25">
      <c r="A300">
        <v>102</v>
      </c>
      <c r="B300">
        <f>IFERROR(VLOOKUP(A300,Capacity!$A$3:$D$532,4,), "0")</f>
        <v>50.265481600000015</v>
      </c>
      <c r="C300" s="4">
        <f>IFERROR(VLOOKUP(A300,Capacity!$A$3:$F$532,6,), "0")</f>
        <v>0.4</v>
      </c>
      <c r="D300">
        <v>103</v>
      </c>
      <c r="E300">
        <f>IFERROR(VLOOKUP(D300,Capacity!$A$3:$D$532,4,), "0")</f>
        <v>10.102183704374999</v>
      </c>
      <c r="F300" s="4">
        <f>IFERROR(VLOOKUP(D300,Capacity!$A$3:$F$532,6,), "0")</f>
        <v>0.17499999999999999</v>
      </c>
      <c r="H300" t="str">
        <f>IFERROR(VLOOKUP(G300,Capacity!$A$3:$D$532,4,), "0")</f>
        <v>0</v>
      </c>
      <c r="I300" s="4" t="str">
        <f>IFERROR(VLOOKUP(G300,Capacity!$A$3:$F$532,6,), "0")</f>
        <v>0</v>
      </c>
      <c r="K300" t="str">
        <f>IFERROR(VLOOKUP(J300,Capacity!$A$3:$D$532,4,), "0")</f>
        <v>0</v>
      </c>
      <c r="L300" s="4" t="str">
        <f>IFERROR(VLOOKUP(J300,Capacity!$A$3:$F$532,6,), "0")</f>
        <v>0</v>
      </c>
      <c r="M300" s="5">
        <f t="shared" si="36"/>
        <v>10.102183704374999</v>
      </c>
      <c r="N300" s="5">
        <f t="shared" si="37"/>
        <v>0.17499999999999999</v>
      </c>
      <c r="O300">
        <v>100</v>
      </c>
      <c r="P300">
        <f>IFERROR(VLOOKUP(O300,Capacity!$A$3:$D$532,4,), "0")</f>
        <v>36.75663342</v>
      </c>
      <c r="Q300" s="4">
        <f>IFERROR(VLOOKUP(O300,Capacity!$A$3:$F$532,6,), "0")</f>
        <v>0.3</v>
      </c>
      <c r="R300" s="5">
        <f t="shared" si="38"/>
        <v>36.75663342</v>
      </c>
      <c r="S300" s="5">
        <f t="shared" si="42"/>
        <v>0.3</v>
      </c>
      <c r="U300">
        <v>102</v>
      </c>
      <c r="V300">
        <v>2</v>
      </c>
      <c r="W300">
        <v>2</v>
      </c>
      <c r="X300">
        <v>1</v>
      </c>
      <c r="AB300">
        <f t="shared" si="39"/>
        <v>0.27483974358974356</v>
      </c>
      <c r="AC300">
        <f t="shared" si="40"/>
        <v>0.20097656249999993</v>
      </c>
      <c r="AD300">
        <f t="shared" si="41"/>
        <v>0.58333333333333337</v>
      </c>
      <c r="AE300">
        <f t="shared" si="43"/>
        <v>0.43749999999999994</v>
      </c>
      <c r="AG300">
        <f t="shared" si="44"/>
        <v>0.11608754512635376</v>
      </c>
    </row>
    <row r="301" spans="1:33" x14ac:dyDescent="0.25">
      <c r="A301">
        <v>60</v>
      </c>
      <c r="B301">
        <f>IFERROR(VLOOKUP(A301,Capacity!$A$3:$D$532,4,), "0")</f>
        <v>90.477866880000022</v>
      </c>
      <c r="C301" s="4">
        <f>IFERROR(VLOOKUP(A301,Capacity!$A$3:$F$532,6,), "0")</f>
        <v>0.4</v>
      </c>
      <c r="D301">
        <v>69</v>
      </c>
      <c r="E301">
        <f>IFERROR(VLOOKUP(D301,Capacity!$A$3:$D$532,4,), "0")</f>
        <v>59.566951890450007</v>
      </c>
      <c r="F301" s="4">
        <f>IFERROR(VLOOKUP(D301,Capacity!$A$3:$F$532,6,), "0")</f>
        <v>0.26500000000000001</v>
      </c>
      <c r="H301" t="str">
        <f>IFERROR(VLOOKUP(G301,Capacity!$A$3:$D$532,4,), "0")</f>
        <v>0</v>
      </c>
      <c r="I301" s="4" t="str">
        <f>IFERROR(VLOOKUP(G301,Capacity!$A$3:$F$532,6,), "0")</f>
        <v>0</v>
      </c>
      <c r="K301" t="str">
        <f>IFERROR(VLOOKUP(J301,Capacity!$A$3:$D$532,4,), "0")</f>
        <v>0</v>
      </c>
      <c r="L301" s="4" t="str">
        <f>IFERROR(VLOOKUP(J301,Capacity!$A$3:$F$532,6,), "0")</f>
        <v>0</v>
      </c>
      <c r="M301" s="5">
        <f t="shared" si="36"/>
        <v>59.566951890450007</v>
      </c>
      <c r="N301" s="5">
        <f t="shared" si="37"/>
        <v>0.26500000000000001</v>
      </c>
      <c r="O301">
        <v>100</v>
      </c>
      <c r="P301">
        <f>IFERROR(VLOOKUP(O301,Capacity!$A$3:$D$532,4,), "0")</f>
        <v>36.75663342</v>
      </c>
      <c r="Q301" s="4">
        <f>IFERROR(VLOOKUP(O301,Capacity!$A$3:$F$532,6,), "0")</f>
        <v>0.3</v>
      </c>
      <c r="R301" s="5">
        <f t="shared" si="38"/>
        <v>36.75663342</v>
      </c>
      <c r="S301" s="5">
        <f t="shared" si="42"/>
        <v>0.3</v>
      </c>
      <c r="U301">
        <v>60</v>
      </c>
      <c r="V301">
        <v>2</v>
      </c>
      <c r="W301">
        <v>2</v>
      </c>
      <c r="X301">
        <v>1</v>
      </c>
      <c r="AB301">
        <f t="shared" si="39"/>
        <v>1.6205769230769234</v>
      </c>
      <c r="AC301">
        <f t="shared" si="40"/>
        <v>0.65835937499999997</v>
      </c>
      <c r="AD301">
        <f t="shared" si="41"/>
        <v>0.88333333333333341</v>
      </c>
      <c r="AE301">
        <f t="shared" si="43"/>
        <v>0.66249999999999998</v>
      </c>
      <c r="AG301">
        <f t="shared" si="44"/>
        <v>0.46816666666666662</v>
      </c>
    </row>
    <row r="302" spans="1:33" x14ac:dyDescent="0.25">
      <c r="A302">
        <v>525</v>
      </c>
      <c r="B302">
        <f>IFERROR(VLOOKUP(A302,Capacity!$A$3:$D$532,4,), "0")</f>
        <v>12.026409171874999</v>
      </c>
      <c r="C302" s="4">
        <f>IFERROR(VLOOKUP(A302,Capacity!$A$3:$F$532,6,), "0")</f>
        <v>0.17499999999999999</v>
      </c>
      <c r="E302" t="str">
        <f>IFERROR(VLOOKUP(D302,Capacity!$A$3:$D$532,4,), "0")</f>
        <v>0</v>
      </c>
      <c r="F302" s="4" t="str">
        <f>IFERROR(VLOOKUP(D302,Capacity!$A$3:$F$532,6,), "0")</f>
        <v>0</v>
      </c>
      <c r="H302" t="str">
        <f>IFERROR(VLOOKUP(G302,Capacity!$A$3:$D$532,4,), "0")</f>
        <v>0</v>
      </c>
      <c r="I302" s="4" t="str">
        <f>IFERROR(VLOOKUP(G302,Capacity!$A$3:$F$532,6,), "0")</f>
        <v>0</v>
      </c>
      <c r="K302" t="str">
        <f>IFERROR(VLOOKUP(J302,Capacity!$A$3:$D$532,4,), "0")</f>
        <v>0</v>
      </c>
      <c r="L302" s="4" t="str">
        <f>IFERROR(VLOOKUP(J302,Capacity!$A$3:$F$532,6,), "0")</f>
        <v>0</v>
      </c>
      <c r="M302" s="5">
        <f t="shared" si="36"/>
        <v>0</v>
      </c>
      <c r="N302" s="5">
        <f t="shared" si="37"/>
        <v>0</v>
      </c>
      <c r="O302">
        <v>321</v>
      </c>
      <c r="P302">
        <f>IFERROR(VLOOKUP(O302,Capacity!$A$3:$D$532,4,), "0")</f>
        <v>80.424770560000013</v>
      </c>
      <c r="Q302" s="4">
        <f>IFERROR(VLOOKUP(O302,Capacity!$A$3:$F$532,6,), "0")</f>
        <v>0.4</v>
      </c>
      <c r="R302" s="5">
        <f t="shared" si="38"/>
        <v>80.424770560000013</v>
      </c>
      <c r="S302" s="5">
        <f t="shared" si="42"/>
        <v>0.4</v>
      </c>
      <c r="U302">
        <v>525</v>
      </c>
      <c r="V302">
        <v>0</v>
      </c>
      <c r="W302">
        <v>0</v>
      </c>
      <c r="X302">
        <v>1</v>
      </c>
      <c r="AB302">
        <f t="shared" si="39"/>
        <v>0</v>
      </c>
      <c r="AC302">
        <f t="shared" si="40"/>
        <v>0</v>
      </c>
      <c r="AD302">
        <f t="shared" si="41"/>
        <v>0</v>
      </c>
      <c r="AE302">
        <f t="shared" si="43"/>
        <v>0</v>
      </c>
      <c r="AG302">
        <f t="shared" si="44"/>
        <v>0</v>
      </c>
    </row>
    <row r="303" spans="1:33" x14ac:dyDescent="0.25">
      <c r="A303">
        <v>504</v>
      </c>
      <c r="B303">
        <f>IFERROR(VLOOKUP(A303,Capacity!$A$3:$D$532,4,), "0")</f>
        <v>14.431691006249999</v>
      </c>
      <c r="C303" s="4">
        <f>IFERROR(VLOOKUP(A303,Capacity!$A$3:$F$532,6,), "0")</f>
        <v>0.17499999999999999</v>
      </c>
      <c r="E303" t="str">
        <f>IFERROR(VLOOKUP(D303,Capacity!$A$3:$D$532,4,), "0")</f>
        <v>0</v>
      </c>
      <c r="F303" s="4" t="str">
        <f>IFERROR(VLOOKUP(D303,Capacity!$A$3:$F$532,6,), "0")</f>
        <v>0</v>
      </c>
      <c r="H303" t="str">
        <f>IFERROR(VLOOKUP(G303,Capacity!$A$3:$D$532,4,), "0")</f>
        <v>0</v>
      </c>
      <c r="I303" s="4" t="str">
        <f>IFERROR(VLOOKUP(G303,Capacity!$A$3:$F$532,6,), "0")</f>
        <v>0</v>
      </c>
      <c r="K303" t="str">
        <f>IFERROR(VLOOKUP(J303,Capacity!$A$3:$D$532,4,), "0")</f>
        <v>0</v>
      </c>
      <c r="L303" s="4" t="str">
        <f>IFERROR(VLOOKUP(J303,Capacity!$A$3:$F$532,6,), "0")</f>
        <v>0</v>
      </c>
      <c r="M303" s="5">
        <f t="shared" si="36"/>
        <v>0</v>
      </c>
      <c r="N303" s="5">
        <f t="shared" si="37"/>
        <v>0</v>
      </c>
      <c r="O303">
        <v>321</v>
      </c>
      <c r="P303">
        <f>IFERROR(VLOOKUP(O303,Capacity!$A$3:$D$532,4,), "0")</f>
        <v>80.424770560000013</v>
      </c>
      <c r="Q303" s="4">
        <f>IFERROR(VLOOKUP(O303,Capacity!$A$3:$F$532,6,), "0")</f>
        <v>0.4</v>
      </c>
      <c r="R303" s="5">
        <f t="shared" si="38"/>
        <v>80.424770560000013</v>
      </c>
      <c r="S303" s="5">
        <f t="shared" si="42"/>
        <v>0.4</v>
      </c>
      <c r="U303">
        <v>504</v>
      </c>
      <c r="V303">
        <v>0</v>
      </c>
      <c r="W303">
        <v>0</v>
      </c>
      <c r="X303">
        <v>1</v>
      </c>
      <c r="AB303">
        <f t="shared" si="39"/>
        <v>0</v>
      </c>
      <c r="AC303">
        <f t="shared" si="40"/>
        <v>0</v>
      </c>
      <c r="AD303">
        <f t="shared" si="41"/>
        <v>0</v>
      </c>
      <c r="AE303">
        <f t="shared" si="43"/>
        <v>0</v>
      </c>
      <c r="AG303">
        <f t="shared" si="44"/>
        <v>0</v>
      </c>
    </row>
    <row r="304" spans="1:33" x14ac:dyDescent="0.25">
      <c r="A304">
        <v>322</v>
      </c>
      <c r="B304">
        <f>IFERROR(VLOOKUP(A304,Capacity!$A$3:$D$532,4,), "0")</f>
        <v>75.398222400000023</v>
      </c>
      <c r="C304" s="4">
        <f>IFERROR(VLOOKUP(A304,Capacity!$A$3:$F$532,6,), "0")</f>
        <v>0.4</v>
      </c>
      <c r="D304">
        <v>522</v>
      </c>
      <c r="E304">
        <f>IFERROR(VLOOKUP(D304,Capacity!$A$3:$D$532,4,), "0")</f>
        <v>13.950634639374998</v>
      </c>
      <c r="F304" s="4">
        <f>IFERROR(VLOOKUP(D304,Capacity!$A$3:$F$532,6,), "0")</f>
        <v>0.17499999999999999</v>
      </c>
      <c r="G304">
        <v>323</v>
      </c>
      <c r="H304">
        <f>IFERROR(VLOOKUP(G304,Capacity!$A$3:$D$532,4,), "0")</f>
        <v>40.212385280000007</v>
      </c>
      <c r="I304" s="4">
        <f>IFERROR(VLOOKUP(G304,Capacity!$A$3:$F$532,6,), "0")</f>
        <v>0.4</v>
      </c>
      <c r="K304" t="str">
        <f>IFERROR(VLOOKUP(J304,Capacity!$A$3:$D$532,4,), "0")</f>
        <v>0</v>
      </c>
      <c r="L304" s="4" t="str">
        <f>IFERROR(VLOOKUP(J304,Capacity!$A$3:$F$532,6,), "0")</f>
        <v>0</v>
      </c>
      <c r="M304" s="5">
        <f t="shared" si="36"/>
        <v>54.163019919375003</v>
      </c>
      <c r="N304" s="5">
        <f t="shared" si="37"/>
        <v>0.57499999999999996</v>
      </c>
      <c r="O304">
        <v>321</v>
      </c>
      <c r="P304">
        <f>IFERROR(VLOOKUP(O304,Capacity!$A$3:$D$532,4,), "0")</f>
        <v>80.424770560000013</v>
      </c>
      <c r="Q304" s="4">
        <f>IFERROR(VLOOKUP(O304,Capacity!$A$3:$F$532,6,), "0")</f>
        <v>0.4</v>
      </c>
      <c r="R304" s="5">
        <f t="shared" si="38"/>
        <v>80.424770560000013</v>
      </c>
      <c r="S304" s="5">
        <f t="shared" si="42"/>
        <v>0.4</v>
      </c>
      <c r="U304">
        <v>322</v>
      </c>
      <c r="V304">
        <v>3</v>
      </c>
      <c r="W304">
        <v>3</v>
      </c>
      <c r="X304">
        <v>1</v>
      </c>
      <c r="AB304">
        <f t="shared" si="39"/>
        <v>0.67346191406249989</v>
      </c>
      <c r="AC304">
        <f t="shared" si="40"/>
        <v>0.7183593749999998</v>
      </c>
      <c r="AD304">
        <f t="shared" si="41"/>
        <v>1.4374999999999998</v>
      </c>
      <c r="AE304">
        <f t="shared" si="43"/>
        <v>1.4374999999999998</v>
      </c>
      <c r="AG304">
        <f t="shared" si="44"/>
        <v>0.34759324596774188</v>
      </c>
    </row>
    <row r="305" spans="1:33" x14ac:dyDescent="0.25">
      <c r="A305">
        <v>340</v>
      </c>
      <c r="B305">
        <f>IFERROR(VLOOKUP(A305,Capacity!$A$3:$D$532,4,), "0")</f>
        <v>5.0265481600000008</v>
      </c>
      <c r="C305" s="4">
        <f>IFERROR(VLOOKUP(A305,Capacity!$A$3:$F$532,6,), "0")</f>
        <v>0.2</v>
      </c>
      <c r="D305">
        <v>338</v>
      </c>
      <c r="E305">
        <f>IFERROR(VLOOKUP(D305,Capacity!$A$3:$D$532,4,), "0")</f>
        <v>5.0265481600000008</v>
      </c>
      <c r="F305" s="4">
        <f>IFERROR(VLOOKUP(D305,Capacity!$A$3:$F$532,6,), "0")</f>
        <v>0.2</v>
      </c>
      <c r="H305" t="str">
        <f>IFERROR(VLOOKUP(G305,Capacity!$A$3:$D$532,4,), "0")</f>
        <v>0</v>
      </c>
      <c r="I305" s="4" t="str">
        <f>IFERROR(VLOOKUP(G305,Capacity!$A$3:$F$532,6,), "0")</f>
        <v>0</v>
      </c>
      <c r="K305" t="str">
        <f>IFERROR(VLOOKUP(J305,Capacity!$A$3:$D$532,4,), "0")</f>
        <v>0</v>
      </c>
      <c r="L305" s="4" t="str">
        <f>IFERROR(VLOOKUP(J305,Capacity!$A$3:$F$532,6,), "0")</f>
        <v>0</v>
      </c>
      <c r="M305" s="5">
        <f t="shared" si="36"/>
        <v>5.0265481600000008</v>
      </c>
      <c r="N305" s="5">
        <f t="shared" si="37"/>
        <v>0.2</v>
      </c>
      <c r="O305">
        <v>341</v>
      </c>
      <c r="P305">
        <f>IFERROR(VLOOKUP(O305,Capacity!$A$3:$D$532,4,), "0")</f>
        <v>17.649467226800002</v>
      </c>
      <c r="Q305" s="4">
        <f>IFERROR(VLOOKUP(O305,Capacity!$A$3:$F$532,6,), "0")</f>
        <v>0.26500000000000001</v>
      </c>
      <c r="R305" s="5">
        <f t="shared" si="38"/>
        <v>17.649467226800002</v>
      </c>
      <c r="S305" s="5">
        <f t="shared" si="42"/>
        <v>0.26500000000000001</v>
      </c>
      <c r="U305">
        <v>340</v>
      </c>
      <c r="V305">
        <v>2</v>
      </c>
      <c r="W305">
        <v>2</v>
      </c>
      <c r="X305">
        <v>1</v>
      </c>
      <c r="AB305">
        <f t="shared" si="39"/>
        <v>0.2847988608045568</v>
      </c>
      <c r="AC305">
        <f t="shared" si="40"/>
        <v>1</v>
      </c>
      <c r="AD305">
        <f t="shared" si="41"/>
        <v>0.75471698113207553</v>
      </c>
      <c r="AE305">
        <f t="shared" si="43"/>
        <v>1</v>
      </c>
      <c r="AG305">
        <f t="shared" si="44"/>
        <v>0.22166805209199225</v>
      </c>
    </row>
    <row r="306" spans="1:33" x14ac:dyDescent="0.25">
      <c r="A306">
        <v>315</v>
      </c>
      <c r="B306">
        <f>IFERROR(VLOOKUP(A306,Capacity!$A$3:$D$532,4,), "0")</f>
        <v>132.53593781250001</v>
      </c>
      <c r="C306" s="4">
        <f>IFERROR(VLOOKUP(A306,Capacity!$A$3:$F$532,6,), "0")</f>
        <v>0.75</v>
      </c>
      <c r="D306">
        <v>314</v>
      </c>
      <c r="E306">
        <f>IFERROR(VLOOKUP(D306,Capacity!$A$3:$D$532,4,), "0")</f>
        <v>132.53593781250001</v>
      </c>
      <c r="F306" s="4">
        <f>IFERROR(VLOOKUP(D306,Capacity!$A$3:$F$532,6,), "0")</f>
        <v>0.75</v>
      </c>
      <c r="G306">
        <v>256</v>
      </c>
      <c r="H306">
        <f>IFERROR(VLOOKUP(G306,Capacity!$A$3:$D$532,4,), "0")</f>
        <v>11.545352804999998</v>
      </c>
      <c r="I306" s="4">
        <f>IFERROR(VLOOKUP(G306,Capacity!$A$3:$F$532,6,), "0")</f>
        <v>0.17499999999999999</v>
      </c>
      <c r="K306" t="str">
        <f>IFERROR(VLOOKUP(J306,Capacity!$A$3:$D$532,4,), "0")</f>
        <v>0</v>
      </c>
      <c r="L306" s="4" t="str">
        <f>IFERROR(VLOOKUP(J306,Capacity!$A$3:$F$532,6,), "0")</f>
        <v>0</v>
      </c>
      <c r="M306" s="5">
        <f t="shared" si="36"/>
        <v>144.0812906175</v>
      </c>
      <c r="N306" s="5">
        <f t="shared" si="37"/>
        <v>0.92500000000000004</v>
      </c>
      <c r="O306">
        <v>316</v>
      </c>
      <c r="P306">
        <f>IFERROR(VLOOKUP(O306,Capacity!$A$3:$D$532,4,), "0")</f>
        <v>132.53593781250001</v>
      </c>
      <c r="Q306" s="4">
        <f>IFERROR(VLOOKUP(O306,Capacity!$A$3:$F$532,6,), "0")</f>
        <v>0.75</v>
      </c>
      <c r="R306" s="5">
        <f t="shared" si="38"/>
        <v>132.53593781250001</v>
      </c>
      <c r="S306" s="5">
        <f t="shared" si="42"/>
        <v>0.75</v>
      </c>
      <c r="U306">
        <v>315</v>
      </c>
      <c r="V306">
        <v>3</v>
      </c>
      <c r="W306">
        <v>3</v>
      </c>
      <c r="X306">
        <v>1</v>
      </c>
      <c r="AB306">
        <f t="shared" si="39"/>
        <v>1.0871111111111111</v>
      </c>
      <c r="AC306">
        <f t="shared" si="40"/>
        <v>1.0871111111111111</v>
      </c>
      <c r="AD306">
        <f t="shared" si="41"/>
        <v>1.2333333333333334</v>
      </c>
      <c r="AE306">
        <f t="shared" si="43"/>
        <v>1.2333333333333334</v>
      </c>
      <c r="AG306">
        <f t="shared" si="44"/>
        <v>0.54355555555555557</v>
      </c>
    </row>
    <row r="307" spans="1:33" x14ac:dyDescent="0.25">
      <c r="A307">
        <v>255</v>
      </c>
      <c r="B307">
        <f>IFERROR(VLOOKUP(A307,Capacity!$A$3:$D$532,4,), "0")</f>
        <v>26.474200840200002</v>
      </c>
      <c r="C307" s="4">
        <f>IFERROR(VLOOKUP(A307,Capacity!$A$3:$F$532,6,), "0")</f>
        <v>0.26500000000000001</v>
      </c>
      <c r="E307" t="str">
        <f>IFERROR(VLOOKUP(D307,Capacity!$A$3:$D$532,4,), "0")</f>
        <v>0</v>
      </c>
      <c r="F307" s="4" t="str">
        <f>IFERROR(VLOOKUP(D307,Capacity!$A$3:$F$532,6,), "0")</f>
        <v>0</v>
      </c>
      <c r="H307" t="str">
        <f>IFERROR(VLOOKUP(G307,Capacity!$A$3:$D$532,4,), "0")</f>
        <v>0</v>
      </c>
      <c r="I307" s="4" t="str">
        <f>IFERROR(VLOOKUP(G307,Capacity!$A$3:$F$532,6,), "0")</f>
        <v>0</v>
      </c>
      <c r="K307" t="str">
        <f>IFERROR(VLOOKUP(J307,Capacity!$A$3:$D$532,4,), "0")</f>
        <v>0</v>
      </c>
      <c r="L307" s="4" t="str">
        <f>IFERROR(VLOOKUP(J307,Capacity!$A$3:$F$532,6,), "0")</f>
        <v>0</v>
      </c>
      <c r="M307" s="5">
        <f t="shared" si="36"/>
        <v>0</v>
      </c>
      <c r="N307" s="5">
        <f t="shared" si="37"/>
        <v>0</v>
      </c>
      <c r="O307">
        <v>316</v>
      </c>
      <c r="P307">
        <f>IFERROR(VLOOKUP(O307,Capacity!$A$3:$D$532,4,), "0")</f>
        <v>132.53593781250001</v>
      </c>
      <c r="Q307" s="4">
        <f>IFERROR(VLOOKUP(O307,Capacity!$A$3:$F$532,6,), "0")</f>
        <v>0.75</v>
      </c>
      <c r="R307" s="5">
        <f t="shared" si="38"/>
        <v>132.53593781250001</v>
      </c>
      <c r="S307" s="5">
        <f t="shared" si="42"/>
        <v>0.75</v>
      </c>
      <c r="U307">
        <v>255</v>
      </c>
      <c r="V307">
        <v>1</v>
      </c>
      <c r="W307">
        <v>1</v>
      </c>
      <c r="X307">
        <v>1</v>
      </c>
      <c r="AB307">
        <f t="shared" si="39"/>
        <v>0</v>
      </c>
      <c r="AC307">
        <f t="shared" si="40"/>
        <v>0</v>
      </c>
      <c r="AD307">
        <f t="shared" si="41"/>
        <v>0</v>
      </c>
      <c r="AE307">
        <f t="shared" si="43"/>
        <v>0</v>
      </c>
      <c r="AG307">
        <f t="shared" si="44"/>
        <v>0</v>
      </c>
    </row>
    <row r="308" spans="1:33" x14ac:dyDescent="0.25">
      <c r="A308">
        <v>403</v>
      </c>
      <c r="B308">
        <f>IFERROR(VLOOKUP(A308,Capacity!$A$3:$D$532,4,), "0")</f>
        <v>21.647536509374998</v>
      </c>
      <c r="C308" s="4">
        <f>IFERROR(VLOOKUP(A308,Capacity!$A$3:$F$532,6,), "0")</f>
        <v>0.17499999999999999</v>
      </c>
      <c r="E308" t="str">
        <f>IFERROR(VLOOKUP(D308,Capacity!$A$3:$D$532,4,), "0")</f>
        <v>0</v>
      </c>
      <c r="F308" s="4" t="str">
        <f>IFERROR(VLOOKUP(D308,Capacity!$A$3:$F$532,6,), "0")</f>
        <v>0</v>
      </c>
      <c r="H308" t="str">
        <f>IFERROR(VLOOKUP(G308,Capacity!$A$3:$D$532,4,), "0")</f>
        <v>0</v>
      </c>
      <c r="I308" s="4" t="str">
        <f>IFERROR(VLOOKUP(G308,Capacity!$A$3:$F$532,6,), "0")</f>
        <v>0</v>
      </c>
      <c r="K308" t="str">
        <f>IFERROR(VLOOKUP(J308,Capacity!$A$3:$D$532,4,), "0")</f>
        <v>0</v>
      </c>
      <c r="L308" s="4" t="str">
        <f>IFERROR(VLOOKUP(J308,Capacity!$A$3:$F$532,6,), "0")</f>
        <v>0</v>
      </c>
      <c r="M308" s="5">
        <f t="shared" si="36"/>
        <v>0</v>
      </c>
      <c r="N308" s="5">
        <f t="shared" si="37"/>
        <v>0</v>
      </c>
      <c r="O308">
        <v>39</v>
      </c>
      <c r="P308">
        <f>IFERROR(VLOOKUP(O308,Capacity!$A$3:$D$532,4,), "0")</f>
        <v>40.212385280000007</v>
      </c>
      <c r="Q308" s="4">
        <f>IFERROR(VLOOKUP(O308,Capacity!$A$3:$F$532,6,), "0")</f>
        <v>0.4</v>
      </c>
      <c r="R308" s="5">
        <f t="shared" si="38"/>
        <v>40.212385280000007</v>
      </c>
      <c r="S308" s="5">
        <f t="shared" si="42"/>
        <v>0.4</v>
      </c>
      <c r="U308">
        <v>403</v>
      </c>
      <c r="V308">
        <v>0</v>
      </c>
      <c r="W308">
        <v>0</v>
      </c>
      <c r="X308">
        <v>1</v>
      </c>
      <c r="AB308">
        <f t="shared" si="39"/>
        <v>0</v>
      </c>
      <c r="AC308">
        <f t="shared" si="40"/>
        <v>0</v>
      </c>
      <c r="AD308">
        <f t="shared" si="41"/>
        <v>0</v>
      </c>
      <c r="AE308">
        <f t="shared" si="43"/>
        <v>0</v>
      </c>
      <c r="AG308">
        <f t="shared" si="44"/>
        <v>0</v>
      </c>
    </row>
    <row r="309" spans="1:33" x14ac:dyDescent="0.25">
      <c r="A309">
        <v>337</v>
      </c>
      <c r="B309">
        <f>IFERROR(VLOOKUP(A309,Capacity!$A$3:$D$532,4,), "0")</f>
        <v>115.61060768000002</v>
      </c>
      <c r="C309" s="4">
        <f>IFERROR(VLOOKUP(A309,Capacity!$A$3:$F$532,6,), "0")</f>
        <v>0.4</v>
      </c>
      <c r="D309">
        <v>336</v>
      </c>
      <c r="E309">
        <f>IFERROR(VLOOKUP(D309,Capacity!$A$3:$D$532,4,), "0")</f>
        <v>22.619466719999998</v>
      </c>
      <c r="F309" s="4">
        <f>IFERROR(VLOOKUP(D309,Capacity!$A$3:$F$532,6,), "0")</f>
        <v>0.3</v>
      </c>
      <c r="H309" t="str">
        <f>IFERROR(VLOOKUP(G309,Capacity!$A$3:$D$532,4,), "0")</f>
        <v>0</v>
      </c>
      <c r="I309" s="4" t="str">
        <f>IFERROR(VLOOKUP(G309,Capacity!$A$3:$F$532,6,), "0")</f>
        <v>0</v>
      </c>
      <c r="K309" t="str">
        <f>IFERROR(VLOOKUP(J309,Capacity!$A$3:$D$532,4,), "0")</f>
        <v>0</v>
      </c>
      <c r="L309" s="4" t="str">
        <f>IFERROR(VLOOKUP(J309,Capacity!$A$3:$F$532,6,), "0")</f>
        <v>0</v>
      </c>
      <c r="M309" s="5">
        <f t="shared" si="36"/>
        <v>22.619466719999998</v>
      </c>
      <c r="N309" s="5">
        <f t="shared" si="37"/>
        <v>0.3</v>
      </c>
      <c r="O309">
        <v>39</v>
      </c>
      <c r="P309">
        <f>IFERROR(VLOOKUP(O309,Capacity!$A$3:$D$532,4,), "0")</f>
        <v>40.212385280000007</v>
      </c>
      <c r="Q309" s="4">
        <f>IFERROR(VLOOKUP(O309,Capacity!$A$3:$F$532,6,), "0")</f>
        <v>0.4</v>
      </c>
      <c r="R309" s="5">
        <f t="shared" si="38"/>
        <v>40.212385280000007</v>
      </c>
      <c r="S309" s="5">
        <f t="shared" si="42"/>
        <v>0.4</v>
      </c>
      <c r="U309">
        <v>337</v>
      </c>
      <c r="V309">
        <v>2</v>
      </c>
      <c r="W309">
        <v>2</v>
      </c>
      <c r="X309">
        <v>1</v>
      </c>
      <c r="AB309">
        <f t="shared" si="39"/>
        <v>0.56249999999999989</v>
      </c>
      <c r="AC309">
        <f t="shared" si="40"/>
        <v>0.19565217391304343</v>
      </c>
      <c r="AD309">
        <f t="shared" si="41"/>
        <v>0.74999999999999989</v>
      </c>
      <c r="AE309">
        <f t="shared" si="43"/>
        <v>0.74999999999999989</v>
      </c>
      <c r="AG309">
        <f t="shared" si="44"/>
        <v>0.14516129032258063</v>
      </c>
    </row>
    <row r="310" spans="1:33" x14ac:dyDescent="0.25">
      <c r="A310">
        <v>38</v>
      </c>
      <c r="B310">
        <f>IFERROR(VLOOKUP(A310,Capacity!$A$3:$D$532,4,), "0")</f>
        <v>17.649467226800002</v>
      </c>
      <c r="C310" s="4">
        <f>IFERROR(VLOOKUP(A310,Capacity!$A$3:$F$532,6,), "0")</f>
        <v>0.26500000000000001</v>
      </c>
      <c r="D310">
        <v>520</v>
      </c>
      <c r="E310">
        <f>IFERROR(VLOOKUP(D310,Capacity!$A$3:$D$532,4,), "0")</f>
        <v>22.128592876249996</v>
      </c>
      <c r="F310" s="4">
        <f>IFERROR(VLOOKUP(D310,Capacity!$A$3:$F$532,6,), "0")</f>
        <v>0.17499999999999999</v>
      </c>
      <c r="G310">
        <v>401</v>
      </c>
      <c r="H310">
        <f>IFERROR(VLOOKUP(G310,Capacity!$A$3:$D$532,4,), "0")</f>
        <v>21.647536509374998</v>
      </c>
      <c r="I310" s="4">
        <f>IFERROR(VLOOKUP(G310,Capacity!$A$3:$F$532,6,), "0")</f>
        <v>0.17499999999999999</v>
      </c>
      <c r="J310">
        <v>37</v>
      </c>
      <c r="K310">
        <f>IFERROR(VLOOKUP(J310,Capacity!$A$3:$D$532,4,), "0")</f>
        <v>17.649467226800002</v>
      </c>
      <c r="L310" s="4">
        <f>IFERROR(VLOOKUP(J310,Capacity!$A$3:$F$532,6,), "0")</f>
        <v>0.26500000000000001</v>
      </c>
      <c r="M310" s="5">
        <f t="shared" si="36"/>
        <v>61.425596612424997</v>
      </c>
      <c r="N310" s="5">
        <f t="shared" si="37"/>
        <v>0.61499999999999999</v>
      </c>
      <c r="O310">
        <v>39</v>
      </c>
      <c r="P310">
        <f>IFERROR(VLOOKUP(O310,Capacity!$A$3:$D$532,4,), "0")</f>
        <v>40.212385280000007</v>
      </c>
      <c r="Q310" s="4">
        <f>IFERROR(VLOOKUP(O310,Capacity!$A$3:$F$532,6,), "0")</f>
        <v>0.4</v>
      </c>
      <c r="R310" s="5">
        <f t="shared" si="38"/>
        <v>40.212385280000007</v>
      </c>
      <c r="S310" s="5">
        <f t="shared" si="42"/>
        <v>0.4</v>
      </c>
      <c r="U310">
        <v>38</v>
      </c>
      <c r="V310">
        <v>4</v>
      </c>
      <c r="W310">
        <v>4</v>
      </c>
      <c r="X310">
        <v>1</v>
      </c>
      <c r="AB310">
        <f t="shared" si="39"/>
        <v>1.5275292968749996</v>
      </c>
      <c r="AC310">
        <f t="shared" si="40"/>
        <v>3.4803088287646844</v>
      </c>
      <c r="AD310">
        <f t="shared" si="41"/>
        <v>1.5374999999999999</v>
      </c>
      <c r="AE310">
        <f t="shared" si="43"/>
        <v>2.3207547169811318</v>
      </c>
      <c r="AG310">
        <f t="shared" si="44"/>
        <v>1.0615905635791072</v>
      </c>
    </row>
    <row r="311" spans="1:33" x14ac:dyDescent="0.25">
      <c r="A311">
        <v>76</v>
      </c>
      <c r="B311">
        <f>IFERROR(VLOOKUP(A311,Capacity!$A$3:$D$532,4,), "0")</f>
        <v>90.477866879999993</v>
      </c>
      <c r="C311" s="4">
        <f>IFERROR(VLOOKUP(A311,Capacity!$A$3:$F$532,6,), "0")</f>
        <v>0.6</v>
      </c>
      <c r="D311">
        <v>75</v>
      </c>
      <c r="E311">
        <f>IFERROR(VLOOKUP(D311,Capacity!$A$3:$D$532,4,), "0")</f>
        <v>90.477866879999993</v>
      </c>
      <c r="F311" s="4">
        <f>IFERROR(VLOOKUP(D311,Capacity!$A$3:$F$532,6,), "0")</f>
        <v>0.6</v>
      </c>
      <c r="H311" t="str">
        <f>IFERROR(VLOOKUP(G311,Capacity!$A$3:$D$532,4,), "0")</f>
        <v>0</v>
      </c>
      <c r="I311" s="4" t="str">
        <f>IFERROR(VLOOKUP(G311,Capacity!$A$3:$F$532,6,), "0")</f>
        <v>0</v>
      </c>
      <c r="K311" t="str">
        <f>IFERROR(VLOOKUP(J311,Capacity!$A$3:$D$532,4,), "0")</f>
        <v>0</v>
      </c>
      <c r="L311" s="4" t="str">
        <f>IFERROR(VLOOKUP(J311,Capacity!$A$3:$F$532,6,), "0")</f>
        <v>0</v>
      </c>
      <c r="M311" s="5">
        <f t="shared" si="36"/>
        <v>90.477866879999993</v>
      </c>
      <c r="N311" s="5">
        <f t="shared" si="37"/>
        <v>0.6</v>
      </c>
      <c r="O311">
        <v>77</v>
      </c>
      <c r="P311">
        <f>IFERROR(VLOOKUP(O311,Capacity!$A$3:$D$532,4,), "0")</f>
        <v>90.477866879999993</v>
      </c>
      <c r="Q311" s="4">
        <f>IFERROR(VLOOKUP(O311,Capacity!$A$3:$F$532,6,), "0")</f>
        <v>0.6</v>
      </c>
      <c r="R311" s="5">
        <f t="shared" si="38"/>
        <v>90.477866879999993</v>
      </c>
      <c r="S311" s="5">
        <f t="shared" si="42"/>
        <v>0.6</v>
      </c>
      <c r="U311">
        <v>76</v>
      </c>
      <c r="V311">
        <v>1</v>
      </c>
      <c r="W311">
        <v>1</v>
      </c>
      <c r="X311">
        <v>1</v>
      </c>
      <c r="AB311">
        <f t="shared" si="39"/>
        <v>1</v>
      </c>
      <c r="AC311">
        <f t="shared" si="40"/>
        <v>1</v>
      </c>
      <c r="AD311">
        <f t="shared" si="41"/>
        <v>1</v>
      </c>
      <c r="AE311">
        <f t="shared" si="43"/>
        <v>1</v>
      </c>
      <c r="AG311">
        <f t="shared" si="44"/>
        <v>0.5</v>
      </c>
    </row>
    <row r="312" spans="1:33" x14ac:dyDescent="0.25">
      <c r="A312">
        <v>400</v>
      </c>
      <c r="B312">
        <f>IFERROR(VLOOKUP(A312,Capacity!$A$3:$D$532,4,), "0")</f>
        <v>21.166480142499999</v>
      </c>
      <c r="C312" s="4">
        <f>IFERROR(VLOOKUP(A312,Capacity!$A$3:$F$532,6,), "0")</f>
        <v>0.17499999999999999</v>
      </c>
      <c r="E312" t="str">
        <f>IFERROR(VLOOKUP(D312,Capacity!$A$3:$D$532,4,), "0")</f>
        <v>0</v>
      </c>
      <c r="F312" s="4" t="str">
        <f>IFERROR(VLOOKUP(D312,Capacity!$A$3:$F$532,6,), "0")</f>
        <v>0</v>
      </c>
      <c r="H312" t="str">
        <f>IFERROR(VLOOKUP(G312,Capacity!$A$3:$D$532,4,), "0")</f>
        <v>0</v>
      </c>
      <c r="I312" s="4" t="str">
        <f>IFERROR(VLOOKUP(G312,Capacity!$A$3:$F$532,6,), "0")</f>
        <v>0</v>
      </c>
      <c r="K312" t="str">
        <f>IFERROR(VLOOKUP(J312,Capacity!$A$3:$D$532,4,), "0")</f>
        <v>0</v>
      </c>
      <c r="L312" s="4" t="str">
        <f>IFERROR(VLOOKUP(J312,Capacity!$A$3:$F$532,6,), "0")</f>
        <v>0</v>
      </c>
      <c r="M312" s="5">
        <f t="shared" si="36"/>
        <v>0</v>
      </c>
      <c r="N312" s="5">
        <f t="shared" si="37"/>
        <v>0</v>
      </c>
      <c r="O312">
        <v>197</v>
      </c>
      <c r="P312">
        <f>IFERROR(VLOOKUP(O312,Capacity!$A$3:$D$532,4,), "0")</f>
        <v>22.619466719999998</v>
      </c>
      <c r="Q312" s="4">
        <f>IFERROR(VLOOKUP(O312,Capacity!$A$3:$F$532,6,), "0")</f>
        <v>0.3</v>
      </c>
      <c r="R312" s="5">
        <f t="shared" si="38"/>
        <v>22.619466719999998</v>
      </c>
      <c r="S312" s="5">
        <f t="shared" si="42"/>
        <v>0.3</v>
      </c>
      <c r="U312">
        <v>400</v>
      </c>
      <c r="V312">
        <v>0</v>
      </c>
      <c r="W312">
        <v>0</v>
      </c>
      <c r="X312">
        <v>1</v>
      </c>
      <c r="AB312">
        <f t="shared" si="39"/>
        <v>0</v>
      </c>
      <c r="AC312">
        <f t="shared" si="40"/>
        <v>0</v>
      </c>
      <c r="AD312">
        <f t="shared" si="41"/>
        <v>0</v>
      </c>
      <c r="AE312">
        <f t="shared" si="43"/>
        <v>0</v>
      </c>
      <c r="AG312">
        <f t="shared" si="44"/>
        <v>0</v>
      </c>
    </row>
    <row r="313" spans="1:33" x14ac:dyDescent="0.25">
      <c r="A313">
        <v>198</v>
      </c>
      <c r="B313">
        <f>IFERROR(VLOOKUP(A313,Capacity!$A$3:$D$532,4,), "0")</f>
        <v>17.649467226800002</v>
      </c>
      <c r="C313" s="4">
        <f>IFERROR(VLOOKUP(A313,Capacity!$A$3:$F$532,6,), "0")</f>
        <v>0.26500000000000001</v>
      </c>
      <c r="D313">
        <v>398</v>
      </c>
      <c r="E313">
        <f>IFERROR(VLOOKUP(D313,Capacity!$A$3:$D$532,4,), "0")</f>
        <v>21.166480142499999</v>
      </c>
      <c r="F313" s="4">
        <f>IFERROR(VLOOKUP(D313,Capacity!$A$3:$F$532,6,), "0")</f>
        <v>0.17499999999999999</v>
      </c>
      <c r="G313">
        <v>199</v>
      </c>
      <c r="H313">
        <f>IFERROR(VLOOKUP(G313,Capacity!$A$3:$D$532,4,), "0")</f>
        <v>17.649467226800002</v>
      </c>
      <c r="I313" s="4">
        <f>IFERROR(VLOOKUP(G313,Capacity!$A$3:$F$532,6,), "0")</f>
        <v>0.26500000000000001</v>
      </c>
      <c r="K313" t="str">
        <f>IFERROR(VLOOKUP(J313,Capacity!$A$3:$D$532,4,), "0")</f>
        <v>0</v>
      </c>
      <c r="L313" s="4" t="str">
        <f>IFERROR(VLOOKUP(J313,Capacity!$A$3:$F$532,6,), "0")</f>
        <v>0</v>
      </c>
      <c r="M313" s="5">
        <f t="shared" si="36"/>
        <v>38.815947369300005</v>
      </c>
      <c r="N313" s="5">
        <f t="shared" si="37"/>
        <v>0.44</v>
      </c>
      <c r="O313">
        <v>197</v>
      </c>
      <c r="P313">
        <f>IFERROR(VLOOKUP(O313,Capacity!$A$3:$D$532,4,), "0")</f>
        <v>22.619466719999998</v>
      </c>
      <c r="Q313" s="4">
        <f>IFERROR(VLOOKUP(O313,Capacity!$A$3:$F$532,6,), "0")</f>
        <v>0.3</v>
      </c>
      <c r="R313" s="5">
        <f t="shared" si="38"/>
        <v>22.619466719999998</v>
      </c>
      <c r="S313" s="5">
        <f t="shared" si="42"/>
        <v>0.3</v>
      </c>
      <c r="U313">
        <v>198</v>
      </c>
      <c r="V313">
        <v>2</v>
      </c>
      <c r="W313">
        <v>2</v>
      </c>
      <c r="X313">
        <v>1</v>
      </c>
      <c r="AB313">
        <f t="shared" si="39"/>
        <v>1.7160416666666671</v>
      </c>
      <c r="AC313">
        <f t="shared" si="40"/>
        <v>2.1992702029191884</v>
      </c>
      <c r="AD313">
        <f t="shared" si="41"/>
        <v>1.4666666666666668</v>
      </c>
      <c r="AE313">
        <f t="shared" si="43"/>
        <v>1.6603773584905659</v>
      </c>
      <c r="AG313">
        <f t="shared" si="44"/>
        <v>0.9639179279138711</v>
      </c>
    </row>
    <row r="314" spans="1:33" x14ac:dyDescent="0.25">
      <c r="A314">
        <v>476</v>
      </c>
      <c r="B314">
        <f>IFERROR(VLOOKUP(A314,Capacity!$A$3:$D$532,4,), "0")</f>
        <v>19.242254674999998</v>
      </c>
      <c r="C314" s="4">
        <f>IFERROR(VLOOKUP(A314,Capacity!$A$3:$F$532,6,), "0")</f>
        <v>0.17499999999999999</v>
      </c>
      <c r="E314" t="str">
        <f>IFERROR(VLOOKUP(D314,Capacity!$A$3:$D$532,4,), "0")</f>
        <v>0</v>
      </c>
      <c r="F314" s="4" t="str">
        <f>IFERROR(VLOOKUP(D314,Capacity!$A$3:$F$532,6,), "0")</f>
        <v>0</v>
      </c>
      <c r="H314" t="str">
        <f>IFERROR(VLOOKUP(G314,Capacity!$A$3:$D$532,4,), "0")</f>
        <v>0</v>
      </c>
      <c r="I314" s="4" t="str">
        <f>IFERROR(VLOOKUP(G314,Capacity!$A$3:$F$532,6,), "0")</f>
        <v>0</v>
      </c>
      <c r="K314" t="str">
        <f>IFERROR(VLOOKUP(J314,Capacity!$A$3:$D$532,4,), "0")</f>
        <v>0</v>
      </c>
      <c r="L314" s="4" t="str">
        <f>IFERROR(VLOOKUP(J314,Capacity!$A$3:$F$532,6,), "0")</f>
        <v>0</v>
      </c>
      <c r="M314" s="5">
        <f t="shared" si="36"/>
        <v>0</v>
      </c>
      <c r="N314" s="5">
        <f t="shared" si="37"/>
        <v>0</v>
      </c>
      <c r="O314">
        <v>219</v>
      </c>
      <c r="P314">
        <f>IFERROR(VLOOKUP(O314,Capacity!$A$3:$D$532,4,), "0")</f>
        <v>50.265481600000015</v>
      </c>
      <c r="Q314" s="4">
        <f>IFERROR(VLOOKUP(O314,Capacity!$A$3:$F$532,6,), "0")</f>
        <v>0.4</v>
      </c>
      <c r="R314" s="5">
        <f t="shared" si="38"/>
        <v>50.265481600000015</v>
      </c>
      <c r="S314" s="5">
        <f t="shared" si="42"/>
        <v>0.4</v>
      </c>
      <c r="U314">
        <v>476</v>
      </c>
      <c r="V314">
        <v>0</v>
      </c>
      <c r="W314">
        <v>0</v>
      </c>
      <c r="X314">
        <v>1</v>
      </c>
      <c r="AB314">
        <f t="shared" si="39"/>
        <v>0</v>
      </c>
      <c r="AC314">
        <f t="shared" si="40"/>
        <v>0</v>
      </c>
      <c r="AD314">
        <f t="shared" si="41"/>
        <v>0</v>
      </c>
      <c r="AE314">
        <f t="shared" si="43"/>
        <v>0</v>
      </c>
      <c r="AG314">
        <f t="shared" si="44"/>
        <v>0</v>
      </c>
    </row>
    <row r="315" spans="1:33" x14ac:dyDescent="0.25">
      <c r="A315">
        <v>220</v>
      </c>
      <c r="B315">
        <f>IFERROR(VLOOKUP(A315,Capacity!$A$3:$D$532,4,), "0")</f>
        <v>52.778755680000017</v>
      </c>
      <c r="C315" s="4">
        <f>IFERROR(VLOOKUP(A315,Capacity!$A$3:$F$532,6,), "0")</f>
        <v>0.4</v>
      </c>
      <c r="D315">
        <v>229</v>
      </c>
      <c r="E315">
        <f>IFERROR(VLOOKUP(D315,Capacity!$A$3:$D$532,4,), "0")</f>
        <v>47.432943172025006</v>
      </c>
      <c r="F315" s="4">
        <f>IFERROR(VLOOKUP(D315,Capacity!$A$3:$F$532,6,), "0")</f>
        <v>0.26500000000000001</v>
      </c>
      <c r="G315">
        <v>221</v>
      </c>
      <c r="H315">
        <f>IFERROR(VLOOKUP(G315,Capacity!$A$3:$D$532,4,), "0")</f>
        <v>20.204367408749999</v>
      </c>
      <c r="I315" s="4">
        <f>IFERROR(VLOOKUP(G315,Capacity!$A$3:$F$532,6,), "0")</f>
        <v>0.17499999999999999</v>
      </c>
      <c r="K315" t="str">
        <f>IFERROR(VLOOKUP(J315,Capacity!$A$3:$D$532,4,), "0")</f>
        <v>0</v>
      </c>
      <c r="L315" s="4" t="str">
        <f>IFERROR(VLOOKUP(J315,Capacity!$A$3:$F$532,6,), "0")</f>
        <v>0</v>
      </c>
      <c r="M315" s="5">
        <f t="shared" si="36"/>
        <v>67.637310580775008</v>
      </c>
      <c r="N315" s="5">
        <f t="shared" si="37"/>
        <v>0.44</v>
      </c>
      <c r="O315">
        <v>219</v>
      </c>
      <c r="P315">
        <f>IFERROR(VLOOKUP(O315,Capacity!$A$3:$D$532,4,), "0")</f>
        <v>50.265481600000015</v>
      </c>
      <c r="Q315" s="4">
        <f>IFERROR(VLOOKUP(O315,Capacity!$A$3:$F$532,6,), "0")</f>
        <v>0.4</v>
      </c>
      <c r="R315" s="5">
        <f t="shared" si="38"/>
        <v>50.265481600000015</v>
      </c>
      <c r="S315" s="5">
        <f t="shared" si="42"/>
        <v>0.4</v>
      </c>
      <c r="U315">
        <v>220</v>
      </c>
      <c r="V315">
        <v>3</v>
      </c>
      <c r="W315">
        <v>3</v>
      </c>
      <c r="X315">
        <v>1</v>
      </c>
      <c r="AB315">
        <f t="shared" si="39"/>
        <v>1.3456015624999997</v>
      </c>
      <c r="AC315">
        <f t="shared" si="40"/>
        <v>1.2815252976190474</v>
      </c>
      <c r="AD315">
        <f t="shared" si="41"/>
        <v>1.0999999999999999</v>
      </c>
      <c r="AE315">
        <f t="shared" si="43"/>
        <v>1.0999999999999999</v>
      </c>
      <c r="AG315">
        <f t="shared" si="44"/>
        <v>0.65639100609756085</v>
      </c>
    </row>
    <row r="316" spans="1:33" x14ac:dyDescent="0.25">
      <c r="A316">
        <v>481</v>
      </c>
      <c r="B316">
        <f>IFERROR(VLOOKUP(A316,Capacity!$A$3:$D$532,4,), "0")</f>
        <v>25.495987444375</v>
      </c>
      <c r="C316" s="4">
        <f>IFERROR(VLOOKUP(A316,Capacity!$A$3:$F$532,6,), "0")</f>
        <v>0.17499999999999999</v>
      </c>
      <c r="E316" t="str">
        <f>IFERROR(VLOOKUP(D316,Capacity!$A$3:$D$532,4,), "0")</f>
        <v>0</v>
      </c>
      <c r="F316" s="4" t="str">
        <f>IFERROR(VLOOKUP(D316,Capacity!$A$3:$F$532,6,), "0")</f>
        <v>0</v>
      </c>
      <c r="H316" t="str">
        <f>IFERROR(VLOOKUP(G316,Capacity!$A$3:$D$532,4,), "0")</f>
        <v>0</v>
      </c>
      <c r="I316" s="4" t="str">
        <f>IFERROR(VLOOKUP(G316,Capacity!$A$3:$F$532,6,), "0")</f>
        <v>0</v>
      </c>
      <c r="K316" t="str">
        <f>IFERROR(VLOOKUP(J316,Capacity!$A$3:$D$532,4,), "0")</f>
        <v>0</v>
      </c>
      <c r="L316" s="4" t="str">
        <f>IFERROR(VLOOKUP(J316,Capacity!$A$3:$F$532,6,), "0")</f>
        <v>0</v>
      </c>
      <c r="M316" s="5">
        <f t="shared" si="36"/>
        <v>0</v>
      </c>
      <c r="N316" s="5">
        <f t="shared" si="37"/>
        <v>0</v>
      </c>
      <c r="O316">
        <v>230</v>
      </c>
      <c r="P316">
        <f>IFERROR(VLOOKUP(O316,Capacity!$A$3:$D$532,4,), "0")</f>
        <v>26.939156544999996</v>
      </c>
      <c r="Q316" s="4">
        <f>IFERROR(VLOOKUP(O316,Capacity!$A$3:$F$532,6,), "0")</f>
        <v>0.17499999999999999</v>
      </c>
      <c r="R316" s="5">
        <f t="shared" si="38"/>
        <v>26.939156544999996</v>
      </c>
      <c r="S316" s="5">
        <f t="shared" si="42"/>
        <v>0.17499999999999999</v>
      </c>
      <c r="U316">
        <v>481</v>
      </c>
      <c r="V316">
        <v>0</v>
      </c>
      <c r="W316">
        <v>0</v>
      </c>
      <c r="X316">
        <v>1</v>
      </c>
      <c r="AB316">
        <f t="shared" si="39"/>
        <v>0</v>
      </c>
      <c r="AC316">
        <f t="shared" si="40"/>
        <v>0</v>
      </c>
      <c r="AD316">
        <f t="shared" si="41"/>
        <v>0</v>
      </c>
      <c r="AE316">
        <f t="shared" si="43"/>
        <v>0</v>
      </c>
      <c r="AG316">
        <f t="shared" si="44"/>
        <v>0</v>
      </c>
    </row>
    <row r="317" spans="1:33" x14ac:dyDescent="0.25">
      <c r="A317">
        <v>385</v>
      </c>
      <c r="B317">
        <f>IFERROR(VLOOKUP(A317,Capacity!$A$3:$D$532,4,), "0")</f>
        <v>15.393803739999997</v>
      </c>
      <c r="C317" s="4">
        <f>IFERROR(VLOOKUP(A317,Capacity!$A$3:$F$532,6,), "0")</f>
        <v>0.17499999999999999</v>
      </c>
      <c r="E317" t="str">
        <f>IFERROR(VLOOKUP(D317,Capacity!$A$3:$D$532,4,), "0")</f>
        <v>0</v>
      </c>
      <c r="F317" s="4" t="str">
        <f>IFERROR(VLOOKUP(D317,Capacity!$A$3:$F$532,6,), "0")</f>
        <v>0</v>
      </c>
      <c r="H317" t="str">
        <f>IFERROR(VLOOKUP(G317,Capacity!$A$3:$D$532,4,), "0")</f>
        <v>0</v>
      </c>
      <c r="I317" s="4" t="str">
        <f>IFERROR(VLOOKUP(G317,Capacity!$A$3:$F$532,6,), "0")</f>
        <v>0</v>
      </c>
      <c r="K317" t="str">
        <f>IFERROR(VLOOKUP(J317,Capacity!$A$3:$D$532,4,), "0")</f>
        <v>0</v>
      </c>
      <c r="L317" s="4" t="str">
        <f>IFERROR(VLOOKUP(J317,Capacity!$A$3:$F$532,6,), "0")</f>
        <v>0</v>
      </c>
      <c r="M317" s="5">
        <f t="shared" si="36"/>
        <v>0</v>
      </c>
      <c r="N317" s="5">
        <f t="shared" si="37"/>
        <v>0</v>
      </c>
      <c r="O317">
        <v>104</v>
      </c>
      <c r="P317">
        <f>IFERROR(VLOOKUP(O317,Capacity!$A$3:$D$532,4,), "0")</f>
        <v>19.242254674999998</v>
      </c>
      <c r="Q317" s="4">
        <f>IFERROR(VLOOKUP(O317,Capacity!$A$3:$F$532,6,), "0")</f>
        <v>0.17499999999999999</v>
      </c>
      <c r="R317" s="5">
        <f t="shared" si="38"/>
        <v>19.242254674999998</v>
      </c>
      <c r="S317" s="5">
        <f t="shared" si="42"/>
        <v>0.17499999999999999</v>
      </c>
      <c r="U317">
        <v>385</v>
      </c>
      <c r="V317">
        <v>0</v>
      </c>
      <c r="W317">
        <v>0</v>
      </c>
      <c r="X317">
        <v>1</v>
      </c>
      <c r="AB317">
        <f t="shared" si="39"/>
        <v>0</v>
      </c>
      <c r="AC317">
        <f t="shared" si="40"/>
        <v>0</v>
      </c>
      <c r="AD317">
        <f t="shared" si="41"/>
        <v>0</v>
      </c>
      <c r="AE317">
        <f t="shared" si="43"/>
        <v>0</v>
      </c>
      <c r="AG317">
        <f t="shared" si="44"/>
        <v>0</v>
      </c>
    </row>
    <row r="318" spans="1:33" x14ac:dyDescent="0.25">
      <c r="A318">
        <v>279</v>
      </c>
      <c r="B318">
        <f>IFERROR(VLOOKUP(A318,Capacity!$A$3:$D$532,4,), "0")</f>
        <v>5.7726764024999992</v>
      </c>
      <c r="C318" s="4">
        <f>IFERROR(VLOOKUP(A318,Capacity!$A$3:$F$532,6,), "0")</f>
        <v>0.17499999999999999</v>
      </c>
      <c r="E318" t="str">
        <f>IFERROR(VLOOKUP(D318,Capacity!$A$3:$D$532,4,), "0")</f>
        <v>0</v>
      </c>
      <c r="F318" s="4" t="str">
        <f>IFERROR(VLOOKUP(D318,Capacity!$A$3:$F$532,6,), "0")</f>
        <v>0</v>
      </c>
      <c r="H318" t="str">
        <f>IFERROR(VLOOKUP(G318,Capacity!$A$3:$D$532,4,), "0")</f>
        <v>0</v>
      </c>
      <c r="I318" s="4" t="str">
        <f>IFERROR(VLOOKUP(G318,Capacity!$A$3:$F$532,6,), "0")</f>
        <v>0</v>
      </c>
      <c r="K318" t="str">
        <f>IFERROR(VLOOKUP(J318,Capacity!$A$3:$D$532,4,), "0")</f>
        <v>0</v>
      </c>
      <c r="L318" s="4" t="str">
        <f>IFERROR(VLOOKUP(J318,Capacity!$A$3:$F$532,6,), "0")</f>
        <v>0</v>
      </c>
      <c r="M318" s="5">
        <f t="shared" si="36"/>
        <v>0</v>
      </c>
      <c r="N318" s="5">
        <f t="shared" si="37"/>
        <v>0</v>
      </c>
      <c r="O318">
        <v>104</v>
      </c>
      <c r="P318">
        <f>IFERROR(VLOOKUP(O318,Capacity!$A$3:$D$532,4,), "0")</f>
        <v>19.242254674999998</v>
      </c>
      <c r="Q318" s="4">
        <f>IFERROR(VLOOKUP(O318,Capacity!$A$3:$F$532,6,), "0")</f>
        <v>0.17499999999999999</v>
      </c>
      <c r="R318" s="5">
        <f t="shared" si="38"/>
        <v>19.242254674999998</v>
      </c>
      <c r="S318" s="5">
        <f t="shared" si="42"/>
        <v>0.17499999999999999</v>
      </c>
      <c r="U318">
        <v>279</v>
      </c>
      <c r="V318">
        <v>1</v>
      </c>
      <c r="W318">
        <v>1</v>
      </c>
      <c r="X318">
        <v>1</v>
      </c>
      <c r="AB318">
        <f t="shared" si="39"/>
        <v>0</v>
      </c>
      <c r="AC318">
        <f t="shared" si="40"/>
        <v>0</v>
      </c>
      <c r="AD318">
        <f t="shared" si="41"/>
        <v>0</v>
      </c>
      <c r="AE318">
        <f t="shared" si="43"/>
        <v>0</v>
      </c>
      <c r="AG318">
        <f t="shared" si="44"/>
        <v>0</v>
      </c>
    </row>
    <row r="319" spans="1:33" x14ac:dyDescent="0.25">
      <c r="A319">
        <v>240</v>
      </c>
      <c r="B319">
        <f>IFERROR(VLOOKUP(A319,Capacity!$A$3:$D$532,4,), "0")</f>
        <v>15.079644480000002</v>
      </c>
      <c r="C319" s="4">
        <f>IFERROR(VLOOKUP(A319,Capacity!$A$3:$F$532,6,), "0")</f>
        <v>0.2</v>
      </c>
      <c r="E319" t="str">
        <f>IFERROR(VLOOKUP(D319,Capacity!$A$3:$D$532,4,), "0")</f>
        <v>0</v>
      </c>
      <c r="F319" s="4" t="str">
        <f>IFERROR(VLOOKUP(D319,Capacity!$A$3:$F$532,6,), "0")</f>
        <v>0</v>
      </c>
      <c r="H319" t="str">
        <f>IFERROR(VLOOKUP(G319,Capacity!$A$3:$D$532,4,), "0")</f>
        <v>0</v>
      </c>
      <c r="I319" s="4" t="str">
        <f>IFERROR(VLOOKUP(G319,Capacity!$A$3:$F$532,6,), "0")</f>
        <v>0</v>
      </c>
      <c r="K319" t="str">
        <f>IFERROR(VLOOKUP(J319,Capacity!$A$3:$D$532,4,), "0")</f>
        <v>0</v>
      </c>
      <c r="L319" s="4" t="str">
        <f>IFERROR(VLOOKUP(J319,Capacity!$A$3:$F$532,6,), "0")</f>
        <v>0</v>
      </c>
      <c r="M319" s="5">
        <f t="shared" si="36"/>
        <v>0</v>
      </c>
      <c r="N319" s="5">
        <f t="shared" si="37"/>
        <v>0</v>
      </c>
      <c r="O319">
        <v>8</v>
      </c>
      <c r="P319">
        <f>IFERROR(VLOOKUP(O319,Capacity!$A$3:$D$532,4,), "0")</f>
        <v>9.4247778000000029</v>
      </c>
      <c r="Q319" s="4">
        <f>IFERROR(VLOOKUP(O319,Capacity!$A$3:$F$532,6,), "0")</f>
        <v>0.2</v>
      </c>
      <c r="R319" s="5">
        <f t="shared" si="38"/>
        <v>9.4247778000000029</v>
      </c>
      <c r="S319" s="5">
        <f t="shared" si="42"/>
        <v>0.2</v>
      </c>
      <c r="U319">
        <v>240</v>
      </c>
      <c r="V319">
        <v>1</v>
      </c>
      <c r="W319">
        <v>1</v>
      </c>
      <c r="X319">
        <v>1</v>
      </c>
      <c r="AB319">
        <f t="shared" si="39"/>
        <v>0</v>
      </c>
      <c r="AC319">
        <f t="shared" si="40"/>
        <v>0</v>
      </c>
      <c r="AD319">
        <f t="shared" si="41"/>
        <v>0</v>
      </c>
      <c r="AE319">
        <f t="shared" si="43"/>
        <v>0</v>
      </c>
      <c r="AG319">
        <f t="shared" si="44"/>
        <v>0</v>
      </c>
    </row>
    <row r="320" spans="1:33" x14ac:dyDescent="0.25">
      <c r="A320">
        <v>353</v>
      </c>
      <c r="B320">
        <f>IFERROR(VLOOKUP(A320,Capacity!$A$3:$D$532,4,), "0")</f>
        <v>7.2158455031249993</v>
      </c>
      <c r="C320" s="4">
        <f>IFERROR(VLOOKUP(A320,Capacity!$A$3:$F$532,6,), "0")</f>
        <v>0.17499999999999999</v>
      </c>
      <c r="E320" t="str">
        <f>IFERROR(VLOOKUP(D320,Capacity!$A$3:$D$532,4,), "0")</f>
        <v>0</v>
      </c>
      <c r="F320" s="4" t="str">
        <f>IFERROR(VLOOKUP(D320,Capacity!$A$3:$F$532,6,), "0")</f>
        <v>0</v>
      </c>
      <c r="H320" t="str">
        <f>IFERROR(VLOOKUP(G320,Capacity!$A$3:$D$532,4,), "0")</f>
        <v>0</v>
      </c>
      <c r="I320" s="4" t="str">
        <f>IFERROR(VLOOKUP(G320,Capacity!$A$3:$F$532,6,), "0")</f>
        <v>0</v>
      </c>
      <c r="K320" t="str">
        <f>IFERROR(VLOOKUP(J320,Capacity!$A$3:$D$532,4,), "0")</f>
        <v>0</v>
      </c>
      <c r="L320" s="4" t="str">
        <f>IFERROR(VLOOKUP(J320,Capacity!$A$3:$F$532,6,), "0")</f>
        <v>0</v>
      </c>
      <c r="M320" s="5">
        <f t="shared" si="36"/>
        <v>0</v>
      </c>
      <c r="N320" s="5">
        <f t="shared" si="37"/>
        <v>0</v>
      </c>
      <c r="O320">
        <v>9</v>
      </c>
      <c r="P320">
        <f>IFERROR(VLOOKUP(O320,Capacity!$A$3:$D$532,4,), "0")</f>
        <v>14.431691006249999</v>
      </c>
      <c r="Q320" s="4">
        <f>IFERROR(VLOOKUP(O320,Capacity!$A$3:$F$532,6,), "0")</f>
        <v>0.17499999999999999</v>
      </c>
      <c r="R320" s="5">
        <f t="shared" si="38"/>
        <v>14.431691006249999</v>
      </c>
      <c r="S320" s="5">
        <f t="shared" si="42"/>
        <v>0.17499999999999999</v>
      </c>
      <c r="U320">
        <v>353</v>
      </c>
      <c r="V320">
        <v>0</v>
      </c>
      <c r="W320">
        <v>0</v>
      </c>
      <c r="X320">
        <v>1</v>
      </c>
      <c r="AB320">
        <f t="shared" si="39"/>
        <v>0</v>
      </c>
      <c r="AC320">
        <f t="shared" si="40"/>
        <v>0</v>
      </c>
      <c r="AD320">
        <f t="shared" si="41"/>
        <v>0</v>
      </c>
      <c r="AE320">
        <f t="shared" si="43"/>
        <v>0</v>
      </c>
      <c r="AG320">
        <f t="shared" si="44"/>
        <v>0</v>
      </c>
    </row>
    <row r="321" spans="1:33" x14ac:dyDescent="0.25">
      <c r="A321">
        <v>239</v>
      </c>
      <c r="B321">
        <f>IFERROR(VLOOKUP(A321,Capacity!$A$3:$D$532,4,), "0")</f>
        <v>11.545352804999998</v>
      </c>
      <c r="C321" s="4">
        <f>IFERROR(VLOOKUP(A321,Capacity!$A$3:$F$532,6,), "0")</f>
        <v>0.17499999999999999</v>
      </c>
      <c r="E321" t="str">
        <f>IFERROR(VLOOKUP(D321,Capacity!$A$3:$D$532,4,), "0")</f>
        <v>0</v>
      </c>
      <c r="F321" s="4" t="str">
        <f>IFERROR(VLOOKUP(D321,Capacity!$A$3:$F$532,6,), "0")</f>
        <v>0</v>
      </c>
      <c r="H321" t="str">
        <f>IFERROR(VLOOKUP(G321,Capacity!$A$3:$D$532,4,), "0")</f>
        <v>0</v>
      </c>
      <c r="I321" s="4" t="str">
        <f>IFERROR(VLOOKUP(G321,Capacity!$A$3:$F$532,6,), "0")</f>
        <v>0</v>
      </c>
      <c r="K321" t="str">
        <f>IFERROR(VLOOKUP(J321,Capacity!$A$3:$D$532,4,), "0")</f>
        <v>0</v>
      </c>
      <c r="L321" s="4" t="str">
        <f>IFERROR(VLOOKUP(J321,Capacity!$A$3:$F$532,6,), "0")</f>
        <v>0</v>
      </c>
      <c r="M321" s="5">
        <f t="shared" si="36"/>
        <v>0</v>
      </c>
      <c r="N321" s="5">
        <f t="shared" si="37"/>
        <v>0</v>
      </c>
      <c r="O321">
        <v>9</v>
      </c>
      <c r="P321">
        <f>IFERROR(VLOOKUP(O321,Capacity!$A$3:$D$532,4,), "0")</f>
        <v>14.431691006249999</v>
      </c>
      <c r="Q321" s="4">
        <f>IFERROR(VLOOKUP(O321,Capacity!$A$3:$F$532,6,), "0")</f>
        <v>0.17499999999999999</v>
      </c>
      <c r="R321" s="5">
        <f t="shared" si="38"/>
        <v>14.431691006249999</v>
      </c>
      <c r="S321" s="5">
        <f t="shared" si="42"/>
        <v>0.17499999999999999</v>
      </c>
      <c r="U321">
        <v>239</v>
      </c>
      <c r="V321">
        <v>0</v>
      </c>
      <c r="W321">
        <v>0</v>
      </c>
      <c r="X321">
        <v>1</v>
      </c>
      <c r="AB321">
        <f t="shared" si="39"/>
        <v>0</v>
      </c>
      <c r="AC321">
        <f t="shared" si="40"/>
        <v>0</v>
      </c>
      <c r="AD321">
        <f t="shared" si="41"/>
        <v>0</v>
      </c>
      <c r="AE321">
        <f t="shared" si="43"/>
        <v>0</v>
      </c>
      <c r="AG321">
        <f t="shared" si="44"/>
        <v>0</v>
      </c>
    </row>
    <row r="322" spans="1:33" x14ac:dyDescent="0.25">
      <c r="A322">
        <v>10</v>
      </c>
      <c r="B322">
        <f>IFERROR(VLOOKUP(A322,Capacity!$A$3:$D$532,4,), "0")</f>
        <v>7.2158455031249993</v>
      </c>
      <c r="C322" s="4">
        <f>IFERROR(VLOOKUP(A322,Capacity!$A$3:$F$532,6,), "0")</f>
        <v>0.17499999999999999</v>
      </c>
      <c r="D322">
        <v>238</v>
      </c>
      <c r="E322">
        <f>IFERROR(VLOOKUP(D322,Capacity!$A$3:$D$532,4,), "0")</f>
        <v>11.545352804999998</v>
      </c>
      <c r="F322" s="4">
        <f>IFERROR(VLOOKUP(D322,Capacity!$A$3:$F$532,6,), "0")</f>
        <v>0.17499999999999999</v>
      </c>
      <c r="H322" t="str">
        <f>IFERROR(VLOOKUP(G322,Capacity!$A$3:$D$532,4,), "0")</f>
        <v>0</v>
      </c>
      <c r="I322" s="4" t="str">
        <f>IFERROR(VLOOKUP(G322,Capacity!$A$3:$F$532,6,), "0")</f>
        <v>0</v>
      </c>
      <c r="K322" t="str">
        <f>IFERROR(VLOOKUP(J322,Capacity!$A$3:$D$532,4,), "0")</f>
        <v>0</v>
      </c>
      <c r="L322" s="4" t="str">
        <f>IFERROR(VLOOKUP(J322,Capacity!$A$3:$F$532,6,), "0")</f>
        <v>0</v>
      </c>
      <c r="M322" s="5">
        <f t="shared" ref="M322:M385" si="45">$E322+$H322+$K322</f>
        <v>11.545352804999998</v>
      </c>
      <c r="N322" s="5">
        <f t="shared" si="37"/>
        <v>0.17499999999999999</v>
      </c>
      <c r="O322">
        <v>9</v>
      </c>
      <c r="P322">
        <f>IFERROR(VLOOKUP(O322,Capacity!$A$3:$D$532,4,), "0")</f>
        <v>14.431691006249999</v>
      </c>
      <c r="Q322" s="4">
        <f>IFERROR(VLOOKUP(O322,Capacity!$A$3:$F$532,6,), "0")</f>
        <v>0.17499999999999999</v>
      </c>
      <c r="R322" s="5">
        <f t="shared" si="38"/>
        <v>14.431691006249999</v>
      </c>
      <c r="S322" s="5">
        <f t="shared" si="42"/>
        <v>0.17499999999999999</v>
      </c>
      <c r="U322">
        <v>10</v>
      </c>
      <c r="V322">
        <v>2</v>
      </c>
      <c r="W322">
        <v>2</v>
      </c>
      <c r="X322">
        <v>1</v>
      </c>
      <c r="AB322">
        <f t="shared" si="39"/>
        <v>0.79999999999999993</v>
      </c>
      <c r="AC322">
        <f t="shared" si="40"/>
        <v>1.5999999999999999</v>
      </c>
      <c r="AD322">
        <f t="shared" si="41"/>
        <v>1</v>
      </c>
      <c r="AE322">
        <f t="shared" si="43"/>
        <v>1</v>
      </c>
      <c r="AG322">
        <f t="shared" si="44"/>
        <v>0.53333333333333333</v>
      </c>
    </row>
    <row r="323" spans="1:33" x14ac:dyDescent="0.25">
      <c r="A323">
        <v>355</v>
      </c>
      <c r="B323">
        <f>IFERROR(VLOOKUP(A323,Capacity!$A$3:$D$532,4,), "0")</f>
        <v>9.621127337499999</v>
      </c>
      <c r="C323" s="4">
        <f>IFERROR(VLOOKUP(A323,Capacity!$A$3:$F$532,6,), "0")</f>
        <v>0.17499999999999999</v>
      </c>
      <c r="E323" t="str">
        <f>IFERROR(VLOOKUP(D323,Capacity!$A$3:$D$532,4,), "0")</f>
        <v>0</v>
      </c>
      <c r="F323" s="4" t="str">
        <f>IFERROR(VLOOKUP(D323,Capacity!$A$3:$F$532,6,), "0")</f>
        <v>0</v>
      </c>
      <c r="H323" t="str">
        <f>IFERROR(VLOOKUP(G323,Capacity!$A$3:$D$532,4,), "0")</f>
        <v>0</v>
      </c>
      <c r="I323" s="4" t="str">
        <f>IFERROR(VLOOKUP(G323,Capacity!$A$3:$F$532,6,), "0")</f>
        <v>0</v>
      </c>
      <c r="K323" t="str">
        <f>IFERROR(VLOOKUP(J323,Capacity!$A$3:$D$532,4,), "0")</f>
        <v>0</v>
      </c>
      <c r="L323" s="4" t="str">
        <f>IFERROR(VLOOKUP(J323,Capacity!$A$3:$F$532,6,), "0")</f>
        <v>0</v>
      </c>
      <c r="M323" s="5">
        <f t="shared" si="45"/>
        <v>0</v>
      </c>
      <c r="N323" s="5">
        <f t="shared" ref="N323:N386" si="46">$F323+$I323+$L323</f>
        <v>0</v>
      </c>
      <c r="O323">
        <v>14</v>
      </c>
      <c r="P323">
        <f>IFERROR(VLOOKUP(O323,Capacity!$A$3:$D$532,4,), "0")</f>
        <v>25.014931077499998</v>
      </c>
      <c r="Q323" s="4">
        <f>IFERROR(VLOOKUP(O323,Capacity!$A$3:$F$532,6,), "0")</f>
        <v>0.17499999999999999</v>
      </c>
      <c r="R323" s="5">
        <f t="shared" ref="R323:R386" si="47">$P323</f>
        <v>25.014931077499998</v>
      </c>
      <c r="S323" s="5">
        <f t="shared" si="42"/>
        <v>0.17499999999999999</v>
      </c>
      <c r="U323">
        <v>355</v>
      </c>
      <c r="V323">
        <v>0</v>
      </c>
      <c r="W323">
        <v>0</v>
      </c>
      <c r="X323">
        <v>1</v>
      </c>
      <c r="AB323">
        <f t="shared" ref="AB323:AB386" si="48">($M323/$R323)</f>
        <v>0</v>
      </c>
      <c r="AC323">
        <f t="shared" ref="AC323:AC386" si="49">($M323/$B323)</f>
        <v>0</v>
      </c>
      <c r="AD323">
        <f t="shared" ref="AD323:AD386" si="50">($N323/$S323)</f>
        <v>0</v>
      </c>
      <c r="AE323">
        <f t="shared" si="43"/>
        <v>0</v>
      </c>
      <c r="AG323">
        <f t="shared" si="44"/>
        <v>0</v>
      </c>
    </row>
    <row r="324" spans="1:33" x14ac:dyDescent="0.25">
      <c r="A324">
        <v>11</v>
      </c>
      <c r="B324">
        <f>IFERROR(VLOOKUP(A324,Capacity!$A$3:$D$532,4,), "0")</f>
        <v>12.507465538749999</v>
      </c>
      <c r="C324" s="4">
        <f>IFERROR(VLOOKUP(A324,Capacity!$A$3:$F$532,6,), "0")</f>
        <v>0.17499999999999999</v>
      </c>
      <c r="D324">
        <v>354</v>
      </c>
      <c r="E324">
        <f>IFERROR(VLOOKUP(D324,Capacity!$A$3:$D$532,4,), "0")</f>
        <v>8.1779582368749981</v>
      </c>
      <c r="F324" s="4">
        <f>IFERROR(VLOOKUP(D324,Capacity!$A$3:$F$532,6,), "0")</f>
        <v>0.17499999999999999</v>
      </c>
      <c r="H324" t="str">
        <f>IFERROR(VLOOKUP(G324,Capacity!$A$3:$D$532,4,), "0")</f>
        <v>0</v>
      </c>
      <c r="I324" s="4" t="str">
        <f>IFERROR(VLOOKUP(G324,Capacity!$A$3:$F$532,6,), "0")</f>
        <v>0</v>
      </c>
      <c r="K324" t="str">
        <f>IFERROR(VLOOKUP(J324,Capacity!$A$3:$D$532,4,), "0")</f>
        <v>0</v>
      </c>
      <c r="L324" s="4" t="str">
        <f>IFERROR(VLOOKUP(J324,Capacity!$A$3:$F$532,6,), "0")</f>
        <v>0</v>
      </c>
      <c r="M324" s="5">
        <f t="shared" si="45"/>
        <v>8.1779582368749981</v>
      </c>
      <c r="N324" s="5">
        <f t="shared" si="46"/>
        <v>0.17499999999999999</v>
      </c>
      <c r="O324">
        <v>12</v>
      </c>
      <c r="P324">
        <f>IFERROR(VLOOKUP(O324,Capacity!$A$3:$D$532,4,), "0")</f>
        <v>32.672563040000007</v>
      </c>
      <c r="Q324" s="4">
        <f>IFERROR(VLOOKUP(O324,Capacity!$A$3:$F$532,6,), "0")</f>
        <v>0.2</v>
      </c>
      <c r="R324" s="5">
        <f t="shared" si="47"/>
        <v>32.672563040000007</v>
      </c>
      <c r="S324" s="5">
        <f t="shared" ref="S324:S387" si="51">$Q324</f>
        <v>0.2</v>
      </c>
      <c r="U324">
        <v>11</v>
      </c>
      <c r="V324">
        <v>2</v>
      </c>
      <c r="W324">
        <v>2</v>
      </c>
      <c r="X324">
        <v>1</v>
      </c>
      <c r="AB324">
        <f t="shared" si="48"/>
        <v>0.25030048076923067</v>
      </c>
      <c r="AC324">
        <f t="shared" si="49"/>
        <v>0.65384615384615374</v>
      </c>
      <c r="AD324">
        <f t="shared" si="50"/>
        <v>0.87499999999999989</v>
      </c>
      <c r="AE324">
        <f t="shared" ref="AE324:AE387" si="52">($N324/$C324)</f>
        <v>1</v>
      </c>
      <c r="AG324">
        <f t="shared" ref="AG324:AG387" si="53">$M324/($R324+$B324)</f>
        <v>0.18100825727944367</v>
      </c>
    </row>
    <row r="325" spans="1:33" x14ac:dyDescent="0.25">
      <c r="A325">
        <v>69</v>
      </c>
      <c r="B325">
        <f>IFERROR(VLOOKUP(A325,Capacity!$A$3:$D$532,4,), "0")</f>
        <v>59.566951890450007</v>
      </c>
      <c r="C325" s="4">
        <f>IFERROR(VLOOKUP(A325,Capacity!$A$3:$F$532,6,), "0")</f>
        <v>0.26500000000000001</v>
      </c>
      <c r="D325">
        <v>356</v>
      </c>
      <c r="E325">
        <f>IFERROR(VLOOKUP(D325,Capacity!$A$3:$D$532,4,), "0")</f>
        <v>7.6969018699999987</v>
      </c>
      <c r="F325" s="4">
        <f>IFERROR(VLOOKUP(D325,Capacity!$A$3:$F$532,6,), "0")</f>
        <v>0.17499999999999999</v>
      </c>
      <c r="G325">
        <v>237</v>
      </c>
      <c r="H325">
        <f>IFERROR(VLOOKUP(G325,Capacity!$A$3:$D$532,4,), "0")</f>
        <v>15.079644480000002</v>
      </c>
      <c r="I325" s="4">
        <f>IFERROR(VLOOKUP(G325,Capacity!$A$3:$F$532,6,), "0")</f>
        <v>0.2</v>
      </c>
      <c r="J325">
        <v>67</v>
      </c>
      <c r="K325">
        <f>IFERROR(VLOOKUP(J325,Capacity!$A$3:$D$532,4,), "0")</f>
        <v>17.649467226800002</v>
      </c>
      <c r="L325" s="4">
        <f>IFERROR(VLOOKUP(J325,Capacity!$A$3:$F$532,6,), "0")</f>
        <v>0.26500000000000001</v>
      </c>
      <c r="M325" s="5">
        <f t="shared" si="45"/>
        <v>40.426013576800003</v>
      </c>
      <c r="N325" s="5">
        <f t="shared" si="46"/>
        <v>0.64</v>
      </c>
      <c r="O325">
        <v>60</v>
      </c>
      <c r="P325">
        <f>IFERROR(VLOOKUP(O325,Capacity!$A$3:$D$532,4,), "0")</f>
        <v>90.477866880000022</v>
      </c>
      <c r="Q325" s="4">
        <f>IFERROR(VLOOKUP(O325,Capacity!$A$3:$F$532,6,), "0")</f>
        <v>0.4</v>
      </c>
      <c r="R325" s="5">
        <f t="shared" si="47"/>
        <v>90.477866880000022</v>
      </c>
      <c r="S325" s="5">
        <f t="shared" si="51"/>
        <v>0.4</v>
      </c>
      <c r="U325">
        <v>69</v>
      </c>
      <c r="V325">
        <v>3</v>
      </c>
      <c r="W325">
        <v>3</v>
      </c>
      <c r="X325">
        <v>1</v>
      </c>
      <c r="AB325">
        <f t="shared" si="48"/>
        <v>0.44680555555555546</v>
      </c>
      <c r="AC325">
        <f t="shared" si="49"/>
        <v>0.67866513719130306</v>
      </c>
      <c r="AD325">
        <f t="shared" si="50"/>
        <v>1.5999999999999999</v>
      </c>
      <c r="AE325">
        <f t="shared" si="52"/>
        <v>2.4150943396226414</v>
      </c>
      <c r="AG325">
        <f t="shared" si="53"/>
        <v>0.26942625482221277</v>
      </c>
    </row>
    <row r="326" spans="1:33" x14ac:dyDescent="0.25">
      <c r="A326">
        <v>61</v>
      </c>
      <c r="B326">
        <f>IFERROR(VLOOKUP(A326,Capacity!$A$3:$D$532,4,), "0")</f>
        <v>7.6969018699999987</v>
      </c>
      <c r="C326" s="4">
        <f>IFERROR(VLOOKUP(A326,Capacity!$A$3:$F$532,6,), "0")</f>
        <v>0.17499999999999999</v>
      </c>
      <c r="D326">
        <v>388</v>
      </c>
      <c r="E326">
        <f>IFERROR(VLOOKUP(D326,Capacity!$A$3:$D$532,4,), "0")</f>
        <v>25.977043811249995</v>
      </c>
      <c r="F326" s="4">
        <f>IFERROR(VLOOKUP(D326,Capacity!$A$3:$F$532,6,), "0")</f>
        <v>0.17499999999999999</v>
      </c>
      <c r="H326" t="str">
        <f>IFERROR(VLOOKUP(G326,Capacity!$A$3:$D$532,4,), "0")</f>
        <v>0</v>
      </c>
      <c r="I326" s="4" t="str">
        <f>IFERROR(VLOOKUP(G326,Capacity!$A$3:$F$532,6,), "0")</f>
        <v>0</v>
      </c>
      <c r="K326" t="str">
        <f>IFERROR(VLOOKUP(J326,Capacity!$A$3:$D$532,4,), "0")</f>
        <v>0</v>
      </c>
      <c r="L326" s="4" t="str">
        <f>IFERROR(VLOOKUP(J326,Capacity!$A$3:$F$532,6,), "0")</f>
        <v>0</v>
      </c>
      <c r="M326" s="5">
        <f t="shared" si="45"/>
        <v>25.977043811249995</v>
      </c>
      <c r="N326" s="5">
        <f t="shared" si="46"/>
        <v>0.17499999999999999</v>
      </c>
      <c r="O326">
        <v>60</v>
      </c>
      <c r="P326">
        <f>IFERROR(VLOOKUP(O326,Capacity!$A$3:$D$532,4,), "0")</f>
        <v>90.477866880000022</v>
      </c>
      <c r="Q326" s="4">
        <f>IFERROR(VLOOKUP(O326,Capacity!$A$3:$F$532,6,), "0")</f>
        <v>0.4</v>
      </c>
      <c r="R326" s="5">
        <f t="shared" si="47"/>
        <v>90.477866880000022</v>
      </c>
      <c r="S326" s="5">
        <f t="shared" si="51"/>
        <v>0.4</v>
      </c>
      <c r="U326">
        <v>61</v>
      </c>
      <c r="V326">
        <v>2</v>
      </c>
      <c r="W326">
        <v>2</v>
      </c>
      <c r="X326">
        <v>1</v>
      </c>
      <c r="AB326">
        <f t="shared" si="48"/>
        <v>0.28710937499999989</v>
      </c>
      <c r="AC326">
        <f t="shared" si="49"/>
        <v>3.375</v>
      </c>
      <c r="AD326">
        <f t="shared" si="50"/>
        <v>0.43749999999999994</v>
      </c>
      <c r="AE326">
        <f t="shared" si="52"/>
        <v>1</v>
      </c>
      <c r="AG326">
        <f t="shared" si="53"/>
        <v>0.26459999999999989</v>
      </c>
    </row>
    <row r="327" spans="1:33" x14ac:dyDescent="0.25">
      <c r="A327">
        <v>103</v>
      </c>
      <c r="B327">
        <f>IFERROR(VLOOKUP(A327,Capacity!$A$3:$D$532,4,), "0")</f>
        <v>10.102183704374999</v>
      </c>
      <c r="C327" s="4">
        <f>IFERROR(VLOOKUP(A327,Capacity!$A$3:$F$532,6,), "0")</f>
        <v>0.17499999999999999</v>
      </c>
      <c r="D327">
        <v>63</v>
      </c>
      <c r="E327">
        <f>IFERROR(VLOOKUP(D327,Capacity!$A$3:$D$532,4,), "0")</f>
        <v>10.102183704374999</v>
      </c>
      <c r="F327" s="4">
        <f>IFERROR(VLOOKUP(D327,Capacity!$A$3:$F$532,6,), "0")</f>
        <v>0.17499999999999999</v>
      </c>
      <c r="G327">
        <v>62</v>
      </c>
      <c r="H327">
        <f>IFERROR(VLOOKUP(G327,Capacity!$A$3:$D$532,4,), "0")</f>
        <v>4.8105636687499995</v>
      </c>
      <c r="I327" s="4">
        <f>IFERROR(VLOOKUP(G327,Capacity!$A$3:$F$532,6,), "0")</f>
        <v>0.17499999999999999</v>
      </c>
      <c r="K327" t="str">
        <f>IFERROR(VLOOKUP(J327,Capacity!$A$3:$D$532,4,), "0")</f>
        <v>0</v>
      </c>
      <c r="L327" s="4" t="str">
        <f>IFERROR(VLOOKUP(J327,Capacity!$A$3:$F$532,6,), "0")</f>
        <v>0</v>
      </c>
      <c r="M327" s="5">
        <f t="shared" si="45"/>
        <v>14.912747373124999</v>
      </c>
      <c r="N327" s="5">
        <f t="shared" si="46"/>
        <v>0.35</v>
      </c>
      <c r="O327">
        <v>102</v>
      </c>
      <c r="P327">
        <f>IFERROR(VLOOKUP(O327,Capacity!$A$3:$D$532,4,), "0")</f>
        <v>50.265481600000015</v>
      </c>
      <c r="Q327" s="4">
        <f>IFERROR(VLOOKUP(O327,Capacity!$A$3:$F$532,6,), "0")</f>
        <v>0.4</v>
      </c>
      <c r="R327" s="5">
        <f t="shared" si="47"/>
        <v>50.265481600000015</v>
      </c>
      <c r="S327" s="5">
        <f t="shared" si="51"/>
        <v>0.4</v>
      </c>
      <c r="U327">
        <v>103</v>
      </c>
      <c r="V327">
        <v>3</v>
      </c>
      <c r="W327">
        <v>3</v>
      </c>
      <c r="X327">
        <v>1</v>
      </c>
      <c r="AB327">
        <f t="shared" si="48"/>
        <v>0.2966796874999999</v>
      </c>
      <c r="AC327">
        <f t="shared" si="49"/>
        <v>1.4761904761904763</v>
      </c>
      <c r="AD327">
        <f t="shared" si="50"/>
        <v>0.87499999999999989</v>
      </c>
      <c r="AE327">
        <f t="shared" si="52"/>
        <v>2</v>
      </c>
      <c r="AG327">
        <f t="shared" si="53"/>
        <v>0.24703203772971205</v>
      </c>
    </row>
    <row r="328" spans="1:33" x14ac:dyDescent="0.25">
      <c r="A328">
        <v>522</v>
      </c>
      <c r="B328">
        <f>IFERROR(VLOOKUP(A328,Capacity!$A$3:$D$532,4,), "0")</f>
        <v>13.950634639374998</v>
      </c>
      <c r="C328" s="4">
        <f>IFERROR(VLOOKUP(A328,Capacity!$A$3:$F$532,6,), "0")</f>
        <v>0.17499999999999999</v>
      </c>
      <c r="E328" t="str">
        <f>IFERROR(VLOOKUP(D328,Capacity!$A$3:$D$532,4,), "0")</f>
        <v>0</v>
      </c>
      <c r="F328" s="4" t="str">
        <f>IFERROR(VLOOKUP(D328,Capacity!$A$3:$F$532,6,), "0")</f>
        <v>0</v>
      </c>
      <c r="H328" t="str">
        <f>IFERROR(VLOOKUP(G328,Capacity!$A$3:$D$532,4,), "0")</f>
        <v>0</v>
      </c>
      <c r="I328" s="4" t="str">
        <f>IFERROR(VLOOKUP(G328,Capacity!$A$3:$F$532,6,), "0")</f>
        <v>0</v>
      </c>
      <c r="K328" t="str">
        <f>IFERROR(VLOOKUP(J328,Capacity!$A$3:$D$532,4,), "0")</f>
        <v>0</v>
      </c>
      <c r="L328" s="4" t="str">
        <f>IFERROR(VLOOKUP(J328,Capacity!$A$3:$F$532,6,), "0")</f>
        <v>0</v>
      </c>
      <c r="M328" s="5">
        <f t="shared" si="45"/>
        <v>0</v>
      </c>
      <c r="N328" s="5">
        <f t="shared" si="46"/>
        <v>0</v>
      </c>
      <c r="O328">
        <v>322</v>
      </c>
      <c r="P328">
        <f>IFERROR(VLOOKUP(O328,Capacity!$A$3:$D$532,4,), "0")</f>
        <v>75.398222400000023</v>
      </c>
      <c r="Q328" s="4">
        <f>IFERROR(VLOOKUP(O328,Capacity!$A$3:$F$532,6,), "0")</f>
        <v>0.4</v>
      </c>
      <c r="R328" s="5">
        <f t="shared" si="47"/>
        <v>75.398222400000023</v>
      </c>
      <c r="S328" s="5">
        <f t="shared" si="51"/>
        <v>0.4</v>
      </c>
      <c r="U328">
        <v>522</v>
      </c>
      <c r="V328">
        <v>0</v>
      </c>
      <c r="W328">
        <v>0</v>
      </c>
      <c r="X328">
        <v>1</v>
      </c>
      <c r="AB328">
        <f t="shared" si="48"/>
        <v>0</v>
      </c>
      <c r="AC328">
        <f t="shared" si="49"/>
        <v>0</v>
      </c>
      <c r="AD328">
        <f t="shared" si="50"/>
        <v>0</v>
      </c>
      <c r="AE328">
        <f t="shared" si="52"/>
        <v>0</v>
      </c>
      <c r="AG328">
        <f t="shared" si="53"/>
        <v>0</v>
      </c>
    </row>
    <row r="329" spans="1:33" x14ac:dyDescent="0.25">
      <c r="A329">
        <v>323</v>
      </c>
      <c r="B329">
        <f>IFERROR(VLOOKUP(A329,Capacity!$A$3:$D$532,4,), "0")</f>
        <v>40.212385280000007</v>
      </c>
      <c r="C329" s="4">
        <f>IFERROR(VLOOKUP(A329,Capacity!$A$3:$F$532,6,), "0")</f>
        <v>0.4</v>
      </c>
      <c r="D329">
        <v>521</v>
      </c>
      <c r="E329">
        <f>IFERROR(VLOOKUP(D329,Capacity!$A$3:$D$532,4,), "0")</f>
        <v>13.950634639374998</v>
      </c>
      <c r="F329" s="4">
        <f>IFERROR(VLOOKUP(D329,Capacity!$A$3:$F$532,6,), "0")</f>
        <v>0.17499999999999999</v>
      </c>
      <c r="G329">
        <v>503</v>
      </c>
      <c r="H329">
        <f>IFERROR(VLOOKUP(G329,Capacity!$A$3:$D$532,4,), "0")</f>
        <v>14.431691006249999</v>
      </c>
      <c r="I329" s="4">
        <f>IFERROR(VLOOKUP(G329,Capacity!$A$3:$F$532,6,), "0")</f>
        <v>0.17499999999999999</v>
      </c>
      <c r="J329">
        <v>324</v>
      </c>
      <c r="K329">
        <f>IFERROR(VLOOKUP(J329,Capacity!$A$3:$D$532,4,), "0")</f>
        <v>75.398222400000023</v>
      </c>
      <c r="L329" s="4">
        <f>IFERROR(VLOOKUP(J329,Capacity!$A$3:$F$532,6,), "0")</f>
        <v>0.4</v>
      </c>
      <c r="M329" s="5">
        <f t="shared" si="45"/>
        <v>103.78054804562501</v>
      </c>
      <c r="N329" s="5">
        <f t="shared" si="46"/>
        <v>0.75</v>
      </c>
      <c r="O329">
        <v>322</v>
      </c>
      <c r="P329">
        <f>IFERROR(VLOOKUP(O329,Capacity!$A$3:$D$532,4,), "0")</f>
        <v>75.398222400000023</v>
      </c>
      <c r="Q329" s="4">
        <f>IFERROR(VLOOKUP(O329,Capacity!$A$3:$F$532,6,), "0")</f>
        <v>0.4</v>
      </c>
      <c r="R329" s="5">
        <f t="shared" si="47"/>
        <v>75.398222400000023</v>
      </c>
      <c r="S329" s="5">
        <f t="shared" si="51"/>
        <v>0.4</v>
      </c>
      <c r="U329">
        <v>323</v>
      </c>
      <c r="V329">
        <v>3</v>
      </c>
      <c r="W329">
        <v>3</v>
      </c>
      <c r="X329">
        <v>1</v>
      </c>
      <c r="AB329">
        <f t="shared" si="48"/>
        <v>1.3764322916666665</v>
      </c>
      <c r="AC329">
        <f t="shared" si="49"/>
        <v>2.580810546875</v>
      </c>
      <c r="AD329">
        <f t="shared" si="50"/>
        <v>1.875</v>
      </c>
      <c r="AE329">
        <f t="shared" si="52"/>
        <v>1.875</v>
      </c>
      <c r="AG329">
        <f t="shared" si="53"/>
        <v>0.897673233695652</v>
      </c>
    </row>
    <row r="330" spans="1:33" x14ac:dyDescent="0.25">
      <c r="A330">
        <v>338</v>
      </c>
      <c r="B330">
        <f>IFERROR(VLOOKUP(A330,Capacity!$A$3:$D$532,4,), "0")</f>
        <v>5.0265481600000008</v>
      </c>
      <c r="C330" s="4">
        <f>IFERROR(VLOOKUP(A330,Capacity!$A$3:$F$532,6,), "0")</f>
        <v>0.2</v>
      </c>
      <c r="D330">
        <v>523</v>
      </c>
      <c r="E330">
        <f>IFERROR(VLOOKUP(D330,Capacity!$A$3:$D$532,4,), "0")</f>
        <v>376.99111199999999</v>
      </c>
      <c r="F330" s="4">
        <f>IFERROR(VLOOKUP(D330,Capacity!$A$3:$F$532,6,), "0")</f>
        <v>1</v>
      </c>
      <c r="H330" t="str">
        <f>IFERROR(VLOOKUP(G330,Capacity!$A$3:$D$532,4,), "0")</f>
        <v>0</v>
      </c>
      <c r="I330" s="4" t="str">
        <f>IFERROR(VLOOKUP(G330,Capacity!$A$3:$F$532,6,), "0")</f>
        <v>0</v>
      </c>
      <c r="K330" t="str">
        <f>IFERROR(VLOOKUP(J330,Capacity!$A$3:$D$532,4,), "0")</f>
        <v>0</v>
      </c>
      <c r="L330" s="4" t="str">
        <f>IFERROR(VLOOKUP(J330,Capacity!$A$3:$F$532,6,), "0")</f>
        <v>0</v>
      </c>
      <c r="M330" s="5">
        <f t="shared" si="45"/>
        <v>376.99111199999999</v>
      </c>
      <c r="N330" s="5">
        <f t="shared" si="46"/>
        <v>1</v>
      </c>
      <c r="O330">
        <v>340</v>
      </c>
      <c r="P330">
        <f>IFERROR(VLOOKUP(O330,Capacity!$A$3:$D$532,4,), "0")</f>
        <v>5.0265481600000008</v>
      </c>
      <c r="Q330" s="4">
        <f>IFERROR(VLOOKUP(O330,Capacity!$A$3:$F$532,6,), "0")</f>
        <v>0.2</v>
      </c>
      <c r="R330" s="5">
        <f t="shared" si="47"/>
        <v>5.0265481600000008</v>
      </c>
      <c r="S330" s="5">
        <f t="shared" si="51"/>
        <v>0.2</v>
      </c>
      <c r="U330">
        <v>338</v>
      </c>
      <c r="V330">
        <v>1</v>
      </c>
      <c r="W330">
        <v>1</v>
      </c>
      <c r="X330">
        <v>1</v>
      </c>
      <c r="AB330">
        <f t="shared" si="48"/>
        <v>74.999999999999986</v>
      </c>
      <c r="AC330">
        <f t="shared" si="49"/>
        <v>74.999999999999986</v>
      </c>
      <c r="AD330">
        <f t="shared" si="50"/>
        <v>5</v>
      </c>
      <c r="AE330">
        <f t="shared" si="52"/>
        <v>5</v>
      </c>
      <c r="AG330">
        <f t="shared" si="53"/>
        <v>37.499999999999993</v>
      </c>
    </row>
    <row r="331" spans="1:33" x14ac:dyDescent="0.25">
      <c r="A331">
        <v>314</v>
      </c>
      <c r="B331">
        <f>IFERROR(VLOOKUP(A331,Capacity!$A$3:$D$532,4,), "0")</f>
        <v>132.53593781250001</v>
      </c>
      <c r="C331" s="4">
        <f>IFERROR(VLOOKUP(A331,Capacity!$A$3:$F$532,6,), "0")</f>
        <v>0.75</v>
      </c>
      <c r="D331">
        <v>506</v>
      </c>
      <c r="E331">
        <f>IFERROR(VLOOKUP(D331,Capacity!$A$3:$D$532,4,), "0")</f>
        <v>14.431691006249999</v>
      </c>
      <c r="F331" s="4">
        <f>IFERROR(VLOOKUP(D331,Capacity!$A$3:$F$532,6,), "0")</f>
        <v>0.17499999999999999</v>
      </c>
      <c r="G331">
        <v>312</v>
      </c>
      <c r="H331">
        <f>IFERROR(VLOOKUP(G331,Capacity!$A$3:$D$532,4,), "0")</f>
        <v>132.53593781250001</v>
      </c>
      <c r="I331" s="4">
        <f>IFERROR(VLOOKUP(G331,Capacity!$A$3:$F$532,6,), "0")</f>
        <v>0.75</v>
      </c>
      <c r="J331">
        <v>258</v>
      </c>
      <c r="K331">
        <f>IFERROR(VLOOKUP(J331,Capacity!$A$3:$D$532,4,), "0")</f>
        <v>26.474200840200002</v>
      </c>
      <c r="L331" s="4">
        <f>IFERROR(VLOOKUP(J331,Capacity!$A$3:$F$532,6,), "0")</f>
        <v>0.26500000000000001</v>
      </c>
      <c r="M331" s="5">
        <f t="shared" si="45"/>
        <v>173.44182965895001</v>
      </c>
      <c r="N331" s="5">
        <f t="shared" si="46"/>
        <v>1.19</v>
      </c>
      <c r="O331">
        <v>315</v>
      </c>
      <c r="P331">
        <f>IFERROR(VLOOKUP(O331,Capacity!$A$3:$D$532,4,), "0")</f>
        <v>132.53593781250001</v>
      </c>
      <c r="Q331" s="4">
        <f>IFERROR(VLOOKUP(O331,Capacity!$A$3:$F$532,6,), "0")</f>
        <v>0.75</v>
      </c>
      <c r="R331" s="5">
        <f t="shared" si="47"/>
        <v>132.53593781250001</v>
      </c>
      <c r="S331" s="5">
        <f t="shared" si="51"/>
        <v>0.75</v>
      </c>
      <c r="U331">
        <v>314</v>
      </c>
      <c r="V331">
        <v>4</v>
      </c>
      <c r="W331">
        <v>4</v>
      </c>
      <c r="X331">
        <v>1</v>
      </c>
      <c r="AB331">
        <f t="shared" si="48"/>
        <v>1.30864</v>
      </c>
      <c r="AC331">
        <f t="shared" si="49"/>
        <v>1.30864</v>
      </c>
      <c r="AD331">
        <f t="shared" si="50"/>
        <v>1.5866666666666667</v>
      </c>
      <c r="AE331">
        <f t="shared" si="52"/>
        <v>1.5866666666666667</v>
      </c>
      <c r="AG331">
        <f t="shared" si="53"/>
        <v>0.65432000000000001</v>
      </c>
    </row>
    <row r="332" spans="1:33" x14ac:dyDescent="0.25">
      <c r="A332">
        <v>256</v>
      </c>
      <c r="B332">
        <f>IFERROR(VLOOKUP(A332,Capacity!$A$3:$D$532,4,), "0")</f>
        <v>11.545352804999998</v>
      </c>
      <c r="C332" s="4">
        <f>IFERROR(VLOOKUP(A332,Capacity!$A$3:$F$532,6,), "0")</f>
        <v>0.17499999999999999</v>
      </c>
      <c r="E332" t="str">
        <f>IFERROR(VLOOKUP(D332,Capacity!$A$3:$D$532,4,), "0")</f>
        <v>0</v>
      </c>
      <c r="F332" s="4" t="str">
        <f>IFERROR(VLOOKUP(D332,Capacity!$A$3:$F$532,6,), "0")</f>
        <v>0</v>
      </c>
      <c r="H332" t="str">
        <f>IFERROR(VLOOKUP(G332,Capacity!$A$3:$D$532,4,), "0")</f>
        <v>0</v>
      </c>
      <c r="I332" s="4" t="str">
        <f>IFERROR(VLOOKUP(G332,Capacity!$A$3:$F$532,6,), "0")</f>
        <v>0</v>
      </c>
      <c r="K332" t="str">
        <f>IFERROR(VLOOKUP(J332,Capacity!$A$3:$D$532,4,), "0")</f>
        <v>0</v>
      </c>
      <c r="L332" s="4" t="str">
        <f>IFERROR(VLOOKUP(J332,Capacity!$A$3:$F$532,6,), "0")</f>
        <v>0</v>
      </c>
      <c r="M332" s="5">
        <f t="shared" si="45"/>
        <v>0</v>
      </c>
      <c r="N332" s="5">
        <f t="shared" si="46"/>
        <v>0</v>
      </c>
      <c r="O332">
        <v>315</v>
      </c>
      <c r="P332">
        <f>IFERROR(VLOOKUP(O332,Capacity!$A$3:$D$532,4,), "0")</f>
        <v>132.53593781250001</v>
      </c>
      <c r="Q332" s="4">
        <f>IFERROR(VLOOKUP(O332,Capacity!$A$3:$F$532,6,), "0")</f>
        <v>0.75</v>
      </c>
      <c r="R332" s="5">
        <f t="shared" si="47"/>
        <v>132.53593781250001</v>
      </c>
      <c r="S332" s="5">
        <f t="shared" si="51"/>
        <v>0.75</v>
      </c>
      <c r="U332">
        <v>256</v>
      </c>
      <c r="V332">
        <v>0</v>
      </c>
      <c r="W332">
        <v>0</v>
      </c>
      <c r="X332">
        <v>1</v>
      </c>
      <c r="AB332">
        <f t="shared" si="48"/>
        <v>0</v>
      </c>
      <c r="AC332">
        <f t="shared" si="49"/>
        <v>0</v>
      </c>
      <c r="AD332">
        <f t="shared" si="50"/>
        <v>0</v>
      </c>
      <c r="AE332">
        <f t="shared" si="52"/>
        <v>0</v>
      </c>
      <c r="AG332">
        <f t="shared" si="53"/>
        <v>0</v>
      </c>
    </row>
    <row r="333" spans="1:33" x14ac:dyDescent="0.25">
      <c r="A333">
        <v>520</v>
      </c>
      <c r="B333">
        <f>IFERROR(VLOOKUP(A333,Capacity!$A$3:$D$532,4,), "0")</f>
        <v>22.128592876249996</v>
      </c>
      <c r="C333" s="4">
        <f>IFERROR(VLOOKUP(A333,Capacity!$A$3:$F$532,6,), "0")</f>
        <v>0.17499999999999999</v>
      </c>
      <c r="E333" t="str">
        <f>IFERROR(VLOOKUP(D333,Capacity!$A$3:$D$532,4,), "0")</f>
        <v>0</v>
      </c>
      <c r="F333" s="4" t="str">
        <f>IFERROR(VLOOKUP(D333,Capacity!$A$3:$F$532,6,), "0")</f>
        <v>0</v>
      </c>
      <c r="H333" t="str">
        <f>IFERROR(VLOOKUP(G333,Capacity!$A$3:$D$532,4,), "0")</f>
        <v>0</v>
      </c>
      <c r="I333" s="4" t="str">
        <f>IFERROR(VLOOKUP(G333,Capacity!$A$3:$F$532,6,), "0")</f>
        <v>0</v>
      </c>
      <c r="K333" t="str">
        <f>IFERROR(VLOOKUP(J333,Capacity!$A$3:$D$532,4,), "0")</f>
        <v>0</v>
      </c>
      <c r="L333" s="4" t="str">
        <f>IFERROR(VLOOKUP(J333,Capacity!$A$3:$F$532,6,), "0")</f>
        <v>0</v>
      </c>
      <c r="M333" s="5">
        <f t="shared" si="45"/>
        <v>0</v>
      </c>
      <c r="N333" s="5">
        <f t="shared" si="46"/>
        <v>0</v>
      </c>
      <c r="O333">
        <v>38</v>
      </c>
      <c r="P333">
        <f>IFERROR(VLOOKUP(O333,Capacity!$A$3:$D$532,4,), "0")</f>
        <v>17.649467226800002</v>
      </c>
      <c r="Q333" s="4">
        <f>IFERROR(VLOOKUP(O333,Capacity!$A$3:$F$532,6,), "0")</f>
        <v>0.26500000000000001</v>
      </c>
      <c r="R333" s="5">
        <f t="shared" si="47"/>
        <v>17.649467226800002</v>
      </c>
      <c r="S333" s="5">
        <f t="shared" si="51"/>
        <v>0.26500000000000001</v>
      </c>
      <c r="U333">
        <v>520</v>
      </c>
      <c r="V333">
        <v>0</v>
      </c>
      <c r="W333">
        <v>0</v>
      </c>
      <c r="X333">
        <v>1</v>
      </c>
      <c r="AB333">
        <f t="shared" si="48"/>
        <v>0</v>
      </c>
      <c r="AC333">
        <f t="shared" si="49"/>
        <v>0</v>
      </c>
      <c r="AD333">
        <f t="shared" si="50"/>
        <v>0</v>
      </c>
      <c r="AE333">
        <f t="shared" si="52"/>
        <v>0</v>
      </c>
      <c r="AG333">
        <f t="shared" si="53"/>
        <v>0</v>
      </c>
    </row>
    <row r="334" spans="1:33" x14ac:dyDescent="0.25">
      <c r="A334">
        <v>401</v>
      </c>
      <c r="B334">
        <f>IFERROR(VLOOKUP(A334,Capacity!$A$3:$D$532,4,), "0")</f>
        <v>21.647536509374998</v>
      </c>
      <c r="C334" s="4">
        <f>IFERROR(VLOOKUP(A334,Capacity!$A$3:$F$532,6,), "0")</f>
        <v>0.17499999999999999</v>
      </c>
      <c r="E334" t="str">
        <f>IFERROR(VLOOKUP(D334,Capacity!$A$3:$D$532,4,), "0")</f>
        <v>0</v>
      </c>
      <c r="F334" s="4" t="str">
        <f>IFERROR(VLOOKUP(D334,Capacity!$A$3:$F$532,6,), "0")</f>
        <v>0</v>
      </c>
      <c r="H334" t="str">
        <f>IFERROR(VLOOKUP(G334,Capacity!$A$3:$D$532,4,), "0")</f>
        <v>0</v>
      </c>
      <c r="I334" s="4" t="str">
        <f>IFERROR(VLOOKUP(G334,Capacity!$A$3:$F$532,6,), "0")</f>
        <v>0</v>
      </c>
      <c r="K334" t="str">
        <f>IFERROR(VLOOKUP(J334,Capacity!$A$3:$D$532,4,), "0")</f>
        <v>0</v>
      </c>
      <c r="L334" s="4" t="str">
        <f>IFERROR(VLOOKUP(J334,Capacity!$A$3:$F$532,6,), "0")</f>
        <v>0</v>
      </c>
      <c r="M334" s="5">
        <f t="shared" si="45"/>
        <v>0</v>
      </c>
      <c r="N334" s="5">
        <f t="shared" si="46"/>
        <v>0</v>
      </c>
      <c r="O334">
        <v>38</v>
      </c>
      <c r="P334">
        <f>IFERROR(VLOOKUP(O334,Capacity!$A$3:$D$532,4,), "0")</f>
        <v>17.649467226800002</v>
      </c>
      <c r="Q334" s="4">
        <f>IFERROR(VLOOKUP(O334,Capacity!$A$3:$F$532,6,), "0")</f>
        <v>0.26500000000000001</v>
      </c>
      <c r="R334" s="5">
        <f t="shared" si="47"/>
        <v>17.649467226800002</v>
      </c>
      <c r="S334" s="5">
        <f t="shared" si="51"/>
        <v>0.26500000000000001</v>
      </c>
      <c r="U334">
        <v>401</v>
      </c>
      <c r="V334">
        <v>0</v>
      </c>
      <c r="W334">
        <v>0</v>
      </c>
      <c r="X334">
        <v>1</v>
      </c>
      <c r="AB334">
        <f t="shared" si="48"/>
        <v>0</v>
      </c>
      <c r="AC334">
        <f t="shared" si="49"/>
        <v>0</v>
      </c>
      <c r="AD334">
        <f t="shared" si="50"/>
        <v>0</v>
      </c>
      <c r="AE334">
        <f t="shared" si="52"/>
        <v>0</v>
      </c>
      <c r="AG334">
        <f t="shared" si="53"/>
        <v>0</v>
      </c>
    </row>
    <row r="335" spans="1:33" x14ac:dyDescent="0.25">
      <c r="A335">
        <v>37</v>
      </c>
      <c r="B335">
        <f>IFERROR(VLOOKUP(A335,Capacity!$A$3:$D$532,4,), "0")</f>
        <v>17.649467226800002</v>
      </c>
      <c r="C335" s="4">
        <f>IFERROR(VLOOKUP(A335,Capacity!$A$3:$F$532,6,), "0")</f>
        <v>0.26500000000000001</v>
      </c>
      <c r="D335">
        <v>518</v>
      </c>
      <c r="E335">
        <f>IFERROR(VLOOKUP(D335,Capacity!$A$3:$D$532,4,), "0")</f>
        <v>22.128592876249996</v>
      </c>
      <c r="F335" s="4">
        <f>IFERROR(VLOOKUP(D335,Capacity!$A$3:$F$532,6,), "0")</f>
        <v>0.17499999999999999</v>
      </c>
      <c r="G335">
        <v>399</v>
      </c>
      <c r="H335">
        <f>IFERROR(VLOOKUP(G335,Capacity!$A$3:$D$532,4,), "0")</f>
        <v>21.647536509374998</v>
      </c>
      <c r="I335" s="4">
        <f>IFERROR(VLOOKUP(G335,Capacity!$A$3:$F$532,6,), "0")</f>
        <v>0.17499999999999999</v>
      </c>
      <c r="J335">
        <v>36</v>
      </c>
      <c r="K335">
        <f>IFERROR(VLOOKUP(J335,Capacity!$A$3:$D$532,4,), "0")</f>
        <v>17.649467226800002</v>
      </c>
      <c r="L335" s="4">
        <f>IFERROR(VLOOKUP(J335,Capacity!$A$3:$F$532,6,), "0")</f>
        <v>0.26500000000000001</v>
      </c>
      <c r="M335" s="5">
        <f t="shared" si="45"/>
        <v>61.425596612424997</v>
      </c>
      <c r="N335" s="5">
        <f t="shared" si="46"/>
        <v>0.61499999999999999</v>
      </c>
      <c r="O335">
        <v>38</v>
      </c>
      <c r="P335">
        <f>IFERROR(VLOOKUP(O335,Capacity!$A$3:$D$532,4,), "0")</f>
        <v>17.649467226800002</v>
      </c>
      <c r="Q335" s="4">
        <f>IFERROR(VLOOKUP(O335,Capacity!$A$3:$F$532,6,), "0")</f>
        <v>0.26500000000000001</v>
      </c>
      <c r="R335" s="5">
        <f t="shared" si="47"/>
        <v>17.649467226800002</v>
      </c>
      <c r="S335" s="5">
        <f t="shared" si="51"/>
        <v>0.26500000000000001</v>
      </c>
      <c r="U335">
        <v>37</v>
      </c>
      <c r="V335">
        <v>4</v>
      </c>
      <c r="W335">
        <v>4</v>
      </c>
      <c r="X335">
        <v>1</v>
      </c>
      <c r="AB335">
        <f t="shared" si="48"/>
        <v>3.4803088287646844</v>
      </c>
      <c r="AC335">
        <f t="shared" si="49"/>
        <v>3.4803088287646844</v>
      </c>
      <c r="AD335">
        <f t="shared" si="50"/>
        <v>2.3207547169811318</v>
      </c>
      <c r="AE335">
        <f t="shared" si="52"/>
        <v>2.3207547169811318</v>
      </c>
      <c r="AG335">
        <f t="shared" si="53"/>
        <v>1.7401544143823422</v>
      </c>
    </row>
    <row r="336" spans="1:33" x14ac:dyDescent="0.25">
      <c r="A336">
        <v>336</v>
      </c>
      <c r="B336">
        <f>IFERROR(VLOOKUP(A336,Capacity!$A$3:$D$532,4,), "0")</f>
        <v>22.619466719999998</v>
      </c>
      <c r="C336" s="4">
        <f>IFERROR(VLOOKUP(A336,Capacity!$A$3:$F$532,6,), "0")</f>
        <v>0.3</v>
      </c>
      <c r="D336">
        <v>335</v>
      </c>
      <c r="E336">
        <f>IFERROR(VLOOKUP(D336,Capacity!$A$3:$D$532,4,), "0")</f>
        <v>5.0265481600000008</v>
      </c>
      <c r="F336" s="4">
        <f>IFERROR(VLOOKUP(D336,Capacity!$A$3:$F$532,6,), "0")</f>
        <v>0.2</v>
      </c>
      <c r="H336" t="str">
        <f>IFERROR(VLOOKUP(G336,Capacity!$A$3:$D$532,4,), "0")</f>
        <v>0</v>
      </c>
      <c r="I336" s="4" t="str">
        <f>IFERROR(VLOOKUP(G336,Capacity!$A$3:$F$532,6,), "0")</f>
        <v>0</v>
      </c>
      <c r="K336" t="str">
        <f>IFERROR(VLOOKUP(J336,Capacity!$A$3:$D$532,4,), "0")</f>
        <v>0</v>
      </c>
      <c r="L336" s="4" t="str">
        <f>IFERROR(VLOOKUP(J336,Capacity!$A$3:$F$532,6,), "0")</f>
        <v>0</v>
      </c>
      <c r="M336" s="5">
        <f t="shared" si="45"/>
        <v>5.0265481600000008</v>
      </c>
      <c r="N336" s="5">
        <f t="shared" si="46"/>
        <v>0.2</v>
      </c>
      <c r="O336">
        <v>337</v>
      </c>
      <c r="P336">
        <f>IFERROR(VLOOKUP(O336,Capacity!$A$3:$D$532,4,), "0")</f>
        <v>115.61060768000002</v>
      </c>
      <c r="Q336" s="4">
        <f>IFERROR(VLOOKUP(O336,Capacity!$A$3:$F$532,6,), "0")</f>
        <v>0.4</v>
      </c>
      <c r="R336" s="5">
        <f t="shared" si="47"/>
        <v>115.61060768000002</v>
      </c>
      <c r="S336" s="5">
        <f t="shared" si="51"/>
        <v>0.4</v>
      </c>
      <c r="U336">
        <v>336</v>
      </c>
      <c r="V336">
        <v>2</v>
      </c>
      <c r="W336">
        <v>2</v>
      </c>
      <c r="X336">
        <v>1</v>
      </c>
      <c r="AB336">
        <f t="shared" si="48"/>
        <v>4.3478260869565216E-2</v>
      </c>
      <c r="AC336">
        <f t="shared" si="49"/>
        <v>0.22222222222222227</v>
      </c>
      <c r="AD336">
        <f t="shared" si="50"/>
        <v>0.5</v>
      </c>
      <c r="AE336">
        <f t="shared" si="52"/>
        <v>0.66666666666666674</v>
      </c>
      <c r="AG336">
        <f t="shared" si="53"/>
        <v>3.6363636363636369E-2</v>
      </c>
    </row>
    <row r="337" spans="1:33" x14ac:dyDescent="0.25">
      <c r="A337">
        <v>75</v>
      </c>
      <c r="B337">
        <f>IFERROR(VLOOKUP(A337,Capacity!$A$3:$D$532,4,), "0")</f>
        <v>90.477866879999993</v>
      </c>
      <c r="C337" s="4">
        <f>IFERROR(VLOOKUP(A337,Capacity!$A$3:$F$532,6,), "0")</f>
        <v>0.6</v>
      </c>
      <c r="D337">
        <v>74</v>
      </c>
      <c r="E337">
        <f>IFERROR(VLOOKUP(D337,Capacity!$A$3:$D$532,4,), "0")</f>
        <v>90.477866879999993</v>
      </c>
      <c r="F337" s="4">
        <f>IFERROR(VLOOKUP(D337,Capacity!$A$3:$F$532,6,), "0")</f>
        <v>0.6</v>
      </c>
      <c r="H337" t="str">
        <f>IFERROR(VLOOKUP(G337,Capacity!$A$3:$D$532,4,), "0")</f>
        <v>0</v>
      </c>
      <c r="I337" s="4" t="str">
        <f>IFERROR(VLOOKUP(G337,Capacity!$A$3:$F$532,6,), "0")</f>
        <v>0</v>
      </c>
      <c r="K337" t="str">
        <f>IFERROR(VLOOKUP(J337,Capacity!$A$3:$D$532,4,), "0")</f>
        <v>0</v>
      </c>
      <c r="L337" s="4" t="str">
        <f>IFERROR(VLOOKUP(J337,Capacity!$A$3:$F$532,6,), "0")</f>
        <v>0</v>
      </c>
      <c r="M337" s="5">
        <f t="shared" si="45"/>
        <v>90.477866879999993</v>
      </c>
      <c r="N337" s="5">
        <f t="shared" si="46"/>
        <v>0.6</v>
      </c>
      <c r="O337">
        <v>76</v>
      </c>
      <c r="P337">
        <f>IFERROR(VLOOKUP(O337,Capacity!$A$3:$D$532,4,), "0")</f>
        <v>90.477866879999993</v>
      </c>
      <c r="Q337" s="4">
        <f>IFERROR(VLOOKUP(O337,Capacity!$A$3:$F$532,6,), "0")</f>
        <v>0.6</v>
      </c>
      <c r="R337" s="5">
        <f t="shared" si="47"/>
        <v>90.477866879999993</v>
      </c>
      <c r="S337" s="5">
        <f t="shared" si="51"/>
        <v>0.6</v>
      </c>
      <c r="U337">
        <v>75</v>
      </c>
      <c r="V337">
        <v>1</v>
      </c>
      <c r="W337">
        <v>1</v>
      </c>
      <c r="X337">
        <v>1</v>
      </c>
      <c r="AB337">
        <f t="shared" si="48"/>
        <v>1</v>
      </c>
      <c r="AC337">
        <f t="shared" si="49"/>
        <v>1</v>
      </c>
      <c r="AD337">
        <f t="shared" si="50"/>
        <v>1</v>
      </c>
      <c r="AE337">
        <f t="shared" si="52"/>
        <v>1</v>
      </c>
      <c r="AG337">
        <f t="shared" si="53"/>
        <v>0.5</v>
      </c>
    </row>
    <row r="338" spans="1:33" x14ac:dyDescent="0.25">
      <c r="A338">
        <v>398</v>
      </c>
      <c r="B338">
        <f>IFERROR(VLOOKUP(A338,Capacity!$A$3:$D$532,4,), "0")</f>
        <v>21.166480142499999</v>
      </c>
      <c r="C338" s="4">
        <f>IFERROR(VLOOKUP(A338,Capacity!$A$3:$F$532,6,), "0")</f>
        <v>0.17499999999999999</v>
      </c>
      <c r="E338" t="str">
        <f>IFERROR(VLOOKUP(D338,Capacity!$A$3:$D$532,4,), "0")</f>
        <v>0</v>
      </c>
      <c r="F338" s="4" t="str">
        <f>IFERROR(VLOOKUP(D338,Capacity!$A$3:$F$532,6,), "0")</f>
        <v>0</v>
      </c>
      <c r="H338" t="str">
        <f>IFERROR(VLOOKUP(G338,Capacity!$A$3:$D$532,4,), "0")</f>
        <v>0</v>
      </c>
      <c r="I338" s="4" t="str">
        <f>IFERROR(VLOOKUP(G338,Capacity!$A$3:$F$532,6,), "0")</f>
        <v>0</v>
      </c>
      <c r="K338" t="str">
        <f>IFERROR(VLOOKUP(J338,Capacity!$A$3:$D$532,4,), "0")</f>
        <v>0</v>
      </c>
      <c r="L338" s="4" t="str">
        <f>IFERROR(VLOOKUP(J338,Capacity!$A$3:$F$532,6,), "0")</f>
        <v>0</v>
      </c>
      <c r="M338" s="5">
        <f t="shared" si="45"/>
        <v>0</v>
      </c>
      <c r="N338" s="5">
        <f t="shared" si="46"/>
        <v>0</v>
      </c>
      <c r="O338">
        <v>198</v>
      </c>
      <c r="P338">
        <f>IFERROR(VLOOKUP(O338,Capacity!$A$3:$D$532,4,), "0")</f>
        <v>17.649467226800002</v>
      </c>
      <c r="Q338" s="4">
        <f>IFERROR(VLOOKUP(O338,Capacity!$A$3:$F$532,6,), "0")</f>
        <v>0.26500000000000001</v>
      </c>
      <c r="R338" s="5">
        <f t="shared" si="47"/>
        <v>17.649467226800002</v>
      </c>
      <c r="S338" s="5">
        <f t="shared" si="51"/>
        <v>0.26500000000000001</v>
      </c>
      <c r="U338">
        <v>398</v>
      </c>
      <c r="V338">
        <v>0</v>
      </c>
      <c r="W338">
        <v>0</v>
      </c>
      <c r="X338">
        <v>1</v>
      </c>
      <c r="AB338">
        <f t="shared" si="48"/>
        <v>0</v>
      </c>
      <c r="AC338">
        <f t="shared" si="49"/>
        <v>0</v>
      </c>
      <c r="AD338">
        <f t="shared" si="50"/>
        <v>0</v>
      </c>
      <c r="AE338">
        <f t="shared" si="52"/>
        <v>0</v>
      </c>
      <c r="AG338">
        <f t="shared" si="53"/>
        <v>0</v>
      </c>
    </row>
    <row r="339" spans="1:33" x14ac:dyDescent="0.25">
      <c r="A339">
        <v>199</v>
      </c>
      <c r="B339">
        <f>IFERROR(VLOOKUP(A339,Capacity!$A$3:$D$532,4,), "0")</f>
        <v>17.649467226800002</v>
      </c>
      <c r="C339" s="4">
        <f>IFERROR(VLOOKUP(A339,Capacity!$A$3:$F$532,6,), "0")</f>
        <v>0.26500000000000001</v>
      </c>
      <c r="D339">
        <v>396</v>
      </c>
      <c r="E339">
        <f>IFERROR(VLOOKUP(D339,Capacity!$A$3:$D$532,4,), "0")</f>
        <v>21.166480142499999</v>
      </c>
      <c r="F339" s="4">
        <f>IFERROR(VLOOKUP(D339,Capacity!$A$3:$F$532,6,), "0")</f>
        <v>0.17499999999999999</v>
      </c>
      <c r="G339">
        <v>222</v>
      </c>
      <c r="H339">
        <f>IFERROR(VLOOKUP(G339,Capacity!$A$3:$D$532,4,), "0")</f>
        <v>17.649467226800002</v>
      </c>
      <c r="I339" s="4">
        <f>IFERROR(VLOOKUP(G339,Capacity!$A$3:$F$532,6,), "0")</f>
        <v>0.26500000000000001</v>
      </c>
      <c r="K339" t="str">
        <f>IFERROR(VLOOKUP(J339,Capacity!$A$3:$D$532,4,), "0")</f>
        <v>0</v>
      </c>
      <c r="L339" s="4" t="str">
        <f>IFERROR(VLOOKUP(J339,Capacity!$A$3:$F$532,6,), "0")</f>
        <v>0</v>
      </c>
      <c r="M339" s="5">
        <f t="shared" si="45"/>
        <v>38.815947369300005</v>
      </c>
      <c r="N339" s="5">
        <f t="shared" si="46"/>
        <v>0.44</v>
      </c>
      <c r="O339">
        <v>198</v>
      </c>
      <c r="P339">
        <f>IFERROR(VLOOKUP(O339,Capacity!$A$3:$D$532,4,), "0")</f>
        <v>17.649467226800002</v>
      </c>
      <c r="Q339" s="4">
        <f>IFERROR(VLOOKUP(O339,Capacity!$A$3:$F$532,6,), "0")</f>
        <v>0.26500000000000001</v>
      </c>
      <c r="R339" s="5">
        <f t="shared" si="47"/>
        <v>17.649467226800002</v>
      </c>
      <c r="S339" s="5">
        <f t="shared" si="51"/>
        <v>0.26500000000000001</v>
      </c>
      <c r="U339">
        <v>199</v>
      </c>
      <c r="V339">
        <v>3</v>
      </c>
      <c r="W339">
        <v>3</v>
      </c>
      <c r="X339">
        <v>1</v>
      </c>
      <c r="AB339">
        <f t="shared" si="48"/>
        <v>2.1992702029191884</v>
      </c>
      <c r="AC339">
        <f t="shared" si="49"/>
        <v>2.1992702029191884</v>
      </c>
      <c r="AD339">
        <f t="shared" si="50"/>
        <v>1.6603773584905659</v>
      </c>
      <c r="AE339">
        <f t="shared" si="52"/>
        <v>1.6603773584905659</v>
      </c>
      <c r="AG339">
        <f t="shared" si="53"/>
        <v>1.0996351014595942</v>
      </c>
    </row>
    <row r="340" spans="1:33" x14ac:dyDescent="0.25">
      <c r="A340">
        <v>229</v>
      </c>
      <c r="B340">
        <f>IFERROR(VLOOKUP(A340,Capacity!$A$3:$D$532,4,), "0")</f>
        <v>47.432943172025006</v>
      </c>
      <c r="C340" s="4">
        <f>IFERROR(VLOOKUP(A340,Capacity!$A$3:$F$532,6,), "0")</f>
        <v>0.26500000000000001</v>
      </c>
      <c r="D340">
        <v>228</v>
      </c>
      <c r="E340">
        <f>IFERROR(VLOOKUP(D340,Capacity!$A$3:$D$532,4,), "0")</f>
        <v>16.836972840624998</v>
      </c>
      <c r="F340" s="4">
        <f>IFERROR(VLOOKUP(D340,Capacity!$A$3:$F$532,6,), "0")</f>
        <v>0.17499999999999999</v>
      </c>
      <c r="H340" t="str">
        <f>IFERROR(VLOOKUP(G340,Capacity!$A$3:$D$532,4,), "0")</f>
        <v>0</v>
      </c>
      <c r="I340" s="4" t="str">
        <f>IFERROR(VLOOKUP(G340,Capacity!$A$3:$F$532,6,), "0")</f>
        <v>0</v>
      </c>
      <c r="K340" t="str">
        <f>IFERROR(VLOOKUP(J340,Capacity!$A$3:$D$532,4,), "0")</f>
        <v>0</v>
      </c>
      <c r="L340" s="4" t="str">
        <f>IFERROR(VLOOKUP(J340,Capacity!$A$3:$F$532,6,), "0")</f>
        <v>0</v>
      </c>
      <c r="M340" s="5">
        <f t="shared" si="45"/>
        <v>16.836972840624998</v>
      </c>
      <c r="N340" s="5">
        <f t="shared" si="46"/>
        <v>0.17499999999999999</v>
      </c>
      <c r="O340">
        <v>220</v>
      </c>
      <c r="P340">
        <f>IFERROR(VLOOKUP(O340,Capacity!$A$3:$D$532,4,), "0")</f>
        <v>52.778755680000017</v>
      </c>
      <c r="Q340" s="4">
        <f>IFERROR(VLOOKUP(O340,Capacity!$A$3:$F$532,6,), "0")</f>
        <v>0.4</v>
      </c>
      <c r="R340" s="5">
        <f t="shared" si="47"/>
        <v>52.778755680000017</v>
      </c>
      <c r="S340" s="5">
        <f t="shared" si="51"/>
        <v>0.4</v>
      </c>
      <c r="U340">
        <v>229</v>
      </c>
      <c r="V340">
        <v>1</v>
      </c>
      <c r="W340">
        <v>1</v>
      </c>
      <c r="X340">
        <v>1</v>
      </c>
      <c r="AB340">
        <f t="shared" si="48"/>
        <v>0.31901041666666652</v>
      </c>
      <c r="AC340">
        <f t="shared" si="49"/>
        <v>0.35496369642428399</v>
      </c>
      <c r="AD340">
        <f t="shared" si="50"/>
        <v>0.43749999999999994</v>
      </c>
      <c r="AE340">
        <f t="shared" si="52"/>
        <v>0.660377358490566</v>
      </c>
      <c r="AG340">
        <f t="shared" si="53"/>
        <v>0.16801404460258551</v>
      </c>
    </row>
    <row r="341" spans="1:33" x14ac:dyDescent="0.25">
      <c r="A341">
        <v>221</v>
      </c>
      <c r="B341">
        <f>IFERROR(VLOOKUP(A341,Capacity!$A$3:$D$532,4,), "0")</f>
        <v>20.204367408749999</v>
      </c>
      <c r="C341" s="4">
        <f>IFERROR(VLOOKUP(A341,Capacity!$A$3:$F$532,6,), "0")</f>
        <v>0.17499999999999999</v>
      </c>
      <c r="E341" t="str">
        <f>IFERROR(VLOOKUP(D341,Capacity!$A$3:$D$532,4,), "0")</f>
        <v>0</v>
      </c>
      <c r="F341" s="4" t="str">
        <f>IFERROR(VLOOKUP(D341,Capacity!$A$3:$F$532,6,), "0")</f>
        <v>0</v>
      </c>
      <c r="H341" t="str">
        <f>IFERROR(VLOOKUP(G341,Capacity!$A$3:$D$532,4,), "0")</f>
        <v>0</v>
      </c>
      <c r="I341" s="4" t="str">
        <f>IFERROR(VLOOKUP(G341,Capacity!$A$3:$F$532,6,), "0")</f>
        <v>0</v>
      </c>
      <c r="K341" t="str">
        <f>IFERROR(VLOOKUP(J341,Capacity!$A$3:$D$532,4,), "0")</f>
        <v>0</v>
      </c>
      <c r="L341" s="4" t="str">
        <f>IFERROR(VLOOKUP(J341,Capacity!$A$3:$F$532,6,), "0")</f>
        <v>0</v>
      </c>
      <c r="M341" s="5">
        <f t="shared" si="45"/>
        <v>0</v>
      </c>
      <c r="N341" s="5">
        <f t="shared" si="46"/>
        <v>0</v>
      </c>
      <c r="O341">
        <v>220</v>
      </c>
      <c r="P341">
        <f>IFERROR(VLOOKUP(O341,Capacity!$A$3:$D$532,4,), "0")</f>
        <v>52.778755680000017</v>
      </c>
      <c r="Q341" s="4">
        <f>IFERROR(VLOOKUP(O341,Capacity!$A$3:$F$532,6,), "0")</f>
        <v>0.4</v>
      </c>
      <c r="R341" s="5">
        <f t="shared" si="47"/>
        <v>52.778755680000017</v>
      </c>
      <c r="S341" s="5">
        <f t="shared" si="51"/>
        <v>0.4</v>
      </c>
      <c r="U341">
        <v>221</v>
      </c>
      <c r="V341">
        <v>1</v>
      </c>
      <c r="W341">
        <v>1</v>
      </c>
      <c r="X341">
        <v>1</v>
      </c>
      <c r="AB341">
        <f t="shared" si="48"/>
        <v>0</v>
      </c>
      <c r="AC341">
        <f t="shared" si="49"/>
        <v>0</v>
      </c>
      <c r="AD341">
        <f t="shared" si="50"/>
        <v>0</v>
      </c>
      <c r="AE341">
        <f t="shared" si="52"/>
        <v>0</v>
      </c>
      <c r="AG341">
        <f t="shared" si="53"/>
        <v>0</v>
      </c>
    </row>
    <row r="342" spans="1:33" x14ac:dyDescent="0.25">
      <c r="A342">
        <v>238</v>
      </c>
      <c r="B342">
        <f>IFERROR(VLOOKUP(A342,Capacity!$A$3:$D$532,4,), "0")</f>
        <v>11.545352804999998</v>
      </c>
      <c r="C342" s="4">
        <f>IFERROR(VLOOKUP(A342,Capacity!$A$3:$F$532,6,), "0")</f>
        <v>0.17499999999999999</v>
      </c>
      <c r="E342" t="str">
        <f>IFERROR(VLOOKUP(D342,Capacity!$A$3:$D$532,4,), "0")</f>
        <v>0</v>
      </c>
      <c r="F342" s="4" t="str">
        <f>IFERROR(VLOOKUP(D342,Capacity!$A$3:$F$532,6,), "0")</f>
        <v>0</v>
      </c>
      <c r="H342" t="str">
        <f>IFERROR(VLOOKUP(G342,Capacity!$A$3:$D$532,4,), "0")</f>
        <v>0</v>
      </c>
      <c r="I342" s="4" t="str">
        <f>IFERROR(VLOOKUP(G342,Capacity!$A$3:$F$532,6,), "0")</f>
        <v>0</v>
      </c>
      <c r="K342" t="str">
        <f>IFERROR(VLOOKUP(J342,Capacity!$A$3:$D$532,4,), "0")</f>
        <v>0</v>
      </c>
      <c r="L342" s="4" t="str">
        <f>IFERROR(VLOOKUP(J342,Capacity!$A$3:$F$532,6,), "0")</f>
        <v>0</v>
      </c>
      <c r="M342" s="5">
        <f t="shared" si="45"/>
        <v>0</v>
      </c>
      <c r="N342" s="5">
        <f t="shared" si="46"/>
        <v>0</v>
      </c>
      <c r="O342">
        <v>10</v>
      </c>
      <c r="P342">
        <f>IFERROR(VLOOKUP(O342,Capacity!$A$3:$D$532,4,), "0")</f>
        <v>7.2158455031249993</v>
      </c>
      <c r="Q342" s="4">
        <f>IFERROR(VLOOKUP(O342,Capacity!$A$3:$F$532,6,), "0")</f>
        <v>0.17499999999999999</v>
      </c>
      <c r="R342" s="5">
        <f t="shared" si="47"/>
        <v>7.2158455031249993</v>
      </c>
      <c r="S342" s="5">
        <f t="shared" si="51"/>
        <v>0.17499999999999999</v>
      </c>
      <c r="U342">
        <v>238</v>
      </c>
      <c r="V342">
        <v>0</v>
      </c>
      <c r="W342">
        <v>0</v>
      </c>
      <c r="X342">
        <v>1</v>
      </c>
      <c r="AB342">
        <f t="shared" si="48"/>
        <v>0</v>
      </c>
      <c r="AC342">
        <f t="shared" si="49"/>
        <v>0</v>
      </c>
      <c r="AD342">
        <f t="shared" si="50"/>
        <v>0</v>
      </c>
      <c r="AE342">
        <f t="shared" si="52"/>
        <v>0</v>
      </c>
      <c r="AG342">
        <f t="shared" si="53"/>
        <v>0</v>
      </c>
    </row>
    <row r="343" spans="1:33" x14ac:dyDescent="0.25">
      <c r="A343">
        <v>354</v>
      </c>
      <c r="B343">
        <f>IFERROR(VLOOKUP(A343,Capacity!$A$3:$D$532,4,), "0")</f>
        <v>8.1779582368749981</v>
      </c>
      <c r="C343" s="4">
        <f>IFERROR(VLOOKUP(A343,Capacity!$A$3:$F$532,6,), "0")</f>
        <v>0.17499999999999999</v>
      </c>
      <c r="E343" t="str">
        <f>IFERROR(VLOOKUP(D343,Capacity!$A$3:$D$532,4,), "0")</f>
        <v>0</v>
      </c>
      <c r="F343" s="4" t="str">
        <f>IFERROR(VLOOKUP(D343,Capacity!$A$3:$F$532,6,), "0")</f>
        <v>0</v>
      </c>
      <c r="H343" t="str">
        <f>IFERROR(VLOOKUP(G343,Capacity!$A$3:$D$532,4,), "0")</f>
        <v>0</v>
      </c>
      <c r="I343" s="4" t="str">
        <f>IFERROR(VLOOKUP(G343,Capacity!$A$3:$F$532,6,), "0")</f>
        <v>0</v>
      </c>
      <c r="K343" t="str">
        <f>IFERROR(VLOOKUP(J343,Capacity!$A$3:$D$532,4,), "0")</f>
        <v>0</v>
      </c>
      <c r="L343" s="4" t="str">
        <f>IFERROR(VLOOKUP(J343,Capacity!$A$3:$F$532,6,), "0")</f>
        <v>0</v>
      </c>
      <c r="M343" s="5">
        <f t="shared" si="45"/>
        <v>0</v>
      </c>
      <c r="N343" s="5">
        <f t="shared" si="46"/>
        <v>0</v>
      </c>
      <c r="O343">
        <v>11</v>
      </c>
      <c r="P343">
        <f>IFERROR(VLOOKUP(O343,Capacity!$A$3:$D$532,4,), "0")</f>
        <v>12.507465538749999</v>
      </c>
      <c r="Q343" s="4">
        <f>IFERROR(VLOOKUP(O343,Capacity!$A$3:$F$532,6,), "0")</f>
        <v>0.17499999999999999</v>
      </c>
      <c r="R343" s="5">
        <f t="shared" si="47"/>
        <v>12.507465538749999</v>
      </c>
      <c r="S343" s="5">
        <f t="shared" si="51"/>
        <v>0.17499999999999999</v>
      </c>
      <c r="U343">
        <v>354</v>
      </c>
      <c r="V343">
        <v>0</v>
      </c>
      <c r="W343">
        <v>0</v>
      </c>
      <c r="X343">
        <v>1</v>
      </c>
      <c r="AB343">
        <f t="shared" si="48"/>
        <v>0</v>
      </c>
      <c r="AC343">
        <f t="shared" si="49"/>
        <v>0</v>
      </c>
      <c r="AD343">
        <f t="shared" si="50"/>
        <v>0</v>
      </c>
      <c r="AE343">
        <f t="shared" si="52"/>
        <v>0</v>
      </c>
      <c r="AG343">
        <f t="shared" si="53"/>
        <v>0</v>
      </c>
    </row>
    <row r="344" spans="1:33" x14ac:dyDescent="0.25">
      <c r="A344">
        <v>388</v>
      </c>
      <c r="B344">
        <f>IFERROR(VLOOKUP(A344,Capacity!$A$3:$D$532,4,), "0")</f>
        <v>25.977043811249995</v>
      </c>
      <c r="C344" s="4">
        <f>IFERROR(VLOOKUP(A344,Capacity!$A$3:$F$532,6,), "0")</f>
        <v>0.17499999999999999</v>
      </c>
      <c r="E344" t="str">
        <f>IFERROR(VLOOKUP(D344,Capacity!$A$3:$D$532,4,), "0")</f>
        <v>0</v>
      </c>
      <c r="F344" s="4" t="str">
        <f>IFERROR(VLOOKUP(D344,Capacity!$A$3:$F$532,6,), "0")</f>
        <v>0</v>
      </c>
      <c r="H344" t="str">
        <f>IFERROR(VLOOKUP(G344,Capacity!$A$3:$D$532,4,), "0")</f>
        <v>0</v>
      </c>
      <c r="I344" s="4" t="str">
        <f>IFERROR(VLOOKUP(G344,Capacity!$A$3:$F$532,6,), "0")</f>
        <v>0</v>
      </c>
      <c r="K344" t="str">
        <f>IFERROR(VLOOKUP(J344,Capacity!$A$3:$D$532,4,), "0")</f>
        <v>0</v>
      </c>
      <c r="L344" s="4" t="str">
        <f>IFERROR(VLOOKUP(J344,Capacity!$A$3:$F$532,6,), "0")</f>
        <v>0</v>
      </c>
      <c r="M344" s="5">
        <f t="shared" si="45"/>
        <v>0</v>
      </c>
      <c r="N344" s="5">
        <f t="shared" si="46"/>
        <v>0</v>
      </c>
      <c r="O344">
        <v>61</v>
      </c>
      <c r="P344">
        <f>IFERROR(VLOOKUP(O344,Capacity!$A$3:$D$532,4,), "0")</f>
        <v>7.6969018699999987</v>
      </c>
      <c r="Q344" s="4">
        <f>IFERROR(VLOOKUP(O344,Capacity!$A$3:$F$532,6,), "0")</f>
        <v>0.17499999999999999</v>
      </c>
      <c r="R344" s="5">
        <f t="shared" si="47"/>
        <v>7.6969018699999987</v>
      </c>
      <c r="S344" s="5">
        <f t="shared" si="51"/>
        <v>0.17499999999999999</v>
      </c>
      <c r="U344">
        <v>388</v>
      </c>
      <c r="V344">
        <v>0</v>
      </c>
      <c r="W344">
        <v>0</v>
      </c>
      <c r="X344">
        <v>1</v>
      </c>
      <c r="AB344">
        <f t="shared" si="48"/>
        <v>0</v>
      </c>
      <c r="AC344">
        <f t="shared" si="49"/>
        <v>0</v>
      </c>
      <c r="AD344">
        <f t="shared" si="50"/>
        <v>0</v>
      </c>
      <c r="AE344">
        <f t="shared" si="52"/>
        <v>0</v>
      </c>
      <c r="AG344">
        <f t="shared" si="53"/>
        <v>0</v>
      </c>
    </row>
    <row r="345" spans="1:33" x14ac:dyDescent="0.25">
      <c r="A345">
        <v>384</v>
      </c>
      <c r="B345">
        <f>IFERROR(VLOOKUP(A345,Capacity!$A$3:$D$532,4,), "0")</f>
        <v>7.6969018699999987</v>
      </c>
      <c r="C345" s="4">
        <f>IFERROR(VLOOKUP(A345,Capacity!$A$3:$F$532,6,), "0")</f>
        <v>0.17499999999999999</v>
      </c>
      <c r="E345" t="str">
        <f>IFERROR(VLOOKUP(D345,Capacity!$A$3:$D$532,4,), "0")</f>
        <v>0</v>
      </c>
      <c r="F345" s="4" t="str">
        <f>IFERROR(VLOOKUP(D345,Capacity!$A$3:$F$532,6,), "0")</f>
        <v>0</v>
      </c>
      <c r="H345" t="str">
        <f>IFERROR(VLOOKUP(G345,Capacity!$A$3:$D$532,4,), "0")</f>
        <v>0</v>
      </c>
      <c r="I345" s="4" t="str">
        <f>IFERROR(VLOOKUP(G345,Capacity!$A$3:$F$532,6,), "0")</f>
        <v>0</v>
      </c>
      <c r="K345" t="str">
        <f>IFERROR(VLOOKUP(J345,Capacity!$A$3:$D$532,4,), "0")</f>
        <v>0</v>
      </c>
      <c r="L345" s="4" t="str">
        <f>IFERROR(VLOOKUP(J345,Capacity!$A$3:$F$532,6,), "0")</f>
        <v>0</v>
      </c>
      <c r="M345" s="5">
        <f t="shared" si="45"/>
        <v>0</v>
      </c>
      <c r="N345" s="5">
        <f t="shared" si="46"/>
        <v>0</v>
      </c>
      <c r="O345">
        <v>61</v>
      </c>
      <c r="P345">
        <f>IFERROR(VLOOKUP(O345,Capacity!$A$3:$D$532,4,), "0")</f>
        <v>7.6969018699999987</v>
      </c>
      <c r="Q345" s="4">
        <f>IFERROR(VLOOKUP(O345,Capacity!$A$3:$F$532,6,), "0")</f>
        <v>0.17499999999999999</v>
      </c>
      <c r="R345" s="5">
        <f t="shared" si="47"/>
        <v>7.6969018699999987</v>
      </c>
      <c r="S345" s="5">
        <f t="shared" si="51"/>
        <v>0.17499999999999999</v>
      </c>
      <c r="U345">
        <v>384</v>
      </c>
      <c r="V345">
        <v>0</v>
      </c>
      <c r="W345">
        <v>0</v>
      </c>
      <c r="X345">
        <v>1</v>
      </c>
      <c r="AB345">
        <f t="shared" si="48"/>
        <v>0</v>
      </c>
      <c r="AC345">
        <f t="shared" si="49"/>
        <v>0</v>
      </c>
      <c r="AD345">
        <f t="shared" si="50"/>
        <v>0</v>
      </c>
      <c r="AE345">
        <f t="shared" si="52"/>
        <v>0</v>
      </c>
      <c r="AG345">
        <f t="shared" si="53"/>
        <v>0</v>
      </c>
    </row>
    <row r="346" spans="1:33" x14ac:dyDescent="0.25">
      <c r="A346">
        <v>356</v>
      </c>
      <c r="B346">
        <f>IFERROR(VLOOKUP(A346,Capacity!$A$3:$D$532,4,), "0")</f>
        <v>7.6969018699999987</v>
      </c>
      <c r="C346" s="4">
        <f>IFERROR(VLOOKUP(A346,Capacity!$A$3:$F$532,6,), "0")</f>
        <v>0.17499999999999999</v>
      </c>
      <c r="E346" t="str">
        <f>IFERROR(VLOOKUP(D346,Capacity!$A$3:$D$532,4,), "0")</f>
        <v>0</v>
      </c>
      <c r="F346" s="4" t="str">
        <f>IFERROR(VLOOKUP(D346,Capacity!$A$3:$F$532,6,), "0")</f>
        <v>0</v>
      </c>
      <c r="H346" t="str">
        <f>IFERROR(VLOOKUP(G346,Capacity!$A$3:$D$532,4,), "0")</f>
        <v>0</v>
      </c>
      <c r="I346" s="4" t="str">
        <f>IFERROR(VLOOKUP(G346,Capacity!$A$3:$F$532,6,), "0")</f>
        <v>0</v>
      </c>
      <c r="K346" t="str">
        <f>IFERROR(VLOOKUP(J346,Capacity!$A$3:$D$532,4,), "0")</f>
        <v>0</v>
      </c>
      <c r="L346" s="4" t="str">
        <f>IFERROR(VLOOKUP(J346,Capacity!$A$3:$F$532,6,), "0")</f>
        <v>0</v>
      </c>
      <c r="M346" s="5">
        <f t="shared" si="45"/>
        <v>0</v>
      </c>
      <c r="N346" s="5">
        <f t="shared" si="46"/>
        <v>0</v>
      </c>
      <c r="O346">
        <v>69</v>
      </c>
      <c r="P346">
        <f>IFERROR(VLOOKUP(O346,Capacity!$A$3:$D$532,4,), "0")</f>
        <v>59.566951890450007</v>
      </c>
      <c r="Q346" s="4">
        <f>IFERROR(VLOOKUP(O346,Capacity!$A$3:$F$532,6,), "0")</f>
        <v>0.26500000000000001</v>
      </c>
      <c r="R346" s="5">
        <f t="shared" si="47"/>
        <v>59.566951890450007</v>
      </c>
      <c r="S346" s="5">
        <f t="shared" si="51"/>
        <v>0.26500000000000001</v>
      </c>
      <c r="U346">
        <v>356</v>
      </c>
      <c r="V346">
        <v>0</v>
      </c>
      <c r="W346">
        <v>0</v>
      </c>
      <c r="X346">
        <v>1</v>
      </c>
      <c r="AB346">
        <f t="shared" si="48"/>
        <v>0</v>
      </c>
      <c r="AC346">
        <f t="shared" si="49"/>
        <v>0</v>
      </c>
      <c r="AD346">
        <f t="shared" si="50"/>
        <v>0</v>
      </c>
      <c r="AE346">
        <f t="shared" si="52"/>
        <v>0</v>
      </c>
      <c r="AG346">
        <f t="shared" si="53"/>
        <v>0</v>
      </c>
    </row>
    <row r="347" spans="1:33" x14ac:dyDescent="0.25">
      <c r="A347">
        <v>237</v>
      </c>
      <c r="B347">
        <f>IFERROR(VLOOKUP(A347,Capacity!$A$3:$D$532,4,), "0")</f>
        <v>15.079644480000002</v>
      </c>
      <c r="C347" s="4">
        <f>IFERROR(VLOOKUP(A347,Capacity!$A$3:$F$532,6,), "0")</f>
        <v>0.2</v>
      </c>
      <c r="E347" t="str">
        <f>IFERROR(VLOOKUP(D347,Capacity!$A$3:$D$532,4,), "0")</f>
        <v>0</v>
      </c>
      <c r="F347" s="4" t="str">
        <f>IFERROR(VLOOKUP(D347,Capacity!$A$3:$F$532,6,), "0")</f>
        <v>0</v>
      </c>
      <c r="H347" t="str">
        <f>IFERROR(VLOOKUP(G347,Capacity!$A$3:$D$532,4,), "0")</f>
        <v>0</v>
      </c>
      <c r="I347" s="4" t="str">
        <f>IFERROR(VLOOKUP(G347,Capacity!$A$3:$F$532,6,), "0")</f>
        <v>0</v>
      </c>
      <c r="K347" t="str">
        <f>IFERROR(VLOOKUP(J347,Capacity!$A$3:$D$532,4,), "0")</f>
        <v>0</v>
      </c>
      <c r="L347" s="4" t="str">
        <f>IFERROR(VLOOKUP(J347,Capacity!$A$3:$F$532,6,), "0")</f>
        <v>0</v>
      </c>
      <c r="M347" s="5">
        <f t="shared" si="45"/>
        <v>0</v>
      </c>
      <c r="N347" s="5">
        <f t="shared" si="46"/>
        <v>0</v>
      </c>
      <c r="O347">
        <v>69</v>
      </c>
      <c r="P347">
        <f>IFERROR(VLOOKUP(O347,Capacity!$A$3:$D$532,4,), "0")</f>
        <v>59.566951890450007</v>
      </c>
      <c r="Q347" s="4">
        <f>IFERROR(VLOOKUP(O347,Capacity!$A$3:$F$532,6,), "0")</f>
        <v>0.26500000000000001</v>
      </c>
      <c r="R347" s="5">
        <f t="shared" si="47"/>
        <v>59.566951890450007</v>
      </c>
      <c r="S347" s="5">
        <f t="shared" si="51"/>
        <v>0.26500000000000001</v>
      </c>
      <c r="U347">
        <v>237</v>
      </c>
      <c r="V347">
        <v>0</v>
      </c>
      <c r="W347">
        <v>0</v>
      </c>
      <c r="X347">
        <v>1</v>
      </c>
      <c r="AB347">
        <f t="shared" si="48"/>
        <v>0</v>
      </c>
      <c r="AC347">
        <f t="shared" si="49"/>
        <v>0</v>
      </c>
      <c r="AD347">
        <f t="shared" si="50"/>
        <v>0</v>
      </c>
      <c r="AE347">
        <f t="shared" si="52"/>
        <v>0</v>
      </c>
      <c r="AG347">
        <f t="shared" si="53"/>
        <v>0</v>
      </c>
    </row>
    <row r="348" spans="1:33" x14ac:dyDescent="0.25">
      <c r="A348">
        <v>67</v>
      </c>
      <c r="B348">
        <f>IFERROR(VLOOKUP(A348,Capacity!$A$3:$D$532,4,), "0")</f>
        <v>17.649467226800002</v>
      </c>
      <c r="C348" s="4">
        <f>IFERROR(VLOOKUP(A348,Capacity!$A$3:$F$532,6,), "0")</f>
        <v>0.26500000000000001</v>
      </c>
      <c r="D348">
        <v>236</v>
      </c>
      <c r="E348">
        <f>IFERROR(VLOOKUP(D348,Capacity!$A$3:$D$532,4,), "0")</f>
        <v>26.474200840200002</v>
      </c>
      <c r="F348" s="4">
        <f>IFERROR(VLOOKUP(D348,Capacity!$A$3:$F$532,6,), "0")</f>
        <v>0.26500000000000001</v>
      </c>
      <c r="H348" t="str">
        <f>IFERROR(VLOOKUP(G348,Capacity!$A$3:$D$532,4,), "0")</f>
        <v>0</v>
      </c>
      <c r="I348" s="4" t="str">
        <f>IFERROR(VLOOKUP(G348,Capacity!$A$3:$F$532,6,), "0")</f>
        <v>0</v>
      </c>
      <c r="K348" t="str">
        <f>IFERROR(VLOOKUP(J348,Capacity!$A$3:$D$532,4,), "0")</f>
        <v>0</v>
      </c>
      <c r="L348" s="4" t="str">
        <f>IFERROR(VLOOKUP(J348,Capacity!$A$3:$F$532,6,), "0")</f>
        <v>0</v>
      </c>
      <c r="M348" s="5">
        <f t="shared" si="45"/>
        <v>26.474200840200002</v>
      </c>
      <c r="N348" s="5">
        <f t="shared" si="46"/>
        <v>0.26500000000000001</v>
      </c>
      <c r="O348">
        <v>69</v>
      </c>
      <c r="P348">
        <f>IFERROR(VLOOKUP(O348,Capacity!$A$3:$D$532,4,), "0")</f>
        <v>59.566951890450007</v>
      </c>
      <c r="Q348" s="4">
        <f>IFERROR(VLOOKUP(O348,Capacity!$A$3:$F$532,6,), "0")</f>
        <v>0.26500000000000001</v>
      </c>
      <c r="R348" s="5">
        <f t="shared" si="47"/>
        <v>59.566951890450007</v>
      </c>
      <c r="S348" s="5">
        <f t="shared" si="51"/>
        <v>0.26500000000000001</v>
      </c>
      <c r="U348">
        <v>67</v>
      </c>
      <c r="V348">
        <v>2</v>
      </c>
      <c r="W348">
        <v>2</v>
      </c>
      <c r="X348">
        <v>1</v>
      </c>
      <c r="AB348">
        <f t="shared" si="48"/>
        <v>0.44444444444444442</v>
      </c>
      <c r="AC348">
        <f t="shared" si="49"/>
        <v>1.5</v>
      </c>
      <c r="AD348">
        <f t="shared" si="50"/>
        <v>1</v>
      </c>
      <c r="AE348">
        <f t="shared" si="52"/>
        <v>1</v>
      </c>
      <c r="AG348">
        <f t="shared" si="53"/>
        <v>0.3428571428571428</v>
      </c>
    </row>
    <row r="349" spans="1:33" x14ac:dyDescent="0.25">
      <c r="A349">
        <v>431</v>
      </c>
      <c r="B349">
        <f>IFERROR(VLOOKUP(A349,Capacity!$A$3:$D$532,4,), "0")</f>
        <v>20.204367408749999</v>
      </c>
      <c r="C349" s="4">
        <f>IFERROR(VLOOKUP(A349,Capacity!$A$3:$F$532,6,), "0")</f>
        <v>0.17499999999999999</v>
      </c>
      <c r="E349" t="str">
        <f>IFERROR(VLOOKUP(D349,Capacity!$A$3:$D$532,4,), "0")</f>
        <v>0</v>
      </c>
      <c r="F349" s="4" t="str">
        <f>IFERROR(VLOOKUP(D349,Capacity!$A$3:$F$532,6,), "0")</f>
        <v>0</v>
      </c>
      <c r="H349" t="str">
        <f>IFERROR(VLOOKUP(G349,Capacity!$A$3:$D$532,4,), "0")</f>
        <v>0</v>
      </c>
      <c r="I349" s="4" t="str">
        <f>IFERROR(VLOOKUP(G349,Capacity!$A$3:$F$532,6,), "0")</f>
        <v>0</v>
      </c>
      <c r="K349" t="str">
        <f>IFERROR(VLOOKUP(J349,Capacity!$A$3:$D$532,4,), "0")</f>
        <v>0</v>
      </c>
      <c r="L349" s="4" t="str">
        <f>IFERROR(VLOOKUP(J349,Capacity!$A$3:$F$532,6,), "0")</f>
        <v>0</v>
      </c>
      <c r="M349" s="5">
        <f t="shared" si="45"/>
        <v>0</v>
      </c>
      <c r="N349" s="5">
        <f t="shared" si="46"/>
        <v>0</v>
      </c>
      <c r="O349">
        <v>103</v>
      </c>
      <c r="P349">
        <f>IFERROR(VLOOKUP(O349,Capacity!$A$3:$D$532,4,), "0")</f>
        <v>10.102183704374999</v>
      </c>
      <c r="Q349" s="4">
        <f>IFERROR(VLOOKUP(O349,Capacity!$A$3:$F$532,6,), "0")</f>
        <v>0.17499999999999999</v>
      </c>
      <c r="R349" s="5">
        <f t="shared" si="47"/>
        <v>10.102183704374999</v>
      </c>
      <c r="S349" s="5">
        <f t="shared" si="51"/>
        <v>0.17499999999999999</v>
      </c>
      <c r="U349">
        <v>431</v>
      </c>
      <c r="V349">
        <v>0</v>
      </c>
      <c r="W349">
        <v>0</v>
      </c>
      <c r="X349">
        <v>1</v>
      </c>
      <c r="AB349">
        <f t="shared" si="48"/>
        <v>0</v>
      </c>
      <c r="AC349">
        <f t="shared" si="49"/>
        <v>0</v>
      </c>
      <c r="AD349">
        <f t="shared" si="50"/>
        <v>0</v>
      </c>
      <c r="AE349">
        <f t="shared" si="52"/>
        <v>0</v>
      </c>
      <c r="AG349">
        <f t="shared" si="53"/>
        <v>0</v>
      </c>
    </row>
    <row r="350" spans="1:33" x14ac:dyDescent="0.25">
      <c r="A350">
        <v>63</v>
      </c>
      <c r="B350">
        <f>IFERROR(VLOOKUP(A350,Capacity!$A$3:$D$532,4,), "0")</f>
        <v>10.102183704374999</v>
      </c>
      <c r="C350" s="4">
        <f>IFERROR(VLOOKUP(A350,Capacity!$A$3:$F$532,6,), "0")</f>
        <v>0.17499999999999999</v>
      </c>
      <c r="D350">
        <v>65</v>
      </c>
      <c r="E350">
        <f>IFERROR(VLOOKUP(D350,Capacity!$A$3:$D$532,4,), "0")</f>
        <v>24.052818343749998</v>
      </c>
      <c r="F350" s="4">
        <f>IFERROR(VLOOKUP(D350,Capacity!$A$3:$F$532,6,), "0")</f>
        <v>0.17499999999999999</v>
      </c>
      <c r="G350">
        <v>64</v>
      </c>
      <c r="H350">
        <f>IFERROR(VLOOKUP(G350,Capacity!$A$3:$D$532,4,), "0")</f>
        <v>15.874860106874999</v>
      </c>
      <c r="I350" s="4">
        <f>IFERROR(VLOOKUP(G350,Capacity!$A$3:$F$532,6,), "0")</f>
        <v>0.17499999999999999</v>
      </c>
      <c r="K350" t="str">
        <f>IFERROR(VLOOKUP(J350,Capacity!$A$3:$D$532,4,), "0")</f>
        <v>0</v>
      </c>
      <c r="L350" s="4" t="str">
        <f>IFERROR(VLOOKUP(J350,Capacity!$A$3:$F$532,6,), "0")</f>
        <v>0</v>
      </c>
      <c r="M350" s="5">
        <f t="shared" si="45"/>
        <v>39.927678450624995</v>
      </c>
      <c r="N350" s="5">
        <f t="shared" si="46"/>
        <v>0.35</v>
      </c>
      <c r="O350">
        <v>103</v>
      </c>
      <c r="P350">
        <f>IFERROR(VLOOKUP(O350,Capacity!$A$3:$D$532,4,), "0")</f>
        <v>10.102183704374999</v>
      </c>
      <c r="Q350" s="4">
        <f>IFERROR(VLOOKUP(O350,Capacity!$A$3:$F$532,6,), "0")</f>
        <v>0.17499999999999999</v>
      </c>
      <c r="R350" s="5">
        <f t="shared" si="47"/>
        <v>10.102183704374999</v>
      </c>
      <c r="S350" s="5">
        <f t="shared" si="51"/>
        <v>0.17499999999999999</v>
      </c>
      <c r="U350">
        <v>63</v>
      </c>
      <c r="V350">
        <v>3</v>
      </c>
      <c r="W350">
        <v>3</v>
      </c>
      <c r="X350">
        <v>1</v>
      </c>
      <c r="AB350">
        <f t="shared" si="48"/>
        <v>3.9523809523809521</v>
      </c>
      <c r="AC350">
        <f t="shared" si="49"/>
        <v>3.9523809523809521</v>
      </c>
      <c r="AD350">
        <f t="shared" si="50"/>
        <v>2</v>
      </c>
      <c r="AE350">
        <f t="shared" si="52"/>
        <v>2</v>
      </c>
      <c r="AG350">
        <f t="shared" si="53"/>
        <v>1.9761904761904761</v>
      </c>
    </row>
    <row r="351" spans="1:33" x14ac:dyDescent="0.25">
      <c r="A351">
        <v>62</v>
      </c>
      <c r="B351">
        <f>IFERROR(VLOOKUP(A351,Capacity!$A$3:$D$532,4,), "0")</f>
        <v>4.8105636687499995</v>
      </c>
      <c r="C351" s="4">
        <f>IFERROR(VLOOKUP(A351,Capacity!$A$3:$F$532,6,), "0")</f>
        <v>0.17499999999999999</v>
      </c>
      <c r="D351">
        <v>66</v>
      </c>
      <c r="E351">
        <f>IFERROR(VLOOKUP(D351,Capacity!$A$3:$D$532,4,), "0")</f>
        <v>25.977043811249995</v>
      </c>
      <c r="F351" s="4">
        <f>IFERROR(VLOOKUP(D351,Capacity!$A$3:$F$532,6,), "0")</f>
        <v>0.17499999999999999</v>
      </c>
      <c r="H351" t="str">
        <f>IFERROR(VLOOKUP(G351,Capacity!$A$3:$D$532,4,), "0")</f>
        <v>0</v>
      </c>
      <c r="I351" s="4" t="str">
        <f>IFERROR(VLOOKUP(G351,Capacity!$A$3:$F$532,6,), "0")</f>
        <v>0</v>
      </c>
      <c r="K351" t="str">
        <f>IFERROR(VLOOKUP(J351,Capacity!$A$3:$D$532,4,), "0")</f>
        <v>0</v>
      </c>
      <c r="L351" s="4" t="str">
        <f>IFERROR(VLOOKUP(J351,Capacity!$A$3:$F$532,6,), "0")</f>
        <v>0</v>
      </c>
      <c r="M351" s="5">
        <f t="shared" si="45"/>
        <v>25.977043811249995</v>
      </c>
      <c r="N351" s="5">
        <f t="shared" si="46"/>
        <v>0.17499999999999999</v>
      </c>
      <c r="O351">
        <v>103</v>
      </c>
      <c r="P351">
        <f>IFERROR(VLOOKUP(O351,Capacity!$A$3:$D$532,4,), "0")</f>
        <v>10.102183704374999</v>
      </c>
      <c r="Q351" s="4">
        <f>IFERROR(VLOOKUP(O351,Capacity!$A$3:$F$532,6,), "0")</f>
        <v>0.17499999999999999</v>
      </c>
      <c r="R351" s="5">
        <f t="shared" si="47"/>
        <v>10.102183704374999</v>
      </c>
      <c r="S351" s="5">
        <f t="shared" si="51"/>
        <v>0.17499999999999999</v>
      </c>
      <c r="U351">
        <v>62</v>
      </c>
      <c r="V351">
        <v>2</v>
      </c>
      <c r="W351">
        <v>2</v>
      </c>
      <c r="X351">
        <v>1</v>
      </c>
      <c r="AB351">
        <f t="shared" si="48"/>
        <v>2.5714285714285712</v>
      </c>
      <c r="AC351">
        <f t="shared" si="49"/>
        <v>5.3999999999999995</v>
      </c>
      <c r="AD351">
        <f t="shared" si="50"/>
        <v>1</v>
      </c>
      <c r="AE351">
        <f t="shared" si="52"/>
        <v>1</v>
      </c>
      <c r="AG351">
        <f t="shared" si="53"/>
        <v>1.7419354838709675</v>
      </c>
    </row>
    <row r="352" spans="1:33" x14ac:dyDescent="0.25">
      <c r="A352">
        <v>521</v>
      </c>
      <c r="B352">
        <f>IFERROR(VLOOKUP(A352,Capacity!$A$3:$D$532,4,), "0")</f>
        <v>13.950634639374998</v>
      </c>
      <c r="C352" s="4">
        <f>IFERROR(VLOOKUP(A352,Capacity!$A$3:$F$532,6,), "0")</f>
        <v>0.17499999999999999</v>
      </c>
      <c r="E352" t="str">
        <f>IFERROR(VLOOKUP(D352,Capacity!$A$3:$D$532,4,), "0")</f>
        <v>0</v>
      </c>
      <c r="F352" s="4" t="str">
        <f>IFERROR(VLOOKUP(D352,Capacity!$A$3:$F$532,6,), "0")</f>
        <v>0</v>
      </c>
      <c r="H352" t="str">
        <f>IFERROR(VLOOKUP(G352,Capacity!$A$3:$D$532,4,), "0")</f>
        <v>0</v>
      </c>
      <c r="I352" s="4" t="str">
        <f>IFERROR(VLOOKUP(G352,Capacity!$A$3:$F$532,6,), "0")</f>
        <v>0</v>
      </c>
      <c r="K352" t="str">
        <f>IFERROR(VLOOKUP(J352,Capacity!$A$3:$D$532,4,), "0")</f>
        <v>0</v>
      </c>
      <c r="L352" s="4" t="str">
        <f>IFERROR(VLOOKUP(J352,Capacity!$A$3:$F$532,6,), "0")</f>
        <v>0</v>
      </c>
      <c r="M352" s="5">
        <f t="shared" si="45"/>
        <v>0</v>
      </c>
      <c r="N352" s="5">
        <f t="shared" si="46"/>
        <v>0</v>
      </c>
      <c r="O352">
        <v>323</v>
      </c>
      <c r="P352">
        <f>IFERROR(VLOOKUP(O352,Capacity!$A$3:$D$532,4,), "0")</f>
        <v>40.212385280000007</v>
      </c>
      <c r="Q352" s="4">
        <f>IFERROR(VLOOKUP(O352,Capacity!$A$3:$F$532,6,), "0")</f>
        <v>0.4</v>
      </c>
      <c r="R352" s="5">
        <f t="shared" si="47"/>
        <v>40.212385280000007</v>
      </c>
      <c r="S352" s="5">
        <f t="shared" si="51"/>
        <v>0.4</v>
      </c>
      <c r="U352">
        <v>521</v>
      </c>
      <c r="V352">
        <v>0</v>
      </c>
      <c r="W352">
        <v>0</v>
      </c>
      <c r="X352">
        <v>1</v>
      </c>
      <c r="AB352">
        <f t="shared" si="48"/>
        <v>0</v>
      </c>
      <c r="AC352">
        <f t="shared" si="49"/>
        <v>0</v>
      </c>
      <c r="AD352">
        <f t="shared" si="50"/>
        <v>0</v>
      </c>
      <c r="AE352">
        <f t="shared" si="52"/>
        <v>0</v>
      </c>
      <c r="AG352">
        <f t="shared" si="53"/>
        <v>0</v>
      </c>
    </row>
    <row r="353" spans="1:33" x14ac:dyDescent="0.25">
      <c r="A353">
        <v>503</v>
      </c>
      <c r="B353">
        <f>IFERROR(VLOOKUP(A353,Capacity!$A$3:$D$532,4,), "0")</f>
        <v>14.431691006249999</v>
      </c>
      <c r="C353" s="4">
        <f>IFERROR(VLOOKUP(A353,Capacity!$A$3:$F$532,6,), "0")</f>
        <v>0.17499999999999999</v>
      </c>
      <c r="E353" t="str">
        <f>IFERROR(VLOOKUP(D353,Capacity!$A$3:$D$532,4,), "0")</f>
        <v>0</v>
      </c>
      <c r="F353" s="4" t="str">
        <f>IFERROR(VLOOKUP(D353,Capacity!$A$3:$F$532,6,), "0")</f>
        <v>0</v>
      </c>
      <c r="H353" t="str">
        <f>IFERROR(VLOOKUP(G353,Capacity!$A$3:$D$532,4,), "0")</f>
        <v>0</v>
      </c>
      <c r="I353" s="4" t="str">
        <f>IFERROR(VLOOKUP(G353,Capacity!$A$3:$F$532,6,), "0")</f>
        <v>0</v>
      </c>
      <c r="K353" t="str">
        <f>IFERROR(VLOOKUP(J353,Capacity!$A$3:$D$532,4,), "0")</f>
        <v>0</v>
      </c>
      <c r="L353" s="4" t="str">
        <f>IFERROR(VLOOKUP(J353,Capacity!$A$3:$F$532,6,), "0")</f>
        <v>0</v>
      </c>
      <c r="M353" s="5">
        <f t="shared" si="45"/>
        <v>0</v>
      </c>
      <c r="N353" s="5">
        <f t="shared" si="46"/>
        <v>0</v>
      </c>
      <c r="O353">
        <v>323</v>
      </c>
      <c r="P353">
        <f>IFERROR(VLOOKUP(O353,Capacity!$A$3:$D$532,4,), "0")</f>
        <v>40.212385280000007</v>
      </c>
      <c r="Q353" s="4">
        <f>IFERROR(VLOOKUP(O353,Capacity!$A$3:$F$532,6,), "0")</f>
        <v>0.4</v>
      </c>
      <c r="R353" s="5">
        <f t="shared" si="47"/>
        <v>40.212385280000007</v>
      </c>
      <c r="S353" s="5">
        <f t="shared" si="51"/>
        <v>0.4</v>
      </c>
      <c r="U353">
        <v>503</v>
      </c>
      <c r="V353">
        <v>0</v>
      </c>
      <c r="W353">
        <v>0</v>
      </c>
      <c r="X353">
        <v>1</v>
      </c>
      <c r="AB353">
        <f t="shared" si="48"/>
        <v>0</v>
      </c>
      <c r="AC353">
        <f t="shared" si="49"/>
        <v>0</v>
      </c>
      <c r="AD353">
        <f t="shared" si="50"/>
        <v>0</v>
      </c>
      <c r="AE353">
        <f t="shared" si="52"/>
        <v>0</v>
      </c>
      <c r="AG353">
        <f t="shared" si="53"/>
        <v>0</v>
      </c>
    </row>
    <row r="354" spans="1:33" x14ac:dyDescent="0.25">
      <c r="A354">
        <v>324</v>
      </c>
      <c r="B354">
        <f>IFERROR(VLOOKUP(A354,Capacity!$A$3:$D$532,4,), "0")</f>
        <v>75.398222400000023</v>
      </c>
      <c r="C354" s="4">
        <f>IFERROR(VLOOKUP(A354,Capacity!$A$3:$F$532,6,), "0")</f>
        <v>0.4</v>
      </c>
      <c r="D354">
        <v>517</v>
      </c>
      <c r="E354">
        <f>IFERROR(VLOOKUP(D354,Capacity!$A$3:$D$532,4,), "0")</f>
        <v>15.393803739999997</v>
      </c>
      <c r="F354" s="4">
        <f>IFERROR(VLOOKUP(D354,Capacity!$A$3:$F$532,6,), "0")</f>
        <v>0.17499999999999999</v>
      </c>
      <c r="G354">
        <v>325</v>
      </c>
      <c r="H354">
        <f>IFERROR(VLOOKUP(G354,Capacity!$A$3:$D$532,4,), "0")</f>
        <v>37.699111200000011</v>
      </c>
      <c r="I354" s="4">
        <f>IFERROR(VLOOKUP(G354,Capacity!$A$3:$F$532,6,), "0")</f>
        <v>0.4</v>
      </c>
      <c r="K354" t="str">
        <f>IFERROR(VLOOKUP(J354,Capacity!$A$3:$D$532,4,), "0")</f>
        <v>0</v>
      </c>
      <c r="L354" s="4" t="str">
        <f>IFERROR(VLOOKUP(J354,Capacity!$A$3:$F$532,6,), "0")</f>
        <v>0</v>
      </c>
      <c r="M354" s="5">
        <f t="shared" si="45"/>
        <v>53.092914940000007</v>
      </c>
      <c r="N354" s="5">
        <f t="shared" si="46"/>
        <v>0.57499999999999996</v>
      </c>
      <c r="O354">
        <v>323</v>
      </c>
      <c r="P354">
        <f>IFERROR(VLOOKUP(O354,Capacity!$A$3:$D$532,4,), "0")</f>
        <v>40.212385280000007</v>
      </c>
      <c r="Q354" s="4">
        <f>IFERROR(VLOOKUP(O354,Capacity!$A$3:$F$532,6,), "0")</f>
        <v>0.4</v>
      </c>
      <c r="R354" s="5">
        <f t="shared" si="47"/>
        <v>40.212385280000007</v>
      </c>
      <c r="S354" s="5">
        <f t="shared" si="51"/>
        <v>0.4</v>
      </c>
      <c r="U354">
        <v>324</v>
      </c>
      <c r="V354">
        <v>3</v>
      </c>
      <c r="W354">
        <v>3</v>
      </c>
      <c r="X354">
        <v>1</v>
      </c>
      <c r="AB354">
        <f t="shared" si="48"/>
        <v>1.3203125</v>
      </c>
      <c r="AC354">
        <f t="shared" si="49"/>
        <v>0.7041666666666665</v>
      </c>
      <c r="AD354">
        <f t="shared" si="50"/>
        <v>1.4374999999999998</v>
      </c>
      <c r="AE354">
        <f t="shared" si="52"/>
        <v>1.4374999999999998</v>
      </c>
      <c r="AG354">
        <f t="shared" si="53"/>
        <v>0.45923913043478254</v>
      </c>
    </row>
    <row r="355" spans="1:33" x14ac:dyDescent="0.25">
      <c r="A355">
        <v>523</v>
      </c>
      <c r="B355">
        <f>IFERROR(VLOOKUP(A355,Capacity!$A$3:$D$532,4,), "0")</f>
        <v>376.99111199999999</v>
      </c>
      <c r="C355" s="4">
        <f>IFERROR(VLOOKUP(A355,Capacity!$A$3:$F$532,6,), "0")</f>
        <v>1</v>
      </c>
      <c r="E355" t="str">
        <f>IFERROR(VLOOKUP(D355,Capacity!$A$3:$D$532,4,), "0")</f>
        <v>0</v>
      </c>
      <c r="F355" s="4" t="str">
        <f>IFERROR(VLOOKUP(D355,Capacity!$A$3:$F$532,6,), "0")</f>
        <v>0</v>
      </c>
      <c r="H355" t="str">
        <f>IFERROR(VLOOKUP(G355,Capacity!$A$3:$D$532,4,), "0")</f>
        <v>0</v>
      </c>
      <c r="I355" s="4" t="str">
        <f>IFERROR(VLOOKUP(G355,Capacity!$A$3:$F$532,6,), "0")</f>
        <v>0</v>
      </c>
      <c r="K355" t="str">
        <f>IFERROR(VLOOKUP(J355,Capacity!$A$3:$D$532,4,), "0")</f>
        <v>0</v>
      </c>
      <c r="L355" s="4" t="str">
        <f>IFERROR(VLOOKUP(J355,Capacity!$A$3:$F$532,6,), "0")</f>
        <v>0</v>
      </c>
      <c r="M355" s="5">
        <f t="shared" si="45"/>
        <v>0</v>
      </c>
      <c r="N355" s="5">
        <f t="shared" si="46"/>
        <v>0</v>
      </c>
      <c r="O355">
        <v>338</v>
      </c>
      <c r="P355">
        <f>IFERROR(VLOOKUP(O355,Capacity!$A$3:$D$532,4,), "0")</f>
        <v>5.0265481600000008</v>
      </c>
      <c r="Q355" s="4">
        <f>IFERROR(VLOOKUP(O355,Capacity!$A$3:$F$532,6,), "0")</f>
        <v>0.2</v>
      </c>
      <c r="R355" s="5">
        <f t="shared" si="47"/>
        <v>5.0265481600000008</v>
      </c>
      <c r="S355" s="5">
        <f t="shared" si="51"/>
        <v>0.2</v>
      </c>
      <c r="U355">
        <v>523</v>
      </c>
      <c r="V355">
        <v>0</v>
      </c>
      <c r="W355">
        <v>0</v>
      </c>
      <c r="X355">
        <v>1</v>
      </c>
      <c r="AB355">
        <f t="shared" si="48"/>
        <v>0</v>
      </c>
      <c r="AC355">
        <f t="shared" si="49"/>
        <v>0</v>
      </c>
      <c r="AD355">
        <f t="shared" si="50"/>
        <v>0</v>
      </c>
      <c r="AE355">
        <f t="shared" si="52"/>
        <v>0</v>
      </c>
      <c r="AG355">
        <f t="shared" si="53"/>
        <v>0</v>
      </c>
    </row>
    <row r="356" spans="1:33" x14ac:dyDescent="0.25">
      <c r="A356">
        <v>506</v>
      </c>
      <c r="B356">
        <f>IFERROR(VLOOKUP(A356,Capacity!$A$3:$D$532,4,), "0")</f>
        <v>14.431691006249999</v>
      </c>
      <c r="C356" s="4">
        <f>IFERROR(VLOOKUP(A356,Capacity!$A$3:$F$532,6,), "0")</f>
        <v>0.17499999999999999</v>
      </c>
      <c r="E356" t="str">
        <f>IFERROR(VLOOKUP(D356,Capacity!$A$3:$D$532,4,), "0")</f>
        <v>0</v>
      </c>
      <c r="F356" s="4" t="str">
        <f>IFERROR(VLOOKUP(D356,Capacity!$A$3:$F$532,6,), "0")</f>
        <v>0</v>
      </c>
      <c r="H356" t="str">
        <f>IFERROR(VLOOKUP(G356,Capacity!$A$3:$D$532,4,), "0")</f>
        <v>0</v>
      </c>
      <c r="I356" s="4" t="str">
        <f>IFERROR(VLOOKUP(G356,Capacity!$A$3:$F$532,6,), "0")</f>
        <v>0</v>
      </c>
      <c r="K356" t="str">
        <f>IFERROR(VLOOKUP(J356,Capacity!$A$3:$D$532,4,), "0")</f>
        <v>0</v>
      </c>
      <c r="L356" s="4" t="str">
        <f>IFERROR(VLOOKUP(J356,Capacity!$A$3:$F$532,6,), "0")</f>
        <v>0</v>
      </c>
      <c r="M356" s="5">
        <f t="shared" si="45"/>
        <v>0</v>
      </c>
      <c r="N356" s="5">
        <f t="shared" si="46"/>
        <v>0</v>
      </c>
      <c r="O356">
        <v>314</v>
      </c>
      <c r="P356">
        <f>IFERROR(VLOOKUP(O356,Capacity!$A$3:$D$532,4,), "0")</f>
        <v>132.53593781250001</v>
      </c>
      <c r="Q356" s="4">
        <f>IFERROR(VLOOKUP(O356,Capacity!$A$3:$F$532,6,), "0")</f>
        <v>0.75</v>
      </c>
      <c r="R356" s="5">
        <f t="shared" si="47"/>
        <v>132.53593781250001</v>
      </c>
      <c r="S356" s="5">
        <f t="shared" si="51"/>
        <v>0.75</v>
      </c>
      <c r="U356">
        <v>506</v>
      </c>
      <c r="V356">
        <v>0</v>
      </c>
      <c r="W356">
        <v>0</v>
      </c>
      <c r="X356">
        <v>1</v>
      </c>
      <c r="AB356">
        <f t="shared" si="48"/>
        <v>0</v>
      </c>
      <c r="AC356">
        <f t="shared" si="49"/>
        <v>0</v>
      </c>
      <c r="AD356">
        <f t="shared" si="50"/>
        <v>0</v>
      </c>
      <c r="AE356">
        <f t="shared" si="52"/>
        <v>0</v>
      </c>
      <c r="AG356">
        <f t="shared" si="53"/>
        <v>0</v>
      </c>
    </row>
    <row r="357" spans="1:33" x14ac:dyDescent="0.25">
      <c r="A357">
        <v>312</v>
      </c>
      <c r="B357">
        <f>IFERROR(VLOOKUP(A357,Capacity!$A$3:$D$532,4,), "0")</f>
        <v>132.53593781250001</v>
      </c>
      <c r="C357" s="4">
        <f>IFERROR(VLOOKUP(A357,Capacity!$A$3:$F$532,6,), "0")</f>
        <v>0.75</v>
      </c>
      <c r="D357">
        <v>313</v>
      </c>
      <c r="E357">
        <f>IFERROR(VLOOKUP(D357,Capacity!$A$3:$D$532,4,), "0")</f>
        <v>132.53593781250001</v>
      </c>
      <c r="F357" s="4">
        <f>IFERROR(VLOOKUP(D357,Capacity!$A$3:$F$532,6,), "0")</f>
        <v>0.75</v>
      </c>
      <c r="G357">
        <v>259</v>
      </c>
      <c r="H357">
        <f>IFERROR(VLOOKUP(G357,Capacity!$A$3:$D$532,4,), "0")</f>
        <v>11.545352804999998</v>
      </c>
      <c r="I357" s="4">
        <f>IFERROR(VLOOKUP(G357,Capacity!$A$3:$F$532,6,), "0")</f>
        <v>0.17499999999999999</v>
      </c>
      <c r="K357" t="str">
        <f>IFERROR(VLOOKUP(J357,Capacity!$A$3:$D$532,4,), "0")</f>
        <v>0</v>
      </c>
      <c r="L357" s="4" t="str">
        <f>IFERROR(VLOOKUP(J357,Capacity!$A$3:$F$532,6,), "0")</f>
        <v>0</v>
      </c>
      <c r="M357" s="5">
        <f t="shared" si="45"/>
        <v>144.0812906175</v>
      </c>
      <c r="N357" s="5">
        <f t="shared" si="46"/>
        <v>0.92500000000000004</v>
      </c>
      <c r="O357">
        <v>314</v>
      </c>
      <c r="P357">
        <f>IFERROR(VLOOKUP(O357,Capacity!$A$3:$D$532,4,), "0")</f>
        <v>132.53593781250001</v>
      </c>
      <c r="Q357" s="4">
        <f>IFERROR(VLOOKUP(O357,Capacity!$A$3:$F$532,6,), "0")</f>
        <v>0.75</v>
      </c>
      <c r="R357" s="5">
        <f t="shared" si="47"/>
        <v>132.53593781250001</v>
      </c>
      <c r="S357" s="5">
        <f t="shared" si="51"/>
        <v>0.75</v>
      </c>
      <c r="U357">
        <v>312</v>
      </c>
      <c r="V357">
        <v>2</v>
      </c>
      <c r="W357">
        <v>2</v>
      </c>
      <c r="X357">
        <v>1</v>
      </c>
      <c r="AB357">
        <f t="shared" si="48"/>
        <v>1.0871111111111111</v>
      </c>
      <c r="AC357">
        <f t="shared" si="49"/>
        <v>1.0871111111111111</v>
      </c>
      <c r="AD357">
        <f t="shared" si="50"/>
        <v>1.2333333333333334</v>
      </c>
      <c r="AE357">
        <f t="shared" si="52"/>
        <v>1.2333333333333334</v>
      </c>
      <c r="AG357">
        <f t="shared" si="53"/>
        <v>0.54355555555555557</v>
      </c>
    </row>
    <row r="358" spans="1:33" x14ac:dyDescent="0.25">
      <c r="A358">
        <v>258</v>
      </c>
      <c r="B358">
        <f>IFERROR(VLOOKUP(A358,Capacity!$A$3:$D$532,4,), "0")</f>
        <v>26.474200840200002</v>
      </c>
      <c r="C358" s="4">
        <f>IFERROR(VLOOKUP(A358,Capacity!$A$3:$F$532,6,), "0")</f>
        <v>0.26500000000000001</v>
      </c>
      <c r="E358" t="str">
        <f>IFERROR(VLOOKUP(D358,Capacity!$A$3:$D$532,4,), "0")</f>
        <v>0</v>
      </c>
      <c r="F358" s="4" t="str">
        <f>IFERROR(VLOOKUP(D358,Capacity!$A$3:$F$532,6,), "0")</f>
        <v>0</v>
      </c>
      <c r="H358" t="str">
        <f>IFERROR(VLOOKUP(G358,Capacity!$A$3:$D$532,4,), "0")</f>
        <v>0</v>
      </c>
      <c r="I358" s="4" t="str">
        <f>IFERROR(VLOOKUP(G358,Capacity!$A$3:$F$532,6,), "0")</f>
        <v>0</v>
      </c>
      <c r="K358" t="str">
        <f>IFERROR(VLOOKUP(J358,Capacity!$A$3:$D$532,4,), "0")</f>
        <v>0</v>
      </c>
      <c r="L358" s="4" t="str">
        <f>IFERROR(VLOOKUP(J358,Capacity!$A$3:$F$532,6,), "0")</f>
        <v>0</v>
      </c>
      <c r="M358" s="5">
        <f t="shared" si="45"/>
        <v>0</v>
      </c>
      <c r="N358" s="5">
        <f t="shared" si="46"/>
        <v>0</v>
      </c>
      <c r="O358">
        <v>314</v>
      </c>
      <c r="P358">
        <f>IFERROR(VLOOKUP(O358,Capacity!$A$3:$D$532,4,), "0")</f>
        <v>132.53593781250001</v>
      </c>
      <c r="Q358" s="4">
        <f>IFERROR(VLOOKUP(O358,Capacity!$A$3:$F$532,6,), "0")</f>
        <v>0.75</v>
      </c>
      <c r="R358" s="5">
        <f t="shared" si="47"/>
        <v>132.53593781250001</v>
      </c>
      <c r="S358" s="5">
        <f t="shared" si="51"/>
        <v>0.75</v>
      </c>
      <c r="U358">
        <v>258</v>
      </c>
      <c r="V358">
        <v>0</v>
      </c>
      <c r="W358">
        <v>0</v>
      </c>
      <c r="X358">
        <v>1</v>
      </c>
      <c r="AB358">
        <f t="shared" si="48"/>
        <v>0</v>
      </c>
      <c r="AC358">
        <f t="shared" si="49"/>
        <v>0</v>
      </c>
      <c r="AD358">
        <f t="shared" si="50"/>
        <v>0</v>
      </c>
      <c r="AE358">
        <f t="shared" si="52"/>
        <v>0</v>
      </c>
      <c r="AG358">
        <f t="shared" si="53"/>
        <v>0</v>
      </c>
    </row>
    <row r="359" spans="1:33" x14ac:dyDescent="0.25">
      <c r="A359">
        <v>518</v>
      </c>
      <c r="B359">
        <f>IFERROR(VLOOKUP(A359,Capacity!$A$3:$D$532,4,), "0")</f>
        <v>22.128592876249996</v>
      </c>
      <c r="C359" s="4">
        <f>IFERROR(VLOOKUP(A359,Capacity!$A$3:$F$532,6,), "0")</f>
        <v>0.17499999999999999</v>
      </c>
      <c r="E359" t="str">
        <f>IFERROR(VLOOKUP(D359,Capacity!$A$3:$D$532,4,), "0")</f>
        <v>0</v>
      </c>
      <c r="F359" s="4" t="str">
        <f>IFERROR(VLOOKUP(D359,Capacity!$A$3:$F$532,6,), "0")</f>
        <v>0</v>
      </c>
      <c r="H359" t="str">
        <f>IFERROR(VLOOKUP(G359,Capacity!$A$3:$D$532,4,), "0")</f>
        <v>0</v>
      </c>
      <c r="I359" s="4" t="str">
        <f>IFERROR(VLOOKUP(G359,Capacity!$A$3:$F$532,6,), "0")</f>
        <v>0</v>
      </c>
      <c r="K359" t="str">
        <f>IFERROR(VLOOKUP(J359,Capacity!$A$3:$D$532,4,), "0")</f>
        <v>0</v>
      </c>
      <c r="L359" s="4" t="str">
        <f>IFERROR(VLOOKUP(J359,Capacity!$A$3:$F$532,6,), "0")</f>
        <v>0</v>
      </c>
      <c r="M359" s="5">
        <f t="shared" si="45"/>
        <v>0</v>
      </c>
      <c r="N359" s="5">
        <f t="shared" si="46"/>
        <v>0</v>
      </c>
      <c r="O359">
        <v>37</v>
      </c>
      <c r="P359">
        <f>IFERROR(VLOOKUP(O359,Capacity!$A$3:$D$532,4,), "0")</f>
        <v>17.649467226800002</v>
      </c>
      <c r="Q359" s="4">
        <f>IFERROR(VLOOKUP(O359,Capacity!$A$3:$F$532,6,), "0")</f>
        <v>0.26500000000000001</v>
      </c>
      <c r="R359" s="5">
        <f t="shared" si="47"/>
        <v>17.649467226800002</v>
      </c>
      <c r="S359" s="5">
        <f t="shared" si="51"/>
        <v>0.26500000000000001</v>
      </c>
      <c r="U359">
        <v>518</v>
      </c>
      <c r="V359">
        <v>0</v>
      </c>
      <c r="W359">
        <v>0</v>
      </c>
      <c r="X359">
        <v>1</v>
      </c>
      <c r="AB359">
        <f t="shared" si="48"/>
        <v>0</v>
      </c>
      <c r="AC359">
        <f t="shared" si="49"/>
        <v>0</v>
      </c>
      <c r="AD359">
        <f t="shared" si="50"/>
        <v>0</v>
      </c>
      <c r="AE359">
        <f t="shared" si="52"/>
        <v>0</v>
      </c>
      <c r="AG359">
        <f t="shared" si="53"/>
        <v>0</v>
      </c>
    </row>
    <row r="360" spans="1:33" x14ac:dyDescent="0.25">
      <c r="A360">
        <v>399</v>
      </c>
      <c r="B360">
        <f>IFERROR(VLOOKUP(A360,Capacity!$A$3:$D$532,4,), "0")</f>
        <v>21.647536509374998</v>
      </c>
      <c r="C360" s="4">
        <f>IFERROR(VLOOKUP(A360,Capacity!$A$3:$F$532,6,), "0")</f>
        <v>0.17499999999999999</v>
      </c>
      <c r="E360" t="str">
        <f>IFERROR(VLOOKUP(D360,Capacity!$A$3:$D$532,4,), "0")</f>
        <v>0</v>
      </c>
      <c r="F360" s="4" t="str">
        <f>IFERROR(VLOOKUP(D360,Capacity!$A$3:$F$532,6,), "0")</f>
        <v>0</v>
      </c>
      <c r="H360" t="str">
        <f>IFERROR(VLOOKUP(G360,Capacity!$A$3:$D$532,4,), "0")</f>
        <v>0</v>
      </c>
      <c r="I360" s="4" t="str">
        <f>IFERROR(VLOOKUP(G360,Capacity!$A$3:$F$532,6,), "0")</f>
        <v>0</v>
      </c>
      <c r="K360" t="str">
        <f>IFERROR(VLOOKUP(J360,Capacity!$A$3:$D$532,4,), "0")</f>
        <v>0</v>
      </c>
      <c r="L360" s="4" t="str">
        <f>IFERROR(VLOOKUP(J360,Capacity!$A$3:$F$532,6,), "0")</f>
        <v>0</v>
      </c>
      <c r="M360" s="5">
        <f t="shared" si="45"/>
        <v>0</v>
      </c>
      <c r="N360" s="5">
        <f t="shared" si="46"/>
        <v>0</v>
      </c>
      <c r="O360">
        <v>37</v>
      </c>
      <c r="P360">
        <f>IFERROR(VLOOKUP(O360,Capacity!$A$3:$D$532,4,), "0")</f>
        <v>17.649467226800002</v>
      </c>
      <c r="Q360" s="4">
        <f>IFERROR(VLOOKUP(O360,Capacity!$A$3:$F$532,6,), "0")</f>
        <v>0.26500000000000001</v>
      </c>
      <c r="R360" s="5">
        <f t="shared" si="47"/>
        <v>17.649467226800002</v>
      </c>
      <c r="S360" s="5">
        <f t="shared" si="51"/>
        <v>0.26500000000000001</v>
      </c>
      <c r="U360">
        <v>399</v>
      </c>
      <c r="V360">
        <v>0</v>
      </c>
      <c r="W360">
        <v>0</v>
      </c>
      <c r="X360">
        <v>1</v>
      </c>
      <c r="AB360">
        <f t="shared" si="48"/>
        <v>0</v>
      </c>
      <c r="AC360">
        <f t="shared" si="49"/>
        <v>0</v>
      </c>
      <c r="AD360">
        <f t="shared" si="50"/>
        <v>0</v>
      </c>
      <c r="AE360">
        <f t="shared" si="52"/>
        <v>0</v>
      </c>
      <c r="AG360">
        <f t="shared" si="53"/>
        <v>0</v>
      </c>
    </row>
    <row r="361" spans="1:33" x14ac:dyDescent="0.25">
      <c r="A361">
        <v>36</v>
      </c>
      <c r="B361">
        <f>IFERROR(VLOOKUP(A361,Capacity!$A$3:$D$532,4,), "0")</f>
        <v>17.649467226800002</v>
      </c>
      <c r="C361" s="4">
        <f>IFERROR(VLOOKUP(A361,Capacity!$A$3:$F$532,6,), "0")</f>
        <v>0.26500000000000001</v>
      </c>
      <c r="D361">
        <v>516</v>
      </c>
      <c r="E361">
        <f>IFERROR(VLOOKUP(D361,Capacity!$A$3:$D$532,4,), "0")</f>
        <v>248.81413392000002</v>
      </c>
      <c r="F361" s="4">
        <f>IFERROR(VLOOKUP(D361,Capacity!$A$3:$F$532,6,), "0")</f>
        <v>0.6</v>
      </c>
      <c r="G361">
        <v>397</v>
      </c>
      <c r="H361">
        <f>IFERROR(VLOOKUP(G361,Capacity!$A$3:$D$532,4,), "0")</f>
        <v>254.46900059999999</v>
      </c>
      <c r="I361" s="4">
        <f>IFERROR(VLOOKUP(G361,Capacity!$A$3:$F$532,6,), "0")</f>
        <v>0.6</v>
      </c>
      <c r="J361">
        <v>34</v>
      </c>
      <c r="K361">
        <f>IFERROR(VLOOKUP(J361,Capacity!$A$3:$D$532,4,), "0")</f>
        <v>17.649467226800002</v>
      </c>
      <c r="L361" s="4">
        <f>IFERROR(VLOOKUP(J361,Capacity!$A$3:$F$532,6,), "0")</f>
        <v>0.26500000000000001</v>
      </c>
      <c r="M361" s="5">
        <f t="shared" si="45"/>
        <v>520.93260174679995</v>
      </c>
      <c r="N361" s="5">
        <f t="shared" si="46"/>
        <v>1.4649999999999999</v>
      </c>
      <c r="O361">
        <v>37</v>
      </c>
      <c r="P361">
        <f>IFERROR(VLOOKUP(O361,Capacity!$A$3:$D$532,4,), "0")</f>
        <v>17.649467226800002</v>
      </c>
      <c r="Q361" s="4">
        <f>IFERROR(VLOOKUP(O361,Capacity!$A$3:$F$532,6,), "0")</f>
        <v>0.26500000000000001</v>
      </c>
      <c r="R361" s="5">
        <f t="shared" si="47"/>
        <v>17.649467226800002</v>
      </c>
      <c r="S361" s="5">
        <f t="shared" si="51"/>
        <v>0.26500000000000001</v>
      </c>
      <c r="U361">
        <v>36</v>
      </c>
      <c r="V361">
        <v>3</v>
      </c>
      <c r="W361">
        <v>3</v>
      </c>
      <c r="X361">
        <v>1</v>
      </c>
      <c r="AB361">
        <f t="shared" si="48"/>
        <v>29.515485938056241</v>
      </c>
      <c r="AC361">
        <f t="shared" si="49"/>
        <v>29.515485938056241</v>
      </c>
      <c r="AD361">
        <f t="shared" si="50"/>
        <v>5.5283018867924518</v>
      </c>
      <c r="AE361">
        <f t="shared" si="52"/>
        <v>5.5283018867924518</v>
      </c>
      <c r="AG361">
        <f t="shared" si="53"/>
        <v>14.75774296902812</v>
      </c>
    </row>
    <row r="362" spans="1:33" x14ac:dyDescent="0.25">
      <c r="A362">
        <v>335</v>
      </c>
      <c r="B362">
        <f>IFERROR(VLOOKUP(A362,Capacity!$A$3:$D$532,4,), "0")</f>
        <v>5.0265481600000008</v>
      </c>
      <c r="C362" s="4">
        <f>IFERROR(VLOOKUP(A362,Capacity!$A$3:$F$532,6,), "0")</f>
        <v>0.2</v>
      </c>
      <c r="D362">
        <v>334</v>
      </c>
      <c r="E362">
        <f>IFERROR(VLOOKUP(D362,Capacity!$A$3:$D$532,4,), "0")</f>
        <v>345.57518600000003</v>
      </c>
      <c r="F362" s="4">
        <f>IFERROR(VLOOKUP(D362,Capacity!$A$3:$F$532,6,), "0")</f>
        <v>1</v>
      </c>
      <c r="H362" t="str">
        <f>IFERROR(VLOOKUP(G362,Capacity!$A$3:$D$532,4,), "0")</f>
        <v>0</v>
      </c>
      <c r="I362" s="4" t="str">
        <f>IFERROR(VLOOKUP(G362,Capacity!$A$3:$F$532,6,), "0")</f>
        <v>0</v>
      </c>
      <c r="K362" t="str">
        <f>IFERROR(VLOOKUP(J362,Capacity!$A$3:$D$532,4,), "0")</f>
        <v>0</v>
      </c>
      <c r="L362" s="4" t="str">
        <f>IFERROR(VLOOKUP(J362,Capacity!$A$3:$F$532,6,), "0")</f>
        <v>0</v>
      </c>
      <c r="M362" s="5">
        <f t="shared" si="45"/>
        <v>345.57518600000003</v>
      </c>
      <c r="N362" s="5">
        <f t="shared" si="46"/>
        <v>1</v>
      </c>
      <c r="O362">
        <v>336</v>
      </c>
      <c r="P362">
        <f>IFERROR(VLOOKUP(O362,Capacity!$A$3:$D$532,4,), "0")</f>
        <v>22.619466719999998</v>
      </c>
      <c r="Q362" s="4">
        <f>IFERROR(VLOOKUP(O362,Capacity!$A$3:$F$532,6,), "0")</f>
        <v>0.3</v>
      </c>
      <c r="R362" s="5">
        <f t="shared" si="47"/>
        <v>22.619466719999998</v>
      </c>
      <c r="S362" s="5">
        <f t="shared" si="51"/>
        <v>0.3</v>
      </c>
      <c r="U362">
        <v>335</v>
      </c>
      <c r="V362">
        <v>2</v>
      </c>
      <c r="W362">
        <v>2</v>
      </c>
      <c r="X362">
        <v>1</v>
      </c>
      <c r="AB362">
        <f t="shared" si="48"/>
        <v>15.27777777777778</v>
      </c>
      <c r="AC362">
        <f t="shared" si="49"/>
        <v>68.75</v>
      </c>
      <c r="AD362">
        <f t="shared" si="50"/>
        <v>3.3333333333333335</v>
      </c>
      <c r="AE362">
        <f t="shared" si="52"/>
        <v>5</v>
      </c>
      <c r="AG362">
        <f t="shared" si="53"/>
        <v>12.500000000000002</v>
      </c>
    </row>
    <row r="363" spans="1:33" x14ac:dyDescent="0.25">
      <c r="A363">
        <v>74</v>
      </c>
      <c r="B363">
        <f>IFERROR(VLOOKUP(A363,Capacity!$A$3:$D$532,4,), "0")</f>
        <v>90.477866879999993</v>
      </c>
      <c r="C363" s="4">
        <f>IFERROR(VLOOKUP(A363,Capacity!$A$3:$F$532,6,), "0")</f>
        <v>0.6</v>
      </c>
      <c r="D363">
        <v>73</v>
      </c>
      <c r="E363">
        <f>IFERROR(VLOOKUP(D363,Capacity!$A$3:$D$532,4,), "0")</f>
        <v>90.477866879999993</v>
      </c>
      <c r="F363" s="4">
        <f>IFERROR(VLOOKUP(D363,Capacity!$A$3:$F$532,6,), "0")</f>
        <v>0.6</v>
      </c>
      <c r="H363" t="str">
        <f>IFERROR(VLOOKUP(G363,Capacity!$A$3:$D$532,4,), "0")</f>
        <v>0</v>
      </c>
      <c r="I363" s="4" t="str">
        <f>IFERROR(VLOOKUP(G363,Capacity!$A$3:$F$532,6,), "0")</f>
        <v>0</v>
      </c>
      <c r="K363" t="str">
        <f>IFERROR(VLOOKUP(J363,Capacity!$A$3:$D$532,4,), "0")</f>
        <v>0</v>
      </c>
      <c r="L363" s="4" t="str">
        <f>IFERROR(VLOOKUP(J363,Capacity!$A$3:$F$532,6,), "0")</f>
        <v>0</v>
      </c>
      <c r="M363" s="5">
        <f t="shared" si="45"/>
        <v>90.477866879999993</v>
      </c>
      <c r="N363" s="5">
        <f t="shared" si="46"/>
        <v>0.6</v>
      </c>
      <c r="O363">
        <v>75</v>
      </c>
      <c r="P363">
        <f>IFERROR(VLOOKUP(O363,Capacity!$A$3:$D$532,4,), "0")</f>
        <v>90.477866879999993</v>
      </c>
      <c r="Q363" s="4">
        <f>IFERROR(VLOOKUP(O363,Capacity!$A$3:$F$532,6,), "0")</f>
        <v>0.6</v>
      </c>
      <c r="R363" s="5">
        <f t="shared" si="47"/>
        <v>90.477866879999993</v>
      </c>
      <c r="S363" s="5">
        <f t="shared" si="51"/>
        <v>0.6</v>
      </c>
      <c r="U363">
        <v>74</v>
      </c>
      <c r="V363">
        <v>1</v>
      </c>
      <c r="W363">
        <v>1</v>
      </c>
      <c r="X363">
        <v>1</v>
      </c>
      <c r="AB363">
        <f t="shared" si="48"/>
        <v>1</v>
      </c>
      <c r="AC363">
        <f t="shared" si="49"/>
        <v>1</v>
      </c>
      <c r="AD363">
        <f t="shared" si="50"/>
        <v>1</v>
      </c>
      <c r="AE363">
        <f t="shared" si="52"/>
        <v>1</v>
      </c>
      <c r="AG363">
        <f t="shared" si="53"/>
        <v>0.5</v>
      </c>
    </row>
    <row r="364" spans="1:33" x14ac:dyDescent="0.25">
      <c r="A364">
        <v>396</v>
      </c>
      <c r="B364">
        <f>IFERROR(VLOOKUP(A364,Capacity!$A$3:$D$532,4,), "0")</f>
        <v>21.166480142499999</v>
      </c>
      <c r="C364" s="4">
        <f>IFERROR(VLOOKUP(A364,Capacity!$A$3:$F$532,6,), "0")</f>
        <v>0.17499999999999999</v>
      </c>
      <c r="E364" t="str">
        <f>IFERROR(VLOOKUP(D364,Capacity!$A$3:$D$532,4,), "0")</f>
        <v>0</v>
      </c>
      <c r="F364" s="4" t="str">
        <f>IFERROR(VLOOKUP(D364,Capacity!$A$3:$F$532,6,), "0")</f>
        <v>0</v>
      </c>
      <c r="H364" t="str">
        <f>IFERROR(VLOOKUP(G364,Capacity!$A$3:$D$532,4,), "0")</f>
        <v>0</v>
      </c>
      <c r="I364" s="4" t="str">
        <f>IFERROR(VLOOKUP(G364,Capacity!$A$3:$F$532,6,), "0")</f>
        <v>0</v>
      </c>
      <c r="K364" t="str">
        <f>IFERROR(VLOOKUP(J364,Capacity!$A$3:$D$532,4,), "0")</f>
        <v>0</v>
      </c>
      <c r="L364" s="4" t="str">
        <f>IFERROR(VLOOKUP(J364,Capacity!$A$3:$F$532,6,), "0")</f>
        <v>0</v>
      </c>
      <c r="M364" s="5">
        <f t="shared" si="45"/>
        <v>0</v>
      </c>
      <c r="N364" s="5">
        <f t="shared" si="46"/>
        <v>0</v>
      </c>
      <c r="O364">
        <v>199</v>
      </c>
      <c r="P364">
        <f>IFERROR(VLOOKUP(O364,Capacity!$A$3:$D$532,4,), "0")</f>
        <v>17.649467226800002</v>
      </c>
      <c r="Q364" s="4">
        <f>IFERROR(VLOOKUP(O364,Capacity!$A$3:$F$532,6,), "0")</f>
        <v>0.26500000000000001</v>
      </c>
      <c r="R364" s="5">
        <f t="shared" si="47"/>
        <v>17.649467226800002</v>
      </c>
      <c r="S364" s="5">
        <f t="shared" si="51"/>
        <v>0.26500000000000001</v>
      </c>
      <c r="U364">
        <v>396</v>
      </c>
      <c r="V364">
        <v>0</v>
      </c>
      <c r="W364">
        <v>0</v>
      </c>
      <c r="X364">
        <v>1</v>
      </c>
      <c r="AB364">
        <f t="shared" si="48"/>
        <v>0</v>
      </c>
      <c r="AC364">
        <f t="shared" si="49"/>
        <v>0</v>
      </c>
      <c r="AD364">
        <f t="shared" si="50"/>
        <v>0</v>
      </c>
      <c r="AE364">
        <f t="shared" si="52"/>
        <v>0</v>
      </c>
      <c r="AG364">
        <f t="shared" si="53"/>
        <v>0</v>
      </c>
    </row>
    <row r="365" spans="1:33" x14ac:dyDescent="0.25">
      <c r="A365">
        <v>222</v>
      </c>
      <c r="B365">
        <f>IFERROR(VLOOKUP(A365,Capacity!$A$3:$D$532,4,), "0")</f>
        <v>17.649467226800002</v>
      </c>
      <c r="C365" s="4">
        <f>IFERROR(VLOOKUP(A365,Capacity!$A$3:$F$532,6,), "0")</f>
        <v>0.26500000000000001</v>
      </c>
      <c r="D365">
        <v>394</v>
      </c>
      <c r="E365">
        <f>IFERROR(VLOOKUP(D365,Capacity!$A$3:$D$532,4,), "0")</f>
        <v>21.166480142499999</v>
      </c>
      <c r="F365" s="4">
        <f>IFERROR(VLOOKUP(D365,Capacity!$A$3:$F$532,6,), "0")</f>
        <v>0.17499999999999999</v>
      </c>
      <c r="G365">
        <v>225</v>
      </c>
      <c r="H365">
        <f>IFERROR(VLOOKUP(G365,Capacity!$A$3:$D$532,4,), "0")</f>
        <v>17.649467226800002</v>
      </c>
      <c r="I365" s="4">
        <f>IFERROR(VLOOKUP(G365,Capacity!$A$3:$F$532,6,), "0")</f>
        <v>0.26500000000000001</v>
      </c>
      <c r="K365" t="str">
        <f>IFERROR(VLOOKUP(J365,Capacity!$A$3:$D$532,4,), "0")</f>
        <v>0</v>
      </c>
      <c r="L365" s="4" t="str">
        <f>IFERROR(VLOOKUP(J365,Capacity!$A$3:$F$532,6,), "0")</f>
        <v>0</v>
      </c>
      <c r="M365" s="5">
        <f t="shared" si="45"/>
        <v>38.815947369300005</v>
      </c>
      <c r="N365" s="5">
        <f t="shared" si="46"/>
        <v>0.44</v>
      </c>
      <c r="O365">
        <v>199</v>
      </c>
      <c r="P365">
        <f>IFERROR(VLOOKUP(O365,Capacity!$A$3:$D$532,4,), "0")</f>
        <v>17.649467226800002</v>
      </c>
      <c r="Q365" s="4">
        <f>IFERROR(VLOOKUP(O365,Capacity!$A$3:$F$532,6,), "0")</f>
        <v>0.26500000000000001</v>
      </c>
      <c r="R365" s="5">
        <f t="shared" si="47"/>
        <v>17.649467226800002</v>
      </c>
      <c r="S365" s="5">
        <f t="shared" si="51"/>
        <v>0.26500000000000001</v>
      </c>
      <c r="U365">
        <v>222</v>
      </c>
      <c r="V365">
        <v>3</v>
      </c>
      <c r="W365">
        <v>3</v>
      </c>
      <c r="X365">
        <v>1</v>
      </c>
      <c r="AB365">
        <f t="shared" si="48"/>
        <v>2.1992702029191884</v>
      </c>
      <c r="AC365">
        <f t="shared" si="49"/>
        <v>2.1992702029191884</v>
      </c>
      <c r="AD365">
        <f t="shared" si="50"/>
        <v>1.6603773584905659</v>
      </c>
      <c r="AE365">
        <f t="shared" si="52"/>
        <v>1.6603773584905659</v>
      </c>
      <c r="AG365">
        <f t="shared" si="53"/>
        <v>1.0996351014595942</v>
      </c>
    </row>
    <row r="366" spans="1:33" x14ac:dyDescent="0.25">
      <c r="A366">
        <v>228</v>
      </c>
      <c r="B366">
        <f>IFERROR(VLOOKUP(A366,Capacity!$A$3:$D$532,4,), "0")</f>
        <v>16.836972840624998</v>
      </c>
      <c r="C366" s="4">
        <f>IFERROR(VLOOKUP(A366,Capacity!$A$3:$F$532,6,), "0")</f>
        <v>0.17499999999999999</v>
      </c>
      <c r="D366">
        <v>480</v>
      </c>
      <c r="E366">
        <f>IFERROR(VLOOKUP(D366,Capacity!$A$3:$D$532,4,), "0")</f>
        <v>16.836972840624998</v>
      </c>
      <c r="F366" s="4">
        <f>IFERROR(VLOOKUP(D366,Capacity!$A$3:$F$532,6,), "0")</f>
        <v>0.17499999999999999</v>
      </c>
      <c r="H366" t="str">
        <f>IFERROR(VLOOKUP(G366,Capacity!$A$3:$D$532,4,), "0")</f>
        <v>0</v>
      </c>
      <c r="I366" s="4" t="str">
        <f>IFERROR(VLOOKUP(G366,Capacity!$A$3:$F$532,6,), "0")</f>
        <v>0</v>
      </c>
      <c r="K366" t="str">
        <f>IFERROR(VLOOKUP(J366,Capacity!$A$3:$D$532,4,), "0")</f>
        <v>0</v>
      </c>
      <c r="L366" s="4" t="str">
        <f>IFERROR(VLOOKUP(J366,Capacity!$A$3:$F$532,6,), "0")</f>
        <v>0</v>
      </c>
      <c r="M366" s="5">
        <f t="shared" si="45"/>
        <v>16.836972840624998</v>
      </c>
      <c r="N366" s="5">
        <f t="shared" si="46"/>
        <v>0.17499999999999999</v>
      </c>
      <c r="O366">
        <v>229</v>
      </c>
      <c r="P366">
        <f>IFERROR(VLOOKUP(O366,Capacity!$A$3:$D$532,4,), "0")</f>
        <v>47.432943172025006</v>
      </c>
      <c r="Q366" s="4">
        <f>IFERROR(VLOOKUP(O366,Capacity!$A$3:$F$532,6,), "0")</f>
        <v>0.26500000000000001</v>
      </c>
      <c r="R366" s="5">
        <f t="shared" si="47"/>
        <v>47.432943172025006</v>
      </c>
      <c r="S366" s="5">
        <f t="shared" si="51"/>
        <v>0.26500000000000001</v>
      </c>
      <c r="U366">
        <v>228</v>
      </c>
      <c r="V366">
        <v>1</v>
      </c>
      <c r="W366">
        <v>1</v>
      </c>
      <c r="X366">
        <v>1</v>
      </c>
      <c r="AB366">
        <f t="shared" si="48"/>
        <v>0.35496369642428399</v>
      </c>
      <c r="AC366">
        <f t="shared" si="49"/>
        <v>1</v>
      </c>
      <c r="AD366">
        <f t="shared" si="50"/>
        <v>0.660377358490566</v>
      </c>
      <c r="AE366">
        <f t="shared" si="52"/>
        <v>1</v>
      </c>
      <c r="AG366">
        <f t="shared" si="53"/>
        <v>0.26197284647627422</v>
      </c>
    </row>
    <row r="367" spans="1:33" x14ac:dyDescent="0.25">
      <c r="A367">
        <v>236</v>
      </c>
      <c r="B367">
        <f>IFERROR(VLOOKUP(A367,Capacity!$A$3:$D$532,4,), "0")</f>
        <v>26.474200840200002</v>
      </c>
      <c r="C367" s="4">
        <f>IFERROR(VLOOKUP(A367,Capacity!$A$3:$F$532,6,), "0")</f>
        <v>0.26500000000000001</v>
      </c>
      <c r="E367" t="str">
        <f>IFERROR(VLOOKUP(D367,Capacity!$A$3:$D$532,4,), "0")</f>
        <v>0</v>
      </c>
      <c r="F367" s="4" t="str">
        <f>IFERROR(VLOOKUP(D367,Capacity!$A$3:$F$532,6,), "0")</f>
        <v>0</v>
      </c>
      <c r="H367" t="str">
        <f>IFERROR(VLOOKUP(G367,Capacity!$A$3:$D$532,4,), "0")</f>
        <v>0</v>
      </c>
      <c r="I367" s="4" t="str">
        <f>IFERROR(VLOOKUP(G367,Capacity!$A$3:$F$532,6,), "0")</f>
        <v>0</v>
      </c>
      <c r="K367" t="str">
        <f>IFERROR(VLOOKUP(J367,Capacity!$A$3:$D$532,4,), "0")</f>
        <v>0</v>
      </c>
      <c r="L367" s="4" t="str">
        <f>IFERROR(VLOOKUP(J367,Capacity!$A$3:$F$532,6,), "0")</f>
        <v>0</v>
      </c>
      <c r="M367" s="5">
        <f t="shared" si="45"/>
        <v>0</v>
      </c>
      <c r="N367" s="5">
        <f t="shared" si="46"/>
        <v>0</v>
      </c>
      <c r="O367">
        <v>67</v>
      </c>
      <c r="P367">
        <f>IFERROR(VLOOKUP(O367,Capacity!$A$3:$D$532,4,), "0")</f>
        <v>17.649467226800002</v>
      </c>
      <c r="Q367" s="4">
        <f>IFERROR(VLOOKUP(O367,Capacity!$A$3:$F$532,6,), "0")</f>
        <v>0.26500000000000001</v>
      </c>
      <c r="R367" s="5">
        <f t="shared" si="47"/>
        <v>17.649467226800002</v>
      </c>
      <c r="S367" s="5">
        <f t="shared" si="51"/>
        <v>0.26500000000000001</v>
      </c>
      <c r="U367">
        <v>236</v>
      </c>
      <c r="V367">
        <v>1</v>
      </c>
      <c r="W367">
        <v>1</v>
      </c>
      <c r="X367">
        <v>1</v>
      </c>
      <c r="AB367">
        <f t="shared" si="48"/>
        <v>0</v>
      </c>
      <c r="AC367">
        <f t="shared" si="49"/>
        <v>0</v>
      </c>
      <c r="AD367">
        <f t="shared" si="50"/>
        <v>0</v>
      </c>
      <c r="AE367">
        <f t="shared" si="52"/>
        <v>0</v>
      </c>
      <c r="AG367">
        <f t="shared" si="53"/>
        <v>0</v>
      </c>
    </row>
    <row r="368" spans="1:33" x14ac:dyDescent="0.25">
      <c r="A368">
        <v>66</v>
      </c>
      <c r="B368">
        <f>IFERROR(VLOOKUP(A368,Capacity!$A$3:$D$532,4,), "0")</f>
        <v>25.977043811249995</v>
      </c>
      <c r="C368" s="4">
        <f>IFERROR(VLOOKUP(A368,Capacity!$A$3:$F$532,6,), "0")</f>
        <v>0.17499999999999999</v>
      </c>
      <c r="D368">
        <v>389</v>
      </c>
      <c r="E368">
        <f>IFERROR(VLOOKUP(D368,Capacity!$A$3:$D$532,4,), "0")</f>
        <v>7.6969018699999987</v>
      </c>
      <c r="F368" s="4">
        <f>IFERROR(VLOOKUP(D368,Capacity!$A$3:$F$532,6,), "0")</f>
        <v>0.17499999999999999</v>
      </c>
      <c r="G368">
        <v>234</v>
      </c>
      <c r="H368">
        <f>IFERROR(VLOOKUP(G368,Capacity!$A$3:$D$532,4,), "0")</f>
        <v>11.545352804999998</v>
      </c>
      <c r="I368" s="4">
        <f>IFERROR(VLOOKUP(G368,Capacity!$A$3:$F$532,6,), "0")</f>
        <v>0.17499999999999999</v>
      </c>
      <c r="K368" t="str">
        <f>IFERROR(VLOOKUP(J368,Capacity!$A$3:$D$532,4,), "0")</f>
        <v>0</v>
      </c>
      <c r="L368" s="4" t="str">
        <f>IFERROR(VLOOKUP(J368,Capacity!$A$3:$F$532,6,), "0")</f>
        <v>0</v>
      </c>
      <c r="M368" s="5">
        <f t="shared" si="45"/>
        <v>19.242254674999998</v>
      </c>
      <c r="N368" s="5">
        <f t="shared" si="46"/>
        <v>0.35</v>
      </c>
      <c r="O368">
        <v>62</v>
      </c>
      <c r="P368">
        <f>IFERROR(VLOOKUP(O368,Capacity!$A$3:$D$532,4,), "0")</f>
        <v>4.8105636687499995</v>
      </c>
      <c r="Q368" s="4">
        <f>IFERROR(VLOOKUP(O368,Capacity!$A$3:$F$532,6,), "0")</f>
        <v>0.17499999999999999</v>
      </c>
      <c r="R368" s="5">
        <f t="shared" si="47"/>
        <v>4.8105636687499995</v>
      </c>
      <c r="S368" s="5">
        <f t="shared" si="51"/>
        <v>0.17499999999999999</v>
      </c>
      <c r="U368">
        <v>66</v>
      </c>
      <c r="V368">
        <v>3</v>
      </c>
      <c r="W368">
        <v>3</v>
      </c>
      <c r="X368">
        <v>1</v>
      </c>
      <c r="AB368">
        <f t="shared" si="48"/>
        <v>4</v>
      </c>
      <c r="AC368">
        <f t="shared" si="49"/>
        <v>0.74074074074074081</v>
      </c>
      <c r="AD368">
        <f t="shared" si="50"/>
        <v>2</v>
      </c>
      <c r="AE368">
        <f t="shared" si="52"/>
        <v>2</v>
      </c>
      <c r="AG368">
        <f t="shared" si="53"/>
        <v>0.625</v>
      </c>
    </row>
    <row r="369" spans="1:33" x14ac:dyDescent="0.25">
      <c r="A369">
        <v>65</v>
      </c>
      <c r="B369">
        <f>IFERROR(VLOOKUP(A369,Capacity!$A$3:$D$532,4,), "0")</f>
        <v>24.052818343749998</v>
      </c>
      <c r="C369" s="4">
        <f>IFERROR(VLOOKUP(A369,Capacity!$A$3:$F$532,6,), "0")</f>
        <v>0.17499999999999999</v>
      </c>
      <c r="D369">
        <v>387</v>
      </c>
      <c r="E369">
        <f>IFERROR(VLOOKUP(D369,Capacity!$A$3:$D$532,4,), "0")</f>
        <v>7.6969018699999987</v>
      </c>
      <c r="F369" s="4">
        <f>IFERROR(VLOOKUP(D369,Capacity!$A$3:$F$532,6,), "0")</f>
        <v>0.17499999999999999</v>
      </c>
      <c r="H369" t="str">
        <f>IFERROR(VLOOKUP(G369,Capacity!$A$3:$D$532,4,), "0")</f>
        <v>0</v>
      </c>
      <c r="I369" s="4" t="str">
        <f>IFERROR(VLOOKUP(G369,Capacity!$A$3:$F$532,6,), "0")</f>
        <v>0</v>
      </c>
      <c r="K369" t="str">
        <f>IFERROR(VLOOKUP(J369,Capacity!$A$3:$D$532,4,), "0")</f>
        <v>0</v>
      </c>
      <c r="L369" s="4" t="str">
        <f>IFERROR(VLOOKUP(J369,Capacity!$A$3:$F$532,6,), "0")</f>
        <v>0</v>
      </c>
      <c r="M369" s="5">
        <f t="shared" si="45"/>
        <v>7.6969018699999987</v>
      </c>
      <c r="N369" s="5">
        <f t="shared" si="46"/>
        <v>0.17499999999999999</v>
      </c>
      <c r="O369">
        <v>63</v>
      </c>
      <c r="P369">
        <f>IFERROR(VLOOKUP(O369,Capacity!$A$3:$D$532,4,), "0")</f>
        <v>10.102183704374999</v>
      </c>
      <c r="Q369" s="4">
        <f>IFERROR(VLOOKUP(O369,Capacity!$A$3:$F$532,6,), "0")</f>
        <v>0.17499999999999999</v>
      </c>
      <c r="R369" s="5">
        <f t="shared" si="47"/>
        <v>10.102183704374999</v>
      </c>
      <c r="S369" s="5">
        <f t="shared" si="51"/>
        <v>0.17499999999999999</v>
      </c>
      <c r="U369">
        <v>65</v>
      </c>
      <c r="V369">
        <v>2</v>
      </c>
      <c r="W369">
        <v>2</v>
      </c>
      <c r="X369">
        <v>1</v>
      </c>
      <c r="AB369">
        <f t="shared" si="48"/>
        <v>0.76190476190476186</v>
      </c>
      <c r="AC369">
        <f t="shared" si="49"/>
        <v>0.31999999999999995</v>
      </c>
      <c r="AD369">
        <f t="shared" si="50"/>
        <v>1</v>
      </c>
      <c r="AE369">
        <f t="shared" si="52"/>
        <v>1</v>
      </c>
      <c r="AG369">
        <f t="shared" si="53"/>
        <v>0.22535211267605632</v>
      </c>
    </row>
    <row r="370" spans="1:33" x14ac:dyDescent="0.25">
      <c r="A370">
        <v>64</v>
      </c>
      <c r="B370">
        <f>IFERROR(VLOOKUP(A370,Capacity!$A$3:$D$532,4,), "0")</f>
        <v>15.874860106874999</v>
      </c>
      <c r="C370" s="4">
        <f>IFERROR(VLOOKUP(A370,Capacity!$A$3:$F$532,6,), "0")</f>
        <v>0.17499999999999999</v>
      </c>
      <c r="D370">
        <v>386</v>
      </c>
      <c r="E370">
        <f>IFERROR(VLOOKUP(D370,Capacity!$A$3:$D$532,4,), "0")</f>
        <v>19.242254674999998</v>
      </c>
      <c r="F370" s="4">
        <f>IFERROR(VLOOKUP(D370,Capacity!$A$3:$F$532,6,), "0")</f>
        <v>0.17499999999999999</v>
      </c>
      <c r="G370">
        <v>1</v>
      </c>
      <c r="H370">
        <f>IFERROR(VLOOKUP(G370,Capacity!$A$3:$D$532,4,), "0")</f>
        <v>11.545352804999998</v>
      </c>
      <c r="I370" s="4">
        <f>IFERROR(VLOOKUP(G370,Capacity!$A$3:$F$532,6,), "0")</f>
        <v>0.17499999999999999</v>
      </c>
      <c r="K370" t="str">
        <f>IFERROR(VLOOKUP(J370,Capacity!$A$3:$D$532,4,), "0")</f>
        <v>0</v>
      </c>
      <c r="L370" s="4" t="str">
        <f>IFERROR(VLOOKUP(J370,Capacity!$A$3:$F$532,6,), "0")</f>
        <v>0</v>
      </c>
      <c r="M370" s="5">
        <f t="shared" si="45"/>
        <v>30.787607479999998</v>
      </c>
      <c r="N370" s="5">
        <f t="shared" si="46"/>
        <v>0.35</v>
      </c>
      <c r="O370">
        <v>63</v>
      </c>
      <c r="P370">
        <f>IFERROR(VLOOKUP(O370,Capacity!$A$3:$D$532,4,), "0")</f>
        <v>10.102183704374999</v>
      </c>
      <c r="Q370" s="4">
        <f>IFERROR(VLOOKUP(O370,Capacity!$A$3:$F$532,6,), "0")</f>
        <v>0.17499999999999999</v>
      </c>
      <c r="R370" s="5">
        <f t="shared" si="47"/>
        <v>10.102183704374999</v>
      </c>
      <c r="S370" s="5">
        <f t="shared" si="51"/>
        <v>0.17499999999999999</v>
      </c>
      <c r="U370">
        <v>64</v>
      </c>
      <c r="V370">
        <v>3</v>
      </c>
      <c r="W370">
        <v>3</v>
      </c>
      <c r="X370">
        <v>1</v>
      </c>
      <c r="AB370">
        <f t="shared" si="48"/>
        <v>3.0476190476190474</v>
      </c>
      <c r="AC370">
        <f t="shared" si="49"/>
        <v>1.9393939393939394</v>
      </c>
      <c r="AD370">
        <f t="shared" si="50"/>
        <v>2</v>
      </c>
      <c r="AE370">
        <f t="shared" si="52"/>
        <v>2</v>
      </c>
      <c r="AG370">
        <f t="shared" si="53"/>
        <v>1.1851851851851851</v>
      </c>
    </row>
    <row r="371" spans="1:33" x14ac:dyDescent="0.25">
      <c r="A371">
        <v>517</v>
      </c>
      <c r="B371">
        <f>IFERROR(VLOOKUP(A371,Capacity!$A$3:$D$532,4,), "0")</f>
        <v>15.393803739999997</v>
      </c>
      <c r="C371" s="4">
        <f>IFERROR(VLOOKUP(A371,Capacity!$A$3:$F$532,6,), "0")</f>
        <v>0.17499999999999999</v>
      </c>
      <c r="E371" t="str">
        <f>IFERROR(VLOOKUP(D371,Capacity!$A$3:$D$532,4,), "0")</f>
        <v>0</v>
      </c>
      <c r="F371" s="4" t="str">
        <f>IFERROR(VLOOKUP(D371,Capacity!$A$3:$F$532,6,), "0")</f>
        <v>0</v>
      </c>
      <c r="H371" t="str">
        <f>IFERROR(VLOOKUP(G371,Capacity!$A$3:$D$532,4,), "0")</f>
        <v>0</v>
      </c>
      <c r="I371" s="4" t="str">
        <f>IFERROR(VLOOKUP(G371,Capacity!$A$3:$F$532,6,), "0")</f>
        <v>0</v>
      </c>
      <c r="K371" t="str">
        <f>IFERROR(VLOOKUP(J371,Capacity!$A$3:$D$532,4,), "0")</f>
        <v>0</v>
      </c>
      <c r="L371" s="4" t="str">
        <f>IFERROR(VLOOKUP(J371,Capacity!$A$3:$F$532,6,), "0")</f>
        <v>0</v>
      </c>
      <c r="M371" s="5">
        <f t="shared" si="45"/>
        <v>0</v>
      </c>
      <c r="N371" s="5">
        <f t="shared" si="46"/>
        <v>0</v>
      </c>
      <c r="O371">
        <v>324</v>
      </c>
      <c r="P371">
        <f>IFERROR(VLOOKUP(O371,Capacity!$A$3:$D$532,4,), "0")</f>
        <v>75.398222400000023</v>
      </c>
      <c r="Q371" s="4">
        <f>IFERROR(VLOOKUP(O371,Capacity!$A$3:$F$532,6,), "0")</f>
        <v>0.4</v>
      </c>
      <c r="R371" s="5">
        <f t="shared" si="47"/>
        <v>75.398222400000023</v>
      </c>
      <c r="S371" s="5">
        <f t="shared" si="51"/>
        <v>0.4</v>
      </c>
      <c r="U371">
        <v>517</v>
      </c>
      <c r="V371">
        <v>0</v>
      </c>
      <c r="W371">
        <v>0</v>
      </c>
      <c r="X371">
        <v>1</v>
      </c>
      <c r="AB371">
        <f t="shared" si="48"/>
        <v>0</v>
      </c>
      <c r="AC371">
        <f t="shared" si="49"/>
        <v>0</v>
      </c>
      <c r="AD371">
        <f t="shared" si="50"/>
        <v>0</v>
      </c>
      <c r="AE371">
        <f t="shared" si="52"/>
        <v>0</v>
      </c>
      <c r="AG371">
        <f t="shared" si="53"/>
        <v>0</v>
      </c>
    </row>
    <row r="372" spans="1:33" x14ac:dyDescent="0.25">
      <c r="A372">
        <v>325</v>
      </c>
      <c r="B372">
        <f>IFERROR(VLOOKUP(A372,Capacity!$A$3:$D$532,4,), "0")</f>
        <v>37.699111200000011</v>
      </c>
      <c r="C372" s="4">
        <f>IFERROR(VLOOKUP(A372,Capacity!$A$3:$F$532,6,), "0")</f>
        <v>0.4</v>
      </c>
      <c r="D372">
        <v>515</v>
      </c>
      <c r="E372">
        <f>IFERROR(VLOOKUP(D372,Capacity!$A$3:$D$532,4,), "0")</f>
        <v>16.355916473749996</v>
      </c>
      <c r="F372" s="4">
        <f>IFERROR(VLOOKUP(D372,Capacity!$A$3:$F$532,6,), "0")</f>
        <v>0.17499999999999999</v>
      </c>
      <c r="G372">
        <v>502</v>
      </c>
      <c r="H372">
        <f>IFERROR(VLOOKUP(G372,Capacity!$A$3:$D$532,4,), "0")</f>
        <v>14.431691006249999</v>
      </c>
      <c r="I372" s="4">
        <f>IFERROR(VLOOKUP(G372,Capacity!$A$3:$F$532,6,), "0")</f>
        <v>0.17499999999999999</v>
      </c>
      <c r="J372">
        <v>326</v>
      </c>
      <c r="K372">
        <f>IFERROR(VLOOKUP(J372,Capacity!$A$3:$D$532,4,), "0")</f>
        <v>37.699111200000011</v>
      </c>
      <c r="L372" s="4">
        <f>IFERROR(VLOOKUP(J372,Capacity!$A$3:$F$532,6,), "0")</f>
        <v>0.4</v>
      </c>
      <c r="M372" s="5">
        <f t="shared" si="45"/>
        <v>68.48671868000001</v>
      </c>
      <c r="N372" s="5">
        <f t="shared" si="46"/>
        <v>0.75</v>
      </c>
      <c r="O372">
        <v>324</v>
      </c>
      <c r="P372">
        <f>IFERROR(VLOOKUP(O372,Capacity!$A$3:$D$532,4,), "0")</f>
        <v>75.398222400000023</v>
      </c>
      <c r="Q372" s="4">
        <f>IFERROR(VLOOKUP(O372,Capacity!$A$3:$F$532,6,), "0")</f>
        <v>0.4</v>
      </c>
      <c r="R372" s="5">
        <f t="shared" si="47"/>
        <v>75.398222400000023</v>
      </c>
      <c r="S372" s="5">
        <f t="shared" si="51"/>
        <v>0.4</v>
      </c>
      <c r="U372">
        <v>325</v>
      </c>
      <c r="V372">
        <v>4</v>
      </c>
      <c r="W372">
        <v>4</v>
      </c>
      <c r="X372">
        <v>1</v>
      </c>
      <c r="AB372">
        <f t="shared" si="48"/>
        <v>0.90833333333333321</v>
      </c>
      <c r="AC372">
        <f t="shared" si="49"/>
        <v>1.8166666666666664</v>
      </c>
      <c r="AD372">
        <f t="shared" si="50"/>
        <v>1.875</v>
      </c>
      <c r="AE372">
        <f t="shared" si="52"/>
        <v>1.875</v>
      </c>
      <c r="AG372">
        <f t="shared" si="53"/>
        <v>0.6055555555555554</v>
      </c>
    </row>
    <row r="373" spans="1:33" x14ac:dyDescent="0.25">
      <c r="A373">
        <v>313</v>
      </c>
      <c r="B373">
        <f>IFERROR(VLOOKUP(A373,Capacity!$A$3:$D$532,4,), "0")</f>
        <v>132.53593781250001</v>
      </c>
      <c r="C373" s="4">
        <f>IFERROR(VLOOKUP(A373,Capacity!$A$3:$F$532,6,), "0")</f>
        <v>0.75</v>
      </c>
      <c r="D373">
        <v>311</v>
      </c>
      <c r="E373">
        <f>IFERROR(VLOOKUP(D373,Capacity!$A$3:$D$532,4,), "0")</f>
        <v>132.53593781250001</v>
      </c>
      <c r="F373" s="4">
        <f>IFERROR(VLOOKUP(D373,Capacity!$A$3:$F$532,6,), "0")</f>
        <v>0.75</v>
      </c>
      <c r="G373">
        <v>260</v>
      </c>
      <c r="H373">
        <f>IFERROR(VLOOKUP(G373,Capacity!$A$3:$D$532,4,), "0")</f>
        <v>15.079644480000002</v>
      </c>
      <c r="I373" s="4">
        <f>IFERROR(VLOOKUP(G373,Capacity!$A$3:$F$532,6,), "0")</f>
        <v>0.2</v>
      </c>
      <c r="K373" t="str">
        <f>IFERROR(VLOOKUP(J373,Capacity!$A$3:$D$532,4,), "0")</f>
        <v>0</v>
      </c>
      <c r="L373" s="4" t="str">
        <f>IFERROR(VLOOKUP(J373,Capacity!$A$3:$F$532,6,), "0")</f>
        <v>0</v>
      </c>
      <c r="M373" s="5">
        <f t="shared" si="45"/>
        <v>147.61558229250002</v>
      </c>
      <c r="N373" s="5">
        <f t="shared" si="46"/>
        <v>0.95</v>
      </c>
      <c r="O373">
        <v>312</v>
      </c>
      <c r="P373">
        <f>IFERROR(VLOOKUP(O373,Capacity!$A$3:$D$532,4,), "0")</f>
        <v>132.53593781250001</v>
      </c>
      <c r="Q373" s="4">
        <f>IFERROR(VLOOKUP(O373,Capacity!$A$3:$F$532,6,), "0")</f>
        <v>0.75</v>
      </c>
      <c r="R373" s="5">
        <f t="shared" si="47"/>
        <v>132.53593781250001</v>
      </c>
      <c r="S373" s="5">
        <f t="shared" si="51"/>
        <v>0.75</v>
      </c>
      <c r="U373">
        <v>313</v>
      </c>
      <c r="V373">
        <v>3</v>
      </c>
      <c r="W373">
        <v>3</v>
      </c>
      <c r="X373">
        <v>1</v>
      </c>
      <c r="AB373">
        <f t="shared" si="48"/>
        <v>1.113777777777778</v>
      </c>
      <c r="AC373">
        <f t="shared" si="49"/>
        <v>1.113777777777778</v>
      </c>
      <c r="AD373">
        <f t="shared" si="50"/>
        <v>1.2666666666666666</v>
      </c>
      <c r="AE373">
        <f t="shared" si="52"/>
        <v>1.2666666666666666</v>
      </c>
      <c r="AG373">
        <f t="shared" si="53"/>
        <v>0.55688888888888899</v>
      </c>
    </row>
    <row r="374" spans="1:33" x14ac:dyDescent="0.25">
      <c r="A374">
        <v>259</v>
      </c>
      <c r="B374">
        <f>IFERROR(VLOOKUP(A374,Capacity!$A$3:$D$532,4,), "0")</f>
        <v>11.545352804999998</v>
      </c>
      <c r="C374" s="4">
        <f>IFERROR(VLOOKUP(A374,Capacity!$A$3:$F$532,6,), "0")</f>
        <v>0.17499999999999999</v>
      </c>
      <c r="E374" t="str">
        <f>IFERROR(VLOOKUP(D374,Capacity!$A$3:$D$532,4,), "0")</f>
        <v>0</v>
      </c>
      <c r="F374" s="4" t="str">
        <f>IFERROR(VLOOKUP(D374,Capacity!$A$3:$F$532,6,), "0")</f>
        <v>0</v>
      </c>
      <c r="H374" t="str">
        <f>IFERROR(VLOOKUP(G374,Capacity!$A$3:$D$532,4,), "0")</f>
        <v>0</v>
      </c>
      <c r="I374" s="4" t="str">
        <f>IFERROR(VLOOKUP(G374,Capacity!$A$3:$F$532,6,), "0")</f>
        <v>0</v>
      </c>
      <c r="K374" t="str">
        <f>IFERROR(VLOOKUP(J374,Capacity!$A$3:$D$532,4,), "0")</f>
        <v>0</v>
      </c>
      <c r="L374" s="4" t="str">
        <f>IFERROR(VLOOKUP(J374,Capacity!$A$3:$F$532,6,), "0")</f>
        <v>0</v>
      </c>
      <c r="M374" s="5">
        <f t="shared" si="45"/>
        <v>0</v>
      </c>
      <c r="N374" s="5">
        <f t="shared" si="46"/>
        <v>0</v>
      </c>
      <c r="O374">
        <v>312</v>
      </c>
      <c r="P374">
        <f>IFERROR(VLOOKUP(O374,Capacity!$A$3:$D$532,4,), "0")</f>
        <v>132.53593781250001</v>
      </c>
      <c r="Q374" s="4">
        <f>IFERROR(VLOOKUP(O374,Capacity!$A$3:$F$532,6,), "0")</f>
        <v>0.75</v>
      </c>
      <c r="R374" s="5">
        <f t="shared" si="47"/>
        <v>132.53593781250001</v>
      </c>
      <c r="S374" s="5">
        <f t="shared" si="51"/>
        <v>0.75</v>
      </c>
      <c r="U374">
        <v>259</v>
      </c>
      <c r="V374">
        <v>0</v>
      </c>
      <c r="W374">
        <v>0</v>
      </c>
      <c r="X374">
        <v>1</v>
      </c>
      <c r="AB374">
        <f t="shared" si="48"/>
        <v>0</v>
      </c>
      <c r="AC374">
        <f t="shared" si="49"/>
        <v>0</v>
      </c>
      <c r="AD374">
        <f t="shared" si="50"/>
        <v>0</v>
      </c>
      <c r="AE374">
        <f t="shared" si="52"/>
        <v>0</v>
      </c>
      <c r="AG374">
        <f t="shared" si="53"/>
        <v>0</v>
      </c>
    </row>
    <row r="375" spans="1:33" x14ac:dyDescent="0.25">
      <c r="A375">
        <v>516</v>
      </c>
      <c r="B375">
        <f>IFERROR(VLOOKUP(A375,Capacity!$A$3:$D$532,4,), "0")</f>
        <v>248.81413392000002</v>
      </c>
      <c r="C375" s="4">
        <f>IFERROR(VLOOKUP(A375,Capacity!$A$3:$F$532,6,), "0")</f>
        <v>0.6</v>
      </c>
      <c r="E375" t="str">
        <f>IFERROR(VLOOKUP(D375,Capacity!$A$3:$D$532,4,), "0")</f>
        <v>0</v>
      </c>
      <c r="F375" s="4" t="str">
        <f>IFERROR(VLOOKUP(D375,Capacity!$A$3:$F$532,6,), "0")</f>
        <v>0</v>
      </c>
      <c r="H375" t="str">
        <f>IFERROR(VLOOKUP(G375,Capacity!$A$3:$D$532,4,), "0")</f>
        <v>0</v>
      </c>
      <c r="I375" s="4" t="str">
        <f>IFERROR(VLOOKUP(G375,Capacity!$A$3:$F$532,6,), "0")</f>
        <v>0</v>
      </c>
      <c r="K375" t="str">
        <f>IFERROR(VLOOKUP(J375,Capacity!$A$3:$D$532,4,), "0")</f>
        <v>0</v>
      </c>
      <c r="L375" s="4" t="str">
        <f>IFERROR(VLOOKUP(J375,Capacity!$A$3:$F$532,6,), "0")</f>
        <v>0</v>
      </c>
      <c r="M375" s="5">
        <f t="shared" si="45"/>
        <v>0</v>
      </c>
      <c r="N375" s="5">
        <f t="shared" si="46"/>
        <v>0</v>
      </c>
      <c r="O375">
        <v>36</v>
      </c>
      <c r="P375">
        <f>IFERROR(VLOOKUP(O375,Capacity!$A$3:$D$532,4,), "0")</f>
        <v>17.649467226800002</v>
      </c>
      <c r="Q375" s="4">
        <f>IFERROR(VLOOKUP(O375,Capacity!$A$3:$F$532,6,), "0")</f>
        <v>0.26500000000000001</v>
      </c>
      <c r="R375" s="5">
        <f t="shared" si="47"/>
        <v>17.649467226800002</v>
      </c>
      <c r="S375" s="5">
        <f t="shared" si="51"/>
        <v>0.26500000000000001</v>
      </c>
      <c r="U375">
        <v>516</v>
      </c>
      <c r="V375">
        <v>0</v>
      </c>
      <c r="W375">
        <v>0</v>
      </c>
      <c r="X375">
        <v>1</v>
      </c>
      <c r="AB375">
        <f t="shared" si="48"/>
        <v>0</v>
      </c>
      <c r="AC375">
        <f t="shared" si="49"/>
        <v>0</v>
      </c>
      <c r="AD375">
        <f t="shared" si="50"/>
        <v>0</v>
      </c>
      <c r="AE375">
        <f t="shared" si="52"/>
        <v>0</v>
      </c>
      <c r="AG375">
        <f t="shared" si="53"/>
        <v>0</v>
      </c>
    </row>
    <row r="376" spans="1:33" x14ac:dyDescent="0.25">
      <c r="A376">
        <v>397</v>
      </c>
      <c r="B376">
        <f>IFERROR(VLOOKUP(A376,Capacity!$A$3:$D$532,4,), "0")</f>
        <v>254.46900059999999</v>
      </c>
      <c r="C376" s="4">
        <f>IFERROR(VLOOKUP(A376,Capacity!$A$3:$F$532,6,), "0")</f>
        <v>0.6</v>
      </c>
      <c r="E376" t="str">
        <f>IFERROR(VLOOKUP(D376,Capacity!$A$3:$D$532,4,), "0")</f>
        <v>0</v>
      </c>
      <c r="F376" s="4" t="str">
        <f>IFERROR(VLOOKUP(D376,Capacity!$A$3:$F$532,6,), "0")</f>
        <v>0</v>
      </c>
      <c r="H376" t="str">
        <f>IFERROR(VLOOKUP(G376,Capacity!$A$3:$D$532,4,), "0")</f>
        <v>0</v>
      </c>
      <c r="I376" s="4" t="str">
        <f>IFERROR(VLOOKUP(G376,Capacity!$A$3:$F$532,6,), "0")</f>
        <v>0</v>
      </c>
      <c r="K376" t="str">
        <f>IFERROR(VLOOKUP(J376,Capacity!$A$3:$D$532,4,), "0")</f>
        <v>0</v>
      </c>
      <c r="L376" s="4" t="str">
        <f>IFERROR(VLOOKUP(J376,Capacity!$A$3:$F$532,6,), "0")</f>
        <v>0</v>
      </c>
      <c r="M376" s="5">
        <f t="shared" si="45"/>
        <v>0</v>
      </c>
      <c r="N376" s="5">
        <f t="shared" si="46"/>
        <v>0</v>
      </c>
      <c r="O376">
        <v>36</v>
      </c>
      <c r="P376">
        <f>IFERROR(VLOOKUP(O376,Capacity!$A$3:$D$532,4,), "0")</f>
        <v>17.649467226800002</v>
      </c>
      <c r="Q376" s="4">
        <f>IFERROR(VLOOKUP(O376,Capacity!$A$3:$F$532,6,), "0")</f>
        <v>0.26500000000000001</v>
      </c>
      <c r="R376" s="5">
        <f t="shared" si="47"/>
        <v>17.649467226800002</v>
      </c>
      <c r="S376" s="5">
        <f t="shared" si="51"/>
        <v>0.26500000000000001</v>
      </c>
      <c r="U376">
        <v>397</v>
      </c>
      <c r="V376">
        <v>0</v>
      </c>
      <c r="W376">
        <v>0</v>
      </c>
      <c r="X376">
        <v>1</v>
      </c>
      <c r="AB376">
        <f t="shared" si="48"/>
        <v>0</v>
      </c>
      <c r="AC376">
        <f t="shared" si="49"/>
        <v>0</v>
      </c>
      <c r="AD376">
        <f t="shared" si="50"/>
        <v>0</v>
      </c>
      <c r="AE376">
        <f t="shared" si="52"/>
        <v>0</v>
      </c>
      <c r="AG376">
        <f t="shared" si="53"/>
        <v>0</v>
      </c>
    </row>
    <row r="377" spans="1:33" x14ac:dyDescent="0.25">
      <c r="A377">
        <v>34</v>
      </c>
      <c r="B377">
        <f>IFERROR(VLOOKUP(A377,Capacity!$A$3:$D$532,4,), "0")</f>
        <v>17.649467226800002</v>
      </c>
      <c r="C377" s="4">
        <f>IFERROR(VLOOKUP(A377,Capacity!$A$3:$F$532,6,), "0")</f>
        <v>0.26500000000000001</v>
      </c>
      <c r="D377">
        <v>514</v>
      </c>
      <c r="E377">
        <f>IFERROR(VLOOKUP(D377,Capacity!$A$3:$D$532,4,), "0")</f>
        <v>248.81413392000002</v>
      </c>
      <c r="F377" s="4">
        <f>IFERROR(VLOOKUP(D377,Capacity!$A$3:$F$532,6,), "0")</f>
        <v>0.6</v>
      </c>
      <c r="G377">
        <v>395</v>
      </c>
      <c r="H377">
        <f>IFERROR(VLOOKUP(G377,Capacity!$A$3:$D$532,4,), "0")</f>
        <v>254.46900059999999</v>
      </c>
      <c r="I377" s="4">
        <f>IFERROR(VLOOKUP(G377,Capacity!$A$3:$F$532,6,), "0")</f>
        <v>0.6</v>
      </c>
      <c r="J377">
        <v>33</v>
      </c>
      <c r="K377">
        <f>IFERROR(VLOOKUP(J377,Capacity!$A$3:$D$532,4,), "0")</f>
        <v>17.649467226800002</v>
      </c>
      <c r="L377" s="4">
        <f>IFERROR(VLOOKUP(J377,Capacity!$A$3:$F$532,6,), "0")</f>
        <v>0.26500000000000001</v>
      </c>
      <c r="M377" s="5">
        <f t="shared" si="45"/>
        <v>520.93260174679995</v>
      </c>
      <c r="N377" s="5">
        <f t="shared" si="46"/>
        <v>1.4649999999999999</v>
      </c>
      <c r="O377">
        <v>36</v>
      </c>
      <c r="P377">
        <f>IFERROR(VLOOKUP(O377,Capacity!$A$3:$D$532,4,), "0")</f>
        <v>17.649467226800002</v>
      </c>
      <c r="Q377" s="4">
        <f>IFERROR(VLOOKUP(O377,Capacity!$A$3:$F$532,6,), "0")</f>
        <v>0.26500000000000001</v>
      </c>
      <c r="R377" s="5">
        <f t="shared" si="47"/>
        <v>17.649467226800002</v>
      </c>
      <c r="S377" s="5">
        <f t="shared" si="51"/>
        <v>0.26500000000000001</v>
      </c>
      <c r="U377">
        <v>34</v>
      </c>
      <c r="V377">
        <v>3</v>
      </c>
      <c r="W377">
        <v>3</v>
      </c>
      <c r="X377">
        <v>1</v>
      </c>
      <c r="AB377">
        <f t="shared" si="48"/>
        <v>29.515485938056241</v>
      </c>
      <c r="AC377">
        <f t="shared" si="49"/>
        <v>29.515485938056241</v>
      </c>
      <c r="AD377">
        <f t="shared" si="50"/>
        <v>5.5283018867924518</v>
      </c>
      <c r="AE377">
        <f t="shared" si="52"/>
        <v>5.5283018867924518</v>
      </c>
      <c r="AG377">
        <f t="shared" si="53"/>
        <v>14.75774296902812</v>
      </c>
    </row>
    <row r="378" spans="1:33" x14ac:dyDescent="0.25">
      <c r="A378">
        <v>334</v>
      </c>
      <c r="B378">
        <f>IFERROR(VLOOKUP(A378,Capacity!$A$3:$D$532,4,), "0")</f>
        <v>345.57518600000003</v>
      </c>
      <c r="C378" s="4">
        <f>IFERROR(VLOOKUP(A378,Capacity!$A$3:$F$532,6,), "0")</f>
        <v>1</v>
      </c>
      <c r="D378">
        <v>333</v>
      </c>
      <c r="E378">
        <f>IFERROR(VLOOKUP(D378,Capacity!$A$3:$D$532,4,), "0")</f>
        <v>10.053096320000002</v>
      </c>
      <c r="F378" s="4">
        <f>IFERROR(VLOOKUP(D378,Capacity!$A$3:$F$532,6,), "0")</f>
        <v>0.2</v>
      </c>
      <c r="H378" t="str">
        <f>IFERROR(VLOOKUP(G378,Capacity!$A$3:$D$532,4,), "0")</f>
        <v>0</v>
      </c>
      <c r="I378" s="4" t="str">
        <f>IFERROR(VLOOKUP(G378,Capacity!$A$3:$F$532,6,), "0")</f>
        <v>0</v>
      </c>
      <c r="K378" t="str">
        <f>IFERROR(VLOOKUP(J378,Capacity!$A$3:$D$532,4,), "0")</f>
        <v>0</v>
      </c>
      <c r="L378" s="4" t="str">
        <f>IFERROR(VLOOKUP(J378,Capacity!$A$3:$F$532,6,), "0")</f>
        <v>0</v>
      </c>
      <c r="M378" s="5">
        <f t="shared" si="45"/>
        <v>10.053096320000002</v>
      </c>
      <c r="N378" s="5">
        <f t="shared" si="46"/>
        <v>0.2</v>
      </c>
      <c r="O378">
        <v>335</v>
      </c>
      <c r="P378">
        <f>IFERROR(VLOOKUP(O378,Capacity!$A$3:$D$532,4,), "0")</f>
        <v>5.0265481600000008</v>
      </c>
      <c r="Q378" s="4">
        <f>IFERROR(VLOOKUP(O378,Capacity!$A$3:$F$532,6,), "0")</f>
        <v>0.2</v>
      </c>
      <c r="R378" s="5">
        <f t="shared" si="47"/>
        <v>5.0265481600000008</v>
      </c>
      <c r="S378" s="5">
        <f t="shared" si="51"/>
        <v>0.2</v>
      </c>
      <c r="U378">
        <v>334</v>
      </c>
      <c r="V378">
        <v>1</v>
      </c>
      <c r="W378">
        <v>1</v>
      </c>
      <c r="X378">
        <v>1</v>
      </c>
      <c r="AB378">
        <f t="shared" si="48"/>
        <v>2</v>
      </c>
      <c r="AC378">
        <f t="shared" si="49"/>
        <v>2.9090909090909094E-2</v>
      </c>
      <c r="AD378">
        <f t="shared" si="50"/>
        <v>1</v>
      </c>
      <c r="AE378">
        <f t="shared" si="52"/>
        <v>0.2</v>
      </c>
      <c r="AG378">
        <f t="shared" si="53"/>
        <v>2.8673835125448032E-2</v>
      </c>
    </row>
    <row r="379" spans="1:33" x14ac:dyDescent="0.25">
      <c r="A379">
        <v>73</v>
      </c>
      <c r="B379">
        <f>IFERROR(VLOOKUP(A379,Capacity!$A$3:$D$532,4,), "0")</f>
        <v>90.477866879999993</v>
      </c>
      <c r="C379" s="4">
        <f>IFERROR(VLOOKUP(A379,Capacity!$A$3:$F$532,6,), "0")</f>
        <v>0.6</v>
      </c>
      <c r="D379">
        <v>72</v>
      </c>
      <c r="E379">
        <f>IFERROR(VLOOKUP(D379,Capacity!$A$3:$D$532,4,), "0")</f>
        <v>90.477866879999993</v>
      </c>
      <c r="F379" s="4">
        <f>IFERROR(VLOOKUP(D379,Capacity!$A$3:$F$532,6,), "0")</f>
        <v>0.6</v>
      </c>
      <c r="H379" t="str">
        <f>IFERROR(VLOOKUP(G379,Capacity!$A$3:$D$532,4,), "0")</f>
        <v>0</v>
      </c>
      <c r="I379" s="4" t="str">
        <f>IFERROR(VLOOKUP(G379,Capacity!$A$3:$F$532,6,), "0")</f>
        <v>0</v>
      </c>
      <c r="K379" t="str">
        <f>IFERROR(VLOOKUP(J379,Capacity!$A$3:$D$532,4,), "0")</f>
        <v>0</v>
      </c>
      <c r="L379" s="4" t="str">
        <f>IFERROR(VLOOKUP(J379,Capacity!$A$3:$F$532,6,), "0")</f>
        <v>0</v>
      </c>
      <c r="M379" s="5">
        <f t="shared" si="45"/>
        <v>90.477866879999993</v>
      </c>
      <c r="N379" s="5">
        <f t="shared" si="46"/>
        <v>0.6</v>
      </c>
      <c r="O379">
        <v>74</v>
      </c>
      <c r="P379">
        <f>IFERROR(VLOOKUP(O379,Capacity!$A$3:$D$532,4,), "0")</f>
        <v>90.477866879999993</v>
      </c>
      <c r="Q379" s="4">
        <f>IFERROR(VLOOKUP(O379,Capacity!$A$3:$F$532,6,), "0")</f>
        <v>0.6</v>
      </c>
      <c r="R379" s="5">
        <f t="shared" si="47"/>
        <v>90.477866879999993</v>
      </c>
      <c r="S379" s="5">
        <f t="shared" si="51"/>
        <v>0.6</v>
      </c>
      <c r="U379">
        <v>73</v>
      </c>
      <c r="V379">
        <v>2</v>
      </c>
      <c r="W379">
        <v>2</v>
      </c>
      <c r="X379">
        <v>1</v>
      </c>
      <c r="AB379">
        <f t="shared" si="48"/>
        <v>1</v>
      </c>
      <c r="AC379">
        <f t="shared" si="49"/>
        <v>1</v>
      </c>
      <c r="AD379">
        <f t="shared" si="50"/>
        <v>1</v>
      </c>
      <c r="AE379">
        <f t="shared" si="52"/>
        <v>1</v>
      </c>
      <c r="AG379">
        <f t="shared" si="53"/>
        <v>0.5</v>
      </c>
    </row>
    <row r="380" spans="1:33" x14ac:dyDescent="0.25">
      <c r="A380">
        <v>394</v>
      </c>
      <c r="B380">
        <f>IFERROR(VLOOKUP(A380,Capacity!$A$3:$D$532,4,), "0")</f>
        <v>21.166480142499999</v>
      </c>
      <c r="C380" s="4">
        <f>IFERROR(VLOOKUP(A380,Capacity!$A$3:$F$532,6,), "0")</f>
        <v>0.17499999999999999</v>
      </c>
      <c r="E380" t="str">
        <f>IFERROR(VLOOKUP(D380,Capacity!$A$3:$D$532,4,), "0")</f>
        <v>0</v>
      </c>
      <c r="F380" s="4" t="str">
        <f>IFERROR(VLOOKUP(D380,Capacity!$A$3:$F$532,6,), "0")</f>
        <v>0</v>
      </c>
      <c r="H380" t="str">
        <f>IFERROR(VLOOKUP(G380,Capacity!$A$3:$D$532,4,), "0")</f>
        <v>0</v>
      </c>
      <c r="I380" s="4" t="str">
        <f>IFERROR(VLOOKUP(G380,Capacity!$A$3:$F$532,6,), "0")</f>
        <v>0</v>
      </c>
      <c r="K380" t="str">
        <f>IFERROR(VLOOKUP(J380,Capacity!$A$3:$D$532,4,), "0")</f>
        <v>0</v>
      </c>
      <c r="L380" s="4" t="str">
        <f>IFERROR(VLOOKUP(J380,Capacity!$A$3:$F$532,6,), "0")</f>
        <v>0</v>
      </c>
      <c r="M380" s="5">
        <f t="shared" si="45"/>
        <v>0</v>
      </c>
      <c r="N380" s="5">
        <f t="shared" si="46"/>
        <v>0</v>
      </c>
      <c r="O380">
        <v>222</v>
      </c>
      <c r="P380">
        <f>IFERROR(VLOOKUP(O380,Capacity!$A$3:$D$532,4,), "0")</f>
        <v>17.649467226800002</v>
      </c>
      <c r="Q380" s="4">
        <f>IFERROR(VLOOKUP(O380,Capacity!$A$3:$F$532,6,), "0")</f>
        <v>0.26500000000000001</v>
      </c>
      <c r="R380" s="5">
        <f t="shared" si="47"/>
        <v>17.649467226800002</v>
      </c>
      <c r="S380" s="5">
        <f t="shared" si="51"/>
        <v>0.26500000000000001</v>
      </c>
      <c r="U380">
        <v>394</v>
      </c>
      <c r="V380">
        <v>0</v>
      </c>
      <c r="W380">
        <v>0</v>
      </c>
      <c r="X380">
        <v>1</v>
      </c>
      <c r="AB380">
        <f t="shared" si="48"/>
        <v>0</v>
      </c>
      <c r="AC380">
        <f t="shared" si="49"/>
        <v>0</v>
      </c>
      <c r="AD380">
        <f t="shared" si="50"/>
        <v>0</v>
      </c>
      <c r="AE380">
        <f t="shared" si="52"/>
        <v>0</v>
      </c>
      <c r="AG380">
        <f t="shared" si="53"/>
        <v>0</v>
      </c>
    </row>
    <row r="381" spans="1:33" x14ac:dyDescent="0.25">
      <c r="A381">
        <v>225</v>
      </c>
      <c r="B381">
        <f>IFERROR(VLOOKUP(A381,Capacity!$A$3:$D$532,4,), "0")</f>
        <v>17.649467226800002</v>
      </c>
      <c r="C381" s="4">
        <f>IFERROR(VLOOKUP(A381,Capacity!$A$3:$F$532,6,), "0")</f>
        <v>0.26500000000000001</v>
      </c>
      <c r="D381">
        <v>478</v>
      </c>
      <c r="E381">
        <f>IFERROR(VLOOKUP(D381,Capacity!$A$3:$D$532,4,), "0")</f>
        <v>20.204367408749999</v>
      </c>
      <c r="F381" s="4">
        <f>IFERROR(VLOOKUP(D381,Capacity!$A$3:$F$532,6,), "0")</f>
        <v>0.17499999999999999</v>
      </c>
      <c r="G381">
        <v>392</v>
      </c>
      <c r="H381">
        <f>IFERROR(VLOOKUP(G381,Capacity!$A$3:$D$532,4,), "0")</f>
        <v>21.166480142499999</v>
      </c>
      <c r="I381" s="4">
        <f>IFERROR(VLOOKUP(G381,Capacity!$A$3:$F$532,6,), "0")</f>
        <v>0.17499999999999999</v>
      </c>
      <c r="J381">
        <v>226</v>
      </c>
      <c r="K381">
        <f>IFERROR(VLOOKUP(J381,Capacity!$A$3:$D$532,4,), "0")</f>
        <v>17.649467226800002</v>
      </c>
      <c r="L381" s="4">
        <f>IFERROR(VLOOKUP(J381,Capacity!$A$3:$F$532,6,), "0")</f>
        <v>0.26500000000000001</v>
      </c>
      <c r="M381" s="5">
        <f t="shared" si="45"/>
        <v>59.020314778049993</v>
      </c>
      <c r="N381" s="5">
        <f t="shared" si="46"/>
        <v>0.61499999999999999</v>
      </c>
      <c r="O381">
        <v>222</v>
      </c>
      <c r="P381">
        <f>IFERROR(VLOOKUP(O381,Capacity!$A$3:$D$532,4,), "0")</f>
        <v>17.649467226800002</v>
      </c>
      <c r="Q381" s="4">
        <f>IFERROR(VLOOKUP(O381,Capacity!$A$3:$F$532,6,), "0")</f>
        <v>0.26500000000000001</v>
      </c>
      <c r="R381" s="5">
        <f t="shared" si="47"/>
        <v>17.649467226800002</v>
      </c>
      <c r="S381" s="5">
        <f t="shared" si="51"/>
        <v>0.26500000000000001</v>
      </c>
      <c r="U381">
        <v>225</v>
      </c>
      <c r="V381">
        <v>3</v>
      </c>
      <c r="W381">
        <v>3</v>
      </c>
      <c r="X381">
        <v>1</v>
      </c>
      <c r="AB381">
        <f t="shared" si="48"/>
        <v>3.3440281238875036</v>
      </c>
      <c r="AC381">
        <f t="shared" si="49"/>
        <v>3.3440281238875036</v>
      </c>
      <c r="AD381">
        <f t="shared" si="50"/>
        <v>2.3207547169811318</v>
      </c>
      <c r="AE381">
        <f t="shared" si="52"/>
        <v>2.3207547169811318</v>
      </c>
      <c r="AG381">
        <f t="shared" si="53"/>
        <v>1.6720140619437518</v>
      </c>
    </row>
    <row r="382" spans="1:33" x14ac:dyDescent="0.25">
      <c r="A382">
        <v>480</v>
      </c>
      <c r="B382">
        <f>IFERROR(VLOOKUP(A382,Capacity!$A$3:$D$532,4,), "0")</f>
        <v>16.836972840624998</v>
      </c>
      <c r="C382" s="4">
        <f>IFERROR(VLOOKUP(A382,Capacity!$A$3:$F$532,6,), "0")</f>
        <v>0.17499999999999999</v>
      </c>
      <c r="E382" t="str">
        <f>IFERROR(VLOOKUP(D382,Capacity!$A$3:$D$532,4,), "0")</f>
        <v>0</v>
      </c>
      <c r="F382" s="4" t="str">
        <f>IFERROR(VLOOKUP(D382,Capacity!$A$3:$F$532,6,), "0")</f>
        <v>0</v>
      </c>
      <c r="H382" t="str">
        <f>IFERROR(VLOOKUP(G382,Capacity!$A$3:$D$532,4,), "0")</f>
        <v>0</v>
      </c>
      <c r="I382" s="4" t="str">
        <f>IFERROR(VLOOKUP(G382,Capacity!$A$3:$F$532,6,), "0")</f>
        <v>0</v>
      </c>
      <c r="K382" t="str">
        <f>IFERROR(VLOOKUP(J382,Capacity!$A$3:$D$532,4,), "0")</f>
        <v>0</v>
      </c>
      <c r="L382" s="4" t="str">
        <f>IFERROR(VLOOKUP(J382,Capacity!$A$3:$F$532,6,), "0")</f>
        <v>0</v>
      </c>
      <c r="M382" s="5">
        <f t="shared" si="45"/>
        <v>0</v>
      </c>
      <c r="N382" s="5">
        <f t="shared" si="46"/>
        <v>0</v>
      </c>
      <c r="O382">
        <v>228</v>
      </c>
      <c r="P382">
        <f>IFERROR(VLOOKUP(O382,Capacity!$A$3:$D$532,4,), "0")</f>
        <v>16.836972840624998</v>
      </c>
      <c r="Q382" s="4">
        <f>IFERROR(VLOOKUP(O382,Capacity!$A$3:$F$532,6,), "0")</f>
        <v>0.17499999999999999</v>
      </c>
      <c r="R382" s="5">
        <f t="shared" si="47"/>
        <v>16.836972840624998</v>
      </c>
      <c r="S382" s="5">
        <f t="shared" si="51"/>
        <v>0.17499999999999999</v>
      </c>
      <c r="U382">
        <v>480</v>
      </c>
      <c r="V382">
        <v>0</v>
      </c>
      <c r="W382">
        <v>0</v>
      </c>
      <c r="X382">
        <v>1</v>
      </c>
      <c r="AB382">
        <f t="shared" si="48"/>
        <v>0</v>
      </c>
      <c r="AC382">
        <f t="shared" si="49"/>
        <v>0</v>
      </c>
      <c r="AD382">
        <f t="shared" si="50"/>
        <v>0</v>
      </c>
      <c r="AE382">
        <f t="shared" si="52"/>
        <v>0</v>
      </c>
      <c r="AG382">
        <f t="shared" si="53"/>
        <v>0</v>
      </c>
    </row>
    <row r="383" spans="1:33" x14ac:dyDescent="0.25">
      <c r="A383">
        <v>389</v>
      </c>
      <c r="B383">
        <f>IFERROR(VLOOKUP(A383,Capacity!$A$3:$D$532,4,), "0")</f>
        <v>7.6969018699999987</v>
      </c>
      <c r="C383" s="4">
        <f>IFERROR(VLOOKUP(A383,Capacity!$A$3:$F$532,6,), "0")</f>
        <v>0.17499999999999999</v>
      </c>
      <c r="E383" t="str">
        <f>IFERROR(VLOOKUP(D383,Capacity!$A$3:$D$532,4,), "0")</f>
        <v>0</v>
      </c>
      <c r="F383" s="4" t="str">
        <f>IFERROR(VLOOKUP(D383,Capacity!$A$3:$F$532,6,), "0")</f>
        <v>0</v>
      </c>
      <c r="H383" t="str">
        <f>IFERROR(VLOOKUP(G383,Capacity!$A$3:$D$532,4,), "0")</f>
        <v>0</v>
      </c>
      <c r="I383" s="4" t="str">
        <f>IFERROR(VLOOKUP(G383,Capacity!$A$3:$F$532,6,), "0")</f>
        <v>0</v>
      </c>
      <c r="K383" t="str">
        <f>IFERROR(VLOOKUP(J383,Capacity!$A$3:$D$532,4,), "0")</f>
        <v>0</v>
      </c>
      <c r="L383" s="4" t="str">
        <f>IFERROR(VLOOKUP(J383,Capacity!$A$3:$F$532,6,), "0")</f>
        <v>0</v>
      </c>
      <c r="M383" s="5">
        <f t="shared" si="45"/>
        <v>0</v>
      </c>
      <c r="N383" s="5">
        <f t="shared" si="46"/>
        <v>0</v>
      </c>
      <c r="O383">
        <v>66</v>
      </c>
      <c r="P383">
        <f>IFERROR(VLOOKUP(O383,Capacity!$A$3:$D$532,4,), "0")</f>
        <v>25.977043811249995</v>
      </c>
      <c r="Q383" s="4">
        <f>IFERROR(VLOOKUP(O383,Capacity!$A$3:$F$532,6,), "0")</f>
        <v>0.17499999999999999</v>
      </c>
      <c r="R383" s="5">
        <f t="shared" si="47"/>
        <v>25.977043811249995</v>
      </c>
      <c r="S383" s="5">
        <f t="shared" si="51"/>
        <v>0.17499999999999999</v>
      </c>
      <c r="U383">
        <v>389</v>
      </c>
      <c r="V383">
        <v>0</v>
      </c>
      <c r="W383">
        <v>0</v>
      </c>
      <c r="X383">
        <v>1</v>
      </c>
      <c r="AB383">
        <f t="shared" si="48"/>
        <v>0</v>
      </c>
      <c r="AC383">
        <f t="shared" si="49"/>
        <v>0</v>
      </c>
      <c r="AD383">
        <f t="shared" si="50"/>
        <v>0</v>
      </c>
      <c r="AE383">
        <f t="shared" si="52"/>
        <v>0</v>
      </c>
      <c r="AG383">
        <f t="shared" si="53"/>
        <v>0</v>
      </c>
    </row>
    <row r="384" spans="1:33" x14ac:dyDescent="0.25">
      <c r="A384">
        <v>234</v>
      </c>
      <c r="B384">
        <f>IFERROR(VLOOKUP(A384,Capacity!$A$3:$D$532,4,), "0")</f>
        <v>11.545352804999998</v>
      </c>
      <c r="C384" s="4">
        <f>IFERROR(VLOOKUP(A384,Capacity!$A$3:$F$532,6,), "0")</f>
        <v>0.17499999999999999</v>
      </c>
      <c r="E384" t="str">
        <f>IFERROR(VLOOKUP(D384,Capacity!$A$3:$D$532,4,), "0")</f>
        <v>0</v>
      </c>
      <c r="F384" s="4" t="str">
        <f>IFERROR(VLOOKUP(D384,Capacity!$A$3:$F$532,6,), "0")</f>
        <v>0</v>
      </c>
      <c r="H384" t="str">
        <f>IFERROR(VLOOKUP(G384,Capacity!$A$3:$D$532,4,), "0")</f>
        <v>0</v>
      </c>
      <c r="I384" s="4" t="str">
        <f>IFERROR(VLOOKUP(G384,Capacity!$A$3:$F$532,6,), "0")</f>
        <v>0</v>
      </c>
      <c r="K384" t="str">
        <f>IFERROR(VLOOKUP(J384,Capacity!$A$3:$D$532,4,), "0")</f>
        <v>0</v>
      </c>
      <c r="L384" s="4" t="str">
        <f>IFERROR(VLOOKUP(J384,Capacity!$A$3:$F$532,6,), "0")</f>
        <v>0</v>
      </c>
      <c r="M384" s="5">
        <f t="shared" si="45"/>
        <v>0</v>
      </c>
      <c r="N384" s="5">
        <f t="shared" si="46"/>
        <v>0</v>
      </c>
      <c r="O384">
        <v>66</v>
      </c>
      <c r="P384">
        <f>IFERROR(VLOOKUP(O384,Capacity!$A$3:$D$532,4,), "0")</f>
        <v>25.977043811249995</v>
      </c>
      <c r="Q384" s="4">
        <f>IFERROR(VLOOKUP(O384,Capacity!$A$3:$F$532,6,), "0")</f>
        <v>0.17499999999999999</v>
      </c>
      <c r="R384" s="5">
        <f t="shared" si="47"/>
        <v>25.977043811249995</v>
      </c>
      <c r="S384" s="5">
        <f t="shared" si="51"/>
        <v>0.17499999999999999</v>
      </c>
      <c r="U384">
        <v>234</v>
      </c>
      <c r="V384">
        <v>1</v>
      </c>
      <c r="W384">
        <v>1</v>
      </c>
      <c r="X384">
        <v>1</v>
      </c>
      <c r="AB384">
        <f t="shared" si="48"/>
        <v>0</v>
      </c>
      <c r="AC384">
        <f t="shared" si="49"/>
        <v>0</v>
      </c>
      <c r="AD384">
        <f t="shared" si="50"/>
        <v>0</v>
      </c>
      <c r="AE384">
        <f t="shared" si="52"/>
        <v>0</v>
      </c>
      <c r="AG384">
        <f t="shared" si="53"/>
        <v>0</v>
      </c>
    </row>
    <row r="385" spans="1:33" x14ac:dyDescent="0.25">
      <c r="A385">
        <v>386</v>
      </c>
      <c r="B385">
        <f>IFERROR(VLOOKUP(A385,Capacity!$A$3:$D$532,4,), "0")</f>
        <v>19.242254674999998</v>
      </c>
      <c r="C385" s="4">
        <f>IFERROR(VLOOKUP(A385,Capacity!$A$3:$F$532,6,), "0")</f>
        <v>0.17499999999999999</v>
      </c>
      <c r="E385" t="str">
        <f>IFERROR(VLOOKUP(D385,Capacity!$A$3:$D$532,4,), "0")</f>
        <v>0</v>
      </c>
      <c r="F385" s="4" t="str">
        <f>IFERROR(VLOOKUP(D385,Capacity!$A$3:$F$532,6,), "0")</f>
        <v>0</v>
      </c>
      <c r="H385" t="str">
        <f>IFERROR(VLOOKUP(G385,Capacity!$A$3:$D$532,4,), "0")</f>
        <v>0</v>
      </c>
      <c r="I385" s="4" t="str">
        <f>IFERROR(VLOOKUP(G385,Capacity!$A$3:$F$532,6,), "0")</f>
        <v>0</v>
      </c>
      <c r="K385" t="str">
        <f>IFERROR(VLOOKUP(J385,Capacity!$A$3:$D$532,4,), "0")</f>
        <v>0</v>
      </c>
      <c r="L385" s="4" t="str">
        <f>IFERROR(VLOOKUP(J385,Capacity!$A$3:$F$532,6,), "0")</f>
        <v>0</v>
      </c>
      <c r="M385" s="5">
        <f t="shared" si="45"/>
        <v>0</v>
      </c>
      <c r="N385" s="5">
        <f t="shared" si="46"/>
        <v>0</v>
      </c>
      <c r="O385">
        <v>64</v>
      </c>
      <c r="P385">
        <f>IFERROR(VLOOKUP(O385,Capacity!$A$3:$D$532,4,), "0")</f>
        <v>15.874860106874999</v>
      </c>
      <c r="Q385" s="4">
        <f>IFERROR(VLOOKUP(O385,Capacity!$A$3:$F$532,6,), "0")</f>
        <v>0.17499999999999999</v>
      </c>
      <c r="R385" s="5">
        <f t="shared" si="47"/>
        <v>15.874860106874999</v>
      </c>
      <c r="S385" s="5">
        <f t="shared" si="51"/>
        <v>0.17499999999999999</v>
      </c>
      <c r="U385">
        <v>386</v>
      </c>
      <c r="V385">
        <v>0</v>
      </c>
      <c r="W385">
        <v>0</v>
      </c>
      <c r="X385">
        <v>1</v>
      </c>
      <c r="AB385">
        <f t="shared" si="48"/>
        <v>0</v>
      </c>
      <c r="AC385">
        <f t="shared" si="49"/>
        <v>0</v>
      </c>
      <c r="AD385">
        <f t="shared" si="50"/>
        <v>0</v>
      </c>
      <c r="AE385">
        <f t="shared" si="52"/>
        <v>0</v>
      </c>
      <c r="AG385">
        <f t="shared" si="53"/>
        <v>0</v>
      </c>
    </row>
    <row r="386" spans="1:33" x14ac:dyDescent="0.25">
      <c r="A386">
        <v>1</v>
      </c>
      <c r="B386">
        <f>IFERROR(VLOOKUP(A386,Capacity!$A$3:$D$532,4,), "0")</f>
        <v>11.545352804999998</v>
      </c>
      <c r="C386" s="4">
        <f>IFERROR(VLOOKUP(A386,Capacity!$A$3:$F$532,6,), "0")</f>
        <v>0.17499999999999999</v>
      </c>
      <c r="E386" t="str">
        <f>IFERROR(VLOOKUP(D386,Capacity!$A$3:$D$532,4,), "0")</f>
        <v>0</v>
      </c>
      <c r="F386" s="4" t="str">
        <f>IFERROR(VLOOKUP(D386,Capacity!$A$3:$F$532,6,), "0")</f>
        <v>0</v>
      </c>
      <c r="H386" t="str">
        <f>IFERROR(VLOOKUP(G386,Capacity!$A$3:$D$532,4,), "0")</f>
        <v>0</v>
      </c>
      <c r="I386" s="4" t="str">
        <f>IFERROR(VLOOKUP(G386,Capacity!$A$3:$F$532,6,), "0")</f>
        <v>0</v>
      </c>
      <c r="K386" t="str">
        <f>IFERROR(VLOOKUP(J386,Capacity!$A$3:$D$532,4,), "0")</f>
        <v>0</v>
      </c>
      <c r="L386" s="4" t="str">
        <f>IFERROR(VLOOKUP(J386,Capacity!$A$3:$F$532,6,), "0")</f>
        <v>0</v>
      </c>
      <c r="M386" s="5">
        <f t="shared" ref="M386:M449" si="54">$E386+$H386+$K386</f>
        <v>0</v>
      </c>
      <c r="N386" s="5">
        <f t="shared" si="46"/>
        <v>0</v>
      </c>
      <c r="O386">
        <v>64</v>
      </c>
      <c r="P386">
        <f>IFERROR(VLOOKUP(O386,Capacity!$A$3:$D$532,4,), "0")</f>
        <v>15.874860106874999</v>
      </c>
      <c r="Q386" s="4">
        <f>IFERROR(VLOOKUP(O386,Capacity!$A$3:$F$532,6,), "0")</f>
        <v>0.17499999999999999</v>
      </c>
      <c r="R386" s="5">
        <f t="shared" si="47"/>
        <v>15.874860106874999</v>
      </c>
      <c r="S386" s="5">
        <f t="shared" si="51"/>
        <v>0.17499999999999999</v>
      </c>
      <c r="U386">
        <v>1</v>
      </c>
      <c r="V386">
        <v>1</v>
      </c>
      <c r="W386">
        <v>1</v>
      </c>
      <c r="X386">
        <v>1</v>
      </c>
      <c r="AB386">
        <f t="shared" si="48"/>
        <v>0</v>
      </c>
      <c r="AC386">
        <f t="shared" si="49"/>
        <v>0</v>
      </c>
      <c r="AD386">
        <f t="shared" si="50"/>
        <v>0</v>
      </c>
      <c r="AE386">
        <f t="shared" si="52"/>
        <v>0</v>
      </c>
      <c r="AG386">
        <f t="shared" si="53"/>
        <v>0</v>
      </c>
    </row>
    <row r="387" spans="1:33" x14ac:dyDescent="0.25">
      <c r="A387">
        <v>387</v>
      </c>
      <c r="B387">
        <f>IFERROR(VLOOKUP(A387,Capacity!$A$3:$D$532,4,), "0")</f>
        <v>7.6969018699999987</v>
      </c>
      <c r="C387" s="4">
        <f>IFERROR(VLOOKUP(A387,Capacity!$A$3:$F$532,6,), "0")</f>
        <v>0.17499999999999999</v>
      </c>
      <c r="E387" t="str">
        <f>IFERROR(VLOOKUP(D387,Capacity!$A$3:$D$532,4,), "0")</f>
        <v>0</v>
      </c>
      <c r="F387" s="4" t="str">
        <f>IFERROR(VLOOKUP(D387,Capacity!$A$3:$F$532,6,), "0")</f>
        <v>0</v>
      </c>
      <c r="H387" t="str">
        <f>IFERROR(VLOOKUP(G387,Capacity!$A$3:$D$532,4,), "0")</f>
        <v>0</v>
      </c>
      <c r="I387" s="4" t="str">
        <f>IFERROR(VLOOKUP(G387,Capacity!$A$3:$F$532,6,), "0")</f>
        <v>0</v>
      </c>
      <c r="K387" t="str">
        <f>IFERROR(VLOOKUP(J387,Capacity!$A$3:$D$532,4,), "0")</f>
        <v>0</v>
      </c>
      <c r="L387" s="4" t="str">
        <f>IFERROR(VLOOKUP(J387,Capacity!$A$3:$F$532,6,), "0")</f>
        <v>0</v>
      </c>
      <c r="M387" s="5">
        <f t="shared" si="54"/>
        <v>0</v>
      </c>
      <c r="N387" s="5">
        <f t="shared" ref="N387:N450" si="55">$F387+$I387+$L387</f>
        <v>0</v>
      </c>
      <c r="O387">
        <v>65</v>
      </c>
      <c r="P387">
        <f>IFERROR(VLOOKUP(O387,Capacity!$A$3:$D$532,4,), "0")</f>
        <v>24.052818343749998</v>
      </c>
      <c r="Q387" s="4">
        <f>IFERROR(VLOOKUP(O387,Capacity!$A$3:$F$532,6,), "0")</f>
        <v>0.17499999999999999</v>
      </c>
      <c r="R387" s="5">
        <f t="shared" ref="R387:R450" si="56">$P387</f>
        <v>24.052818343749998</v>
      </c>
      <c r="S387" s="5">
        <f t="shared" si="51"/>
        <v>0.17499999999999999</v>
      </c>
      <c r="U387">
        <v>387</v>
      </c>
      <c r="V387">
        <v>0</v>
      </c>
      <c r="W387">
        <v>0</v>
      </c>
      <c r="X387">
        <v>1</v>
      </c>
      <c r="AB387">
        <f t="shared" ref="AB387:AB450" si="57">($M387/$R387)</f>
        <v>0</v>
      </c>
      <c r="AC387">
        <f t="shared" ref="AC387:AC450" si="58">($M387/$B387)</f>
        <v>0</v>
      </c>
      <c r="AD387">
        <f t="shared" ref="AD387:AD450" si="59">($N387/$S387)</f>
        <v>0</v>
      </c>
      <c r="AE387">
        <f t="shared" si="52"/>
        <v>0</v>
      </c>
      <c r="AG387">
        <f t="shared" si="53"/>
        <v>0</v>
      </c>
    </row>
    <row r="388" spans="1:33" x14ac:dyDescent="0.25">
      <c r="A388">
        <v>515</v>
      </c>
      <c r="B388">
        <f>IFERROR(VLOOKUP(A388,Capacity!$A$3:$D$532,4,), "0")</f>
        <v>16.355916473749996</v>
      </c>
      <c r="C388" s="4">
        <f>IFERROR(VLOOKUP(A388,Capacity!$A$3:$F$532,6,), "0")</f>
        <v>0.17499999999999999</v>
      </c>
      <c r="E388" t="str">
        <f>IFERROR(VLOOKUP(D388,Capacity!$A$3:$D$532,4,), "0")</f>
        <v>0</v>
      </c>
      <c r="F388" s="4" t="str">
        <f>IFERROR(VLOOKUP(D388,Capacity!$A$3:$F$532,6,), "0")</f>
        <v>0</v>
      </c>
      <c r="H388" t="str">
        <f>IFERROR(VLOOKUP(G388,Capacity!$A$3:$D$532,4,), "0")</f>
        <v>0</v>
      </c>
      <c r="I388" s="4" t="str">
        <f>IFERROR(VLOOKUP(G388,Capacity!$A$3:$F$532,6,), "0")</f>
        <v>0</v>
      </c>
      <c r="K388" t="str">
        <f>IFERROR(VLOOKUP(J388,Capacity!$A$3:$D$532,4,), "0")</f>
        <v>0</v>
      </c>
      <c r="L388" s="4" t="str">
        <f>IFERROR(VLOOKUP(J388,Capacity!$A$3:$F$532,6,), "0")</f>
        <v>0</v>
      </c>
      <c r="M388" s="5">
        <f t="shared" si="54"/>
        <v>0</v>
      </c>
      <c r="N388" s="5">
        <f t="shared" si="55"/>
        <v>0</v>
      </c>
      <c r="O388">
        <v>325</v>
      </c>
      <c r="P388">
        <f>IFERROR(VLOOKUP(O388,Capacity!$A$3:$D$532,4,), "0")</f>
        <v>37.699111200000011</v>
      </c>
      <c r="Q388" s="4">
        <f>IFERROR(VLOOKUP(O388,Capacity!$A$3:$F$532,6,), "0")</f>
        <v>0.4</v>
      </c>
      <c r="R388" s="5">
        <f t="shared" si="56"/>
        <v>37.699111200000011</v>
      </c>
      <c r="S388" s="5">
        <f t="shared" ref="S388:S451" si="60">$Q388</f>
        <v>0.4</v>
      </c>
      <c r="U388">
        <v>515</v>
      </c>
      <c r="V388">
        <v>0</v>
      </c>
      <c r="W388">
        <v>0</v>
      </c>
      <c r="X388">
        <v>1</v>
      </c>
      <c r="AB388">
        <f t="shared" si="57"/>
        <v>0</v>
      </c>
      <c r="AC388">
        <f t="shared" si="58"/>
        <v>0</v>
      </c>
      <c r="AD388">
        <f t="shared" si="59"/>
        <v>0</v>
      </c>
      <c r="AE388">
        <f t="shared" ref="AE388:AE451" si="61">($N388/$C388)</f>
        <v>0</v>
      </c>
      <c r="AG388">
        <f t="shared" ref="AG388:AG451" si="62">$M388/($R388+$B388)</f>
        <v>0</v>
      </c>
    </row>
    <row r="389" spans="1:33" x14ac:dyDescent="0.25">
      <c r="A389">
        <v>502</v>
      </c>
      <c r="B389">
        <f>IFERROR(VLOOKUP(A389,Capacity!$A$3:$D$532,4,), "0")</f>
        <v>14.431691006249999</v>
      </c>
      <c r="C389" s="4">
        <f>IFERROR(VLOOKUP(A389,Capacity!$A$3:$F$532,6,), "0")</f>
        <v>0.17499999999999999</v>
      </c>
      <c r="E389" t="str">
        <f>IFERROR(VLOOKUP(D389,Capacity!$A$3:$D$532,4,), "0")</f>
        <v>0</v>
      </c>
      <c r="F389" s="4" t="str">
        <f>IFERROR(VLOOKUP(D389,Capacity!$A$3:$F$532,6,), "0")</f>
        <v>0</v>
      </c>
      <c r="H389" t="str">
        <f>IFERROR(VLOOKUP(G389,Capacity!$A$3:$D$532,4,), "0")</f>
        <v>0</v>
      </c>
      <c r="I389" s="4" t="str">
        <f>IFERROR(VLOOKUP(G389,Capacity!$A$3:$F$532,6,), "0")</f>
        <v>0</v>
      </c>
      <c r="K389" t="str">
        <f>IFERROR(VLOOKUP(J389,Capacity!$A$3:$D$532,4,), "0")</f>
        <v>0</v>
      </c>
      <c r="L389" s="4" t="str">
        <f>IFERROR(VLOOKUP(J389,Capacity!$A$3:$F$532,6,), "0")</f>
        <v>0</v>
      </c>
      <c r="M389" s="5">
        <f t="shared" si="54"/>
        <v>0</v>
      </c>
      <c r="N389" s="5">
        <f t="shared" si="55"/>
        <v>0</v>
      </c>
      <c r="O389">
        <v>325</v>
      </c>
      <c r="P389">
        <f>IFERROR(VLOOKUP(O389,Capacity!$A$3:$D$532,4,), "0")</f>
        <v>37.699111200000011</v>
      </c>
      <c r="Q389" s="4">
        <f>IFERROR(VLOOKUP(O389,Capacity!$A$3:$F$532,6,), "0")</f>
        <v>0.4</v>
      </c>
      <c r="R389" s="5">
        <f t="shared" si="56"/>
        <v>37.699111200000011</v>
      </c>
      <c r="S389" s="5">
        <f t="shared" si="60"/>
        <v>0.4</v>
      </c>
      <c r="U389">
        <v>502</v>
      </c>
      <c r="V389">
        <v>0</v>
      </c>
      <c r="W389">
        <v>0</v>
      </c>
      <c r="X389">
        <v>1</v>
      </c>
      <c r="AB389">
        <f t="shared" si="57"/>
        <v>0</v>
      </c>
      <c r="AC389">
        <f t="shared" si="58"/>
        <v>0</v>
      </c>
      <c r="AD389">
        <f t="shared" si="59"/>
        <v>0</v>
      </c>
      <c r="AE389">
        <f t="shared" si="61"/>
        <v>0</v>
      </c>
      <c r="AG389">
        <f t="shared" si="62"/>
        <v>0</v>
      </c>
    </row>
    <row r="390" spans="1:33" x14ac:dyDescent="0.25">
      <c r="A390">
        <v>326</v>
      </c>
      <c r="B390">
        <f>IFERROR(VLOOKUP(A390,Capacity!$A$3:$D$532,4,), "0")</f>
        <v>37.699111200000011</v>
      </c>
      <c r="C390" s="4">
        <f>IFERROR(VLOOKUP(A390,Capacity!$A$3:$F$532,6,), "0")</f>
        <v>0.4</v>
      </c>
      <c r="D390">
        <v>513</v>
      </c>
      <c r="E390">
        <f>IFERROR(VLOOKUP(D390,Capacity!$A$3:$D$532,4,), "0")</f>
        <v>17.318029207499997</v>
      </c>
      <c r="F390" s="4">
        <f>IFERROR(VLOOKUP(D390,Capacity!$A$3:$F$532,6,), "0")</f>
        <v>0.17499999999999999</v>
      </c>
      <c r="G390">
        <v>327</v>
      </c>
      <c r="H390">
        <f>IFERROR(VLOOKUP(G390,Capacity!$A$3:$D$532,4,), "0")</f>
        <v>37.699111200000011</v>
      </c>
      <c r="I390" s="4">
        <f>IFERROR(VLOOKUP(G390,Capacity!$A$3:$F$532,6,), "0")</f>
        <v>0.4</v>
      </c>
      <c r="K390" t="str">
        <f>IFERROR(VLOOKUP(J390,Capacity!$A$3:$D$532,4,), "0")</f>
        <v>0</v>
      </c>
      <c r="L390" s="4" t="str">
        <f>IFERROR(VLOOKUP(J390,Capacity!$A$3:$F$532,6,), "0")</f>
        <v>0</v>
      </c>
      <c r="M390" s="5">
        <f t="shared" si="54"/>
        <v>55.017140407500008</v>
      </c>
      <c r="N390" s="5">
        <f t="shared" si="55"/>
        <v>0.57499999999999996</v>
      </c>
      <c r="O390">
        <v>325</v>
      </c>
      <c r="P390">
        <f>IFERROR(VLOOKUP(O390,Capacity!$A$3:$D$532,4,), "0")</f>
        <v>37.699111200000011</v>
      </c>
      <c r="Q390" s="4">
        <f>IFERROR(VLOOKUP(O390,Capacity!$A$3:$F$532,6,), "0")</f>
        <v>0.4</v>
      </c>
      <c r="R390" s="5">
        <f t="shared" si="56"/>
        <v>37.699111200000011</v>
      </c>
      <c r="S390" s="5">
        <f t="shared" si="60"/>
        <v>0.4</v>
      </c>
      <c r="U390">
        <v>326</v>
      </c>
      <c r="V390">
        <v>3</v>
      </c>
      <c r="W390">
        <v>3</v>
      </c>
      <c r="X390">
        <v>1</v>
      </c>
      <c r="AB390">
        <f t="shared" si="57"/>
        <v>1.4593749999999999</v>
      </c>
      <c r="AC390">
        <f t="shared" si="58"/>
        <v>1.4593749999999999</v>
      </c>
      <c r="AD390">
        <f t="shared" si="59"/>
        <v>1.4374999999999998</v>
      </c>
      <c r="AE390">
        <f t="shared" si="61"/>
        <v>1.4374999999999998</v>
      </c>
      <c r="AG390">
        <f t="shared" si="62"/>
        <v>0.72968749999999993</v>
      </c>
    </row>
    <row r="391" spans="1:33" x14ac:dyDescent="0.25">
      <c r="A391">
        <v>311</v>
      </c>
      <c r="B391">
        <f>IFERROR(VLOOKUP(A391,Capacity!$A$3:$D$532,4,), "0")</f>
        <v>132.53593781250001</v>
      </c>
      <c r="C391" s="4">
        <f>IFERROR(VLOOKUP(A391,Capacity!$A$3:$F$532,6,), "0")</f>
        <v>0.75</v>
      </c>
      <c r="D391">
        <v>507</v>
      </c>
      <c r="E391">
        <f>IFERROR(VLOOKUP(D391,Capacity!$A$3:$D$532,4,), "0")</f>
        <v>14.431691006249999</v>
      </c>
      <c r="F391" s="4">
        <f>IFERROR(VLOOKUP(D391,Capacity!$A$3:$F$532,6,), "0")</f>
        <v>0.17499999999999999</v>
      </c>
      <c r="G391">
        <v>310</v>
      </c>
      <c r="H391">
        <f>IFERROR(VLOOKUP(G391,Capacity!$A$3:$D$532,4,), "0")</f>
        <v>132.53593781250001</v>
      </c>
      <c r="I391" s="4">
        <f>IFERROR(VLOOKUP(G391,Capacity!$A$3:$F$532,6,), "0")</f>
        <v>0.75</v>
      </c>
      <c r="J391">
        <v>261</v>
      </c>
      <c r="K391">
        <f>IFERROR(VLOOKUP(J391,Capacity!$A$3:$D$532,4,), "0")</f>
        <v>11.545352804999998</v>
      </c>
      <c r="L391" s="4">
        <f>IFERROR(VLOOKUP(J391,Capacity!$A$3:$F$532,6,), "0")</f>
        <v>0.17499999999999999</v>
      </c>
      <c r="M391" s="5">
        <f t="shared" si="54"/>
        <v>158.51298162374999</v>
      </c>
      <c r="N391" s="5">
        <f t="shared" si="55"/>
        <v>1.1000000000000001</v>
      </c>
      <c r="O391">
        <v>313</v>
      </c>
      <c r="P391">
        <f>IFERROR(VLOOKUP(O391,Capacity!$A$3:$D$532,4,), "0")</f>
        <v>132.53593781250001</v>
      </c>
      <c r="Q391" s="4">
        <f>IFERROR(VLOOKUP(O391,Capacity!$A$3:$F$532,6,), "0")</f>
        <v>0.75</v>
      </c>
      <c r="R391" s="5">
        <f t="shared" si="56"/>
        <v>132.53593781250001</v>
      </c>
      <c r="S391" s="5">
        <f t="shared" si="60"/>
        <v>0.75</v>
      </c>
      <c r="U391">
        <v>311</v>
      </c>
      <c r="V391">
        <v>4</v>
      </c>
      <c r="W391">
        <v>4</v>
      </c>
      <c r="X391">
        <v>1</v>
      </c>
      <c r="AB391">
        <f t="shared" si="57"/>
        <v>1.196</v>
      </c>
      <c r="AC391">
        <f t="shared" si="58"/>
        <v>1.196</v>
      </c>
      <c r="AD391">
        <f t="shared" si="59"/>
        <v>1.4666666666666668</v>
      </c>
      <c r="AE391">
        <f t="shared" si="61"/>
        <v>1.4666666666666668</v>
      </c>
      <c r="AG391">
        <f t="shared" si="62"/>
        <v>0.59799999999999998</v>
      </c>
    </row>
    <row r="392" spans="1:33" x14ac:dyDescent="0.25">
      <c r="A392">
        <v>260</v>
      </c>
      <c r="B392">
        <f>IFERROR(VLOOKUP(A392,Capacity!$A$3:$D$532,4,), "0")</f>
        <v>15.079644480000002</v>
      </c>
      <c r="C392" s="4">
        <f>IFERROR(VLOOKUP(A392,Capacity!$A$3:$F$532,6,), "0")</f>
        <v>0.2</v>
      </c>
      <c r="E392" t="str">
        <f>IFERROR(VLOOKUP(D392,Capacity!$A$3:$D$532,4,), "0")</f>
        <v>0</v>
      </c>
      <c r="F392" s="4" t="str">
        <f>IFERROR(VLOOKUP(D392,Capacity!$A$3:$F$532,6,), "0")</f>
        <v>0</v>
      </c>
      <c r="H392" t="str">
        <f>IFERROR(VLOOKUP(G392,Capacity!$A$3:$D$532,4,), "0")</f>
        <v>0</v>
      </c>
      <c r="I392" s="4" t="str">
        <f>IFERROR(VLOOKUP(G392,Capacity!$A$3:$F$532,6,), "0")</f>
        <v>0</v>
      </c>
      <c r="K392" t="str">
        <f>IFERROR(VLOOKUP(J392,Capacity!$A$3:$D$532,4,), "0")</f>
        <v>0</v>
      </c>
      <c r="L392" s="4" t="str">
        <f>IFERROR(VLOOKUP(J392,Capacity!$A$3:$F$532,6,), "0")</f>
        <v>0</v>
      </c>
      <c r="M392" s="5">
        <f t="shared" si="54"/>
        <v>0</v>
      </c>
      <c r="N392" s="5">
        <f t="shared" si="55"/>
        <v>0</v>
      </c>
      <c r="O392">
        <v>313</v>
      </c>
      <c r="P392">
        <f>IFERROR(VLOOKUP(O392,Capacity!$A$3:$D$532,4,), "0")</f>
        <v>132.53593781250001</v>
      </c>
      <c r="Q392" s="4">
        <f>IFERROR(VLOOKUP(O392,Capacity!$A$3:$F$532,6,), "0")</f>
        <v>0.75</v>
      </c>
      <c r="R392" s="5">
        <f t="shared" si="56"/>
        <v>132.53593781250001</v>
      </c>
      <c r="S392" s="5">
        <f t="shared" si="60"/>
        <v>0.75</v>
      </c>
      <c r="U392">
        <v>260</v>
      </c>
      <c r="V392">
        <v>1</v>
      </c>
      <c r="W392">
        <v>1</v>
      </c>
      <c r="X392">
        <v>1</v>
      </c>
      <c r="AB392">
        <f t="shared" si="57"/>
        <v>0</v>
      </c>
      <c r="AC392">
        <f t="shared" si="58"/>
        <v>0</v>
      </c>
      <c r="AD392">
        <f t="shared" si="59"/>
        <v>0</v>
      </c>
      <c r="AE392">
        <f t="shared" si="61"/>
        <v>0</v>
      </c>
      <c r="AG392">
        <f t="shared" si="62"/>
        <v>0</v>
      </c>
    </row>
    <row r="393" spans="1:33" x14ac:dyDescent="0.25">
      <c r="A393">
        <v>514</v>
      </c>
      <c r="B393">
        <f>IFERROR(VLOOKUP(A393,Capacity!$A$3:$D$532,4,), "0")</f>
        <v>248.81413392000002</v>
      </c>
      <c r="C393" s="4">
        <f>IFERROR(VLOOKUP(A393,Capacity!$A$3:$F$532,6,), "0")</f>
        <v>0.6</v>
      </c>
      <c r="E393" t="str">
        <f>IFERROR(VLOOKUP(D393,Capacity!$A$3:$D$532,4,), "0")</f>
        <v>0</v>
      </c>
      <c r="F393" s="4" t="str">
        <f>IFERROR(VLOOKUP(D393,Capacity!$A$3:$F$532,6,), "0")</f>
        <v>0</v>
      </c>
      <c r="H393" t="str">
        <f>IFERROR(VLOOKUP(G393,Capacity!$A$3:$D$532,4,), "0")</f>
        <v>0</v>
      </c>
      <c r="I393" s="4" t="str">
        <f>IFERROR(VLOOKUP(G393,Capacity!$A$3:$F$532,6,), "0")</f>
        <v>0</v>
      </c>
      <c r="K393" t="str">
        <f>IFERROR(VLOOKUP(J393,Capacity!$A$3:$D$532,4,), "0")</f>
        <v>0</v>
      </c>
      <c r="L393" s="4" t="str">
        <f>IFERROR(VLOOKUP(J393,Capacity!$A$3:$F$532,6,), "0")</f>
        <v>0</v>
      </c>
      <c r="M393" s="5">
        <f t="shared" si="54"/>
        <v>0</v>
      </c>
      <c r="N393" s="5">
        <f t="shared" si="55"/>
        <v>0</v>
      </c>
      <c r="O393">
        <v>34</v>
      </c>
      <c r="P393">
        <f>IFERROR(VLOOKUP(O393,Capacity!$A$3:$D$532,4,), "0")</f>
        <v>17.649467226800002</v>
      </c>
      <c r="Q393" s="4">
        <f>IFERROR(VLOOKUP(O393,Capacity!$A$3:$F$532,6,), "0")</f>
        <v>0.26500000000000001</v>
      </c>
      <c r="R393" s="5">
        <f t="shared" si="56"/>
        <v>17.649467226800002</v>
      </c>
      <c r="S393" s="5">
        <f t="shared" si="60"/>
        <v>0.26500000000000001</v>
      </c>
      <c r="U393">
        <v>514</v>
      </c>
      <c r="V393">
        <v>0</v>
      </c>
      <c r="W393">
        <v>0</v>
      </c>
      <c r="X393">
        <v>1</v>
      </c>
      <c r="AB393">
        <f t="shared" si="57"/>
        <v>0</v>
      </c>
      <c r="AC393">
        <f t="shared" si="58"/>
        <v>0</v>
      </c>
      <c r="AD393">
        <f t="shared" si="59"/>
        <v>0</v>
      </c>
      <c r="AE393">
        <f t="shared" si="61"/>
        <v>0</v>
      </c>
      <c r="AG393">
        <f t="shared" si="62"/>
        <v>0</v>
      </c>
    </row>
    <row r="394" spans="1:33" x14ac:dyDescent="0.25">
      <c r="A394">
        <v>395</v>
      </c>
      <c r="B394">
        <f>IFERROR(VLOOKUP(A394,Capacity!$A$3:$D$532,4,), "0")</f>
        <v>254.46900059999999</v>
      </c>
      <c r="C394" s="4">
        <f>IFERROR(VLOOKUP(A394,Capacity!$A$3:$F$532,6,), "0")</f>
        <v>0.6</v>
      </c>
      <c r="E394" t="str">
        <f>IFERROR(VLOOKUP(D394,Capacity!$A$3:$D$532,4,), "0")</f>
        <v>0</v>
      </c>
      <c r="F394" s="4" t="str">
        <f>IFERROR(VLOOKUP(D394,Capacity!$A$3:$F$532,6,), "0")</f>
        <v>0</v>
      </c>
      <c r="H394" t="str">
        <f>IFERROR(VLOOKUP(G394,Capacity!$A$3:$D$532,4,), "0")</f>
        <v>0</v>
      </c>
      <c r="I394" s="4" t="str">
        <f>IFERROR(VLOOKUP(G394,Capacity!$A$3:$F$532,6,), "0")</f>
        <v>0</v>
      </c>
      <c r="K394" t="str">
        <f>IFERROR(VLOOKUP(J394,Capacity!$A$3:$D$532,4,), "0")</f>
        <v>0</v>
      </c>
      <c r="L394" s="4" t="str">
        <f>IFERROR(VLOOKUP(J394,Capacity!$A$3:$F$532,6,), "0")</f>
        <v>0</v>
      </c>
      <c r="M394" s="5">
        <f t="shared" si="54"/>
        <v>0</v>
      </c>
      <c r="N394" s="5">
        <f t="shared" si="55"/>
        <v>0</v>
      </c>
      <c r="O394">
        <v>34</v>
      </c>
      <c r="P394">
        <f>IFERROR(VLOOKUP(O394,Capacity!$A$3:$D$532,4,), "0")</f>
        <v>17.649467226800002</v>
      </c>
      <c r="Q394" s="4">
        <f>IFERROR(VLOOKUP(O394,Capacity!$A$3:$F$532,6,), "0")</f>
        <v>0.26500000000000001</v>
      </c>
      <c r="R394" s="5">
        <f t="shared" si="56"/>
        <v>17.649467226800002</v>
      </c>
      <c r="S394" s="5">
        <f t="shared" si="60"/>
        <v>0.26500000000000001</v>
      </c>
      <c r="U394">
        <v>395</v>
      </c>
      <c r="V394">
        <v>0</v>
      </c>
      <c r="W394">
        <v>0</v>
      </c>
      <c r="X394">
        <v>1</v>
      </c>
      <c r="AB394">
        <f t="shared" si="57"/>
        <v>0</v>
      </c>
      <c r="AC394">
        <f t="shared" si="58"/>
        <v>0</v>
      </c>
      <c r="AD394">
        <f t="shared" si="59"/>
        <v>0</v>
      </c>
      <c r="AE394">
        <f t="shared" si="61"/>
        <v>0</v>
      </c>
      <c r="AG394">
        <f t="shared" si="62"/>
        <v>0</v>
      </c>
    </row>
    <row r="395" spans="1:33" x14ac:dyDescent="0.25">
      <c r="A395">
        <v>33</v>
      </c>
      <c r="B395">
        <f>IFERROR(VLOOKUP(A395,Capacity!$A$3:$D$532,4,), "0")</f>
        <v>17.649467226800002</v>
      </c>
      <c r="C395" s="4">
        <f>IFERROR(VLOOKUP(A395,Capacity!$A$3:$F$532,6,), "0")</f>
        <v>0.26500000000000001</v>
      </c>
      <c r="D395">
        <v>512</v>
      </c>
      <c r="E395">
        <f>IFERROR(VLOOKUP(D395,Capacity!$A$3:$D$532,4,), "0")</f>
        <v>21.166480142499999</v>
      </c>
      <c r="F395" s="4">
        <f>IFERROR(VLOOKUP(D395,Capacity!$A$3:$F$532,6,), "0")</f>
        <v>0.17499999999999999</v>
      </c>
      <c r="G395">
        <v>393</v>
      </c>
      <c r="H395">
        <f>IFERROR(VLOOKUP(G395,Capacity!$A$3:$D$532,4,), "0")</f>
        <v>21.647536509374998</v>
      </c>
      <c r="I395" s="4">
        <f>IFERROR(VLOOKUP(G395,Capacity!$A$3:$F$532,6,), "0")</f>
        <v>0.17499999999999999</v>
      </c>
      <c r="J395">
        <v>32</v>
      </c>
      <c r="K395">
        <f>IFERROR(VLOOKUP(J395,Capacity!$A$3:$D$532,4,), "0")</f>
        <v>26.474200840200002</v>
      </c>
      <c r="L395" s="4">
        <f>IFERROR(VLOOKUP(J395,Capacity!$A$3:$F$532,6,), "0")</f>
        <v>0.26500000000000001</v>
      </c>
      <c r="M395" s="5">
        <f t="shared" si="54"/>
        <v>69.288217492074992</v>
      </c>
      <c r="N395" s="5">
        <f t="shared" si="55"/>
        <v>0.61499999999999999</v>
      </c>
      <c r="O395">
        <v>34</v>
      </c>
      <c r="P395">
        <f>IFERROR(VLOOKUP(O395,Capacity!$A$3:$D$532,4,), "0")</f>
        <v>17.649467226800002</v>
      </c>
      <c r="Q395" s="4">
        <f>IFERROR(VLOOKUP(O395,Capacity!$A$3:$F$532,6,), "0")</f>
        <v>0.26500000000000001</v>
      </c>
      <c r="R395" s="5">
        <f t="shared" si="56"/>
        <v>17.649467226800002</v>
      </c>
      <c r="S395" s="5">
        <f t="shared" si="60"/>
        <v>0.26500000000000001</v>
      </c>
      <c r="U395">
        <v>33</v>
      </c>
      <c r="V395">
        <v>4</v>
      </c>
      <c r="W395">
        <v>4</v>
      </c>
      <c r="X395">
        <v>1</v>
      </c>
      <c r="AB395">
        <f t="shared" si="57"/>
        <v>3.9257965468138116</v>
      </c>
      <c r="AC395">
        <f t="shared" si="58"/>
        <v>3.9257965468138116</v>
      </c>
      <c r="AD395">
        <f t="shared" si="59"/>
        <v>2.3207547169811318</v>
      </c>
      <c r="AE395">
        <f t="shared" si="61"/>
        <v>2.3207547169811318</v>
      </c>
      <c r="AG395">
        <f t="shared" si="62"/>
        <v>1.9628982734069058</v>
      </c>
    </row>
    <row r="396" spans="1:33" x14ac:dyDescent="0.25">
      <c r="A396">
        <v>333</v>
      </c>
      <c r="B396">
        <f>IFERROR(VLOOKUP(A396,Capacity!$A$3:$D$532,4,), "0")</f>
        <v>10.053096320000002</v>
      </c>
      <c r="C396" s="4">
        <f>IFERROR(VLOOKUP(A396,Capacity!$A$3:$F$532,6,), "0")</f>
        <v>0.2</v>
      </c>
      <c r="D396">
        <v>332</v>
      </c>
      <c r="E396">
        <f>IFERROR(VLOOKUP(D396,Capacity!$A$3:$D$532,4,), "0")</f>
        <v>7.6969018699999987</v>
      </c>
      <c r="F396" s="4">
        <f>IFERROR(VLOOKUP(D396,Capacity!$A$3:$F$532,6,), "0")</f>
        <v>0.17499999999999999</v>
      </c>
      <c r="H396" t="str">
        <f>IFERROR(VLOOKUP(G396,Capacity!$A$3:$D$532,4,), "0")</f>
        <v>0</v>
      </c>
      <c r="I396" s="4" t="str">
        <f>IFERROR(VLOOKUP(G396,Capacity!$A$3:$F$532,6,), "0")</f>
        <v>0</v>
      </c>
      <c r="K396" t="str">
        <f>IFERROR(VLOOKUP(J396,Capacity!$A$3:$D$532,4,), "0")</f>
        <v>0</v>
      </c>
      <c r="L396" s="4" t="str">
        <f>IFERROR(VLOOKUP(J396,Capacity!$A$3:$F$532,6,), "0")</f>
        <v>0</v>
      </c>
      <c r="M396" s="5">
        <f t="shared" si="54"/>
        <v>7.6969018699999987</v>
      </c>
      <c r="N396" s="5">
        <f t="shared" si="55"/>
        <v>0.17499999999999999</v>
      </c>
      <c r="O396">
        <v>334</v>
      </c>
      <c r="P396">
        <f>IFERROR(VLOOKUP(O396,Capacity!$A$3:$D$532,4,), "0")</f>
        <v>345.57518600000003</v>
      </c>
      <c r="Q396" s="4">
        <f>IFERROR(VLOOKUP(O396,Capacity!$A$3:$F$532,6,), "0")</f>
        <v>1</v>
      </c>
      <c r="R396" s="5">
        <f t="shared" si="56"/>
        <v>345.57518600000003</v>
      </c>
      <c r="S396" s="5">
        <f t="shared" si="60"/>
        <v>1</v>
      </c>
      <c r="U396">
        <v>333</v>
      </c>
      <c r="V396">
        <v>1</v>
      </c>
      <c r="W396">
        <v>1</v>
      </c>
      <c r="X396">
        <v>1</v>
      </c>
      <c r="AB396">
        <f t="shared" si="57"/>
        <v>2.2272727272727267E-2</v>
      </c>
      <c r="AC396">
        <f t="shared" si="58"/>
        <v>0.76562499999999978</v>
      </c>
      <c r="AD396">
        <f t="shared" si="59"/>
        <v>0.17499999999999999</v>
      </c>
      <c r="AE396">
        <f t="shared" si="61"/>
        <v>0.87499999999999989</v>
      </c>
      <c r="AG396">
        <f t="shared" si="62"/>
        <v>2.1643109540636037E-2</v>
      </c>
    </row>
    <row r="397" spans="1:33" x14ac:dyDescent="0.25">
      <c r="A397">
        <v>72</v>
      </c>
      <c r="B397">
        <f>IFERROR(VLOOKUP(A397,Capacity!$A$3:$D$532,4,), "0")</f>
        <v>90.477866879999993</v>
      </c>
      <c r="C397" s="4">
        <f>IFERROR(VLOOKUP(A397,Capacity!$A$3:$F$532,6,), "0")</f>
        <v>0.6</v>
      </c>
      <c r="D397">
        <v>71</v>
      </c>
      <c r="E397">
        <f>IFERROR(VLOOKUP(D397,Capacity!$A$3:$D$532,4,), "0")</f>
        <v>90.477866879999993</v>
      </c>
      <c r="F397" s="4">
        <f>IFERROR(VLOOKUP(D397,Capacity!$A$3:$F$532,6,), "0")</f>
        <v>0.6</v>
      </c>
      <c r="H397" t="str">
        <f>IFERROR(VLOOKUP(G397,Capacity!$A$3:$D$532,4,), "0")</f>
        <v>0</v>
      </c>
      <c r="I397" s="4" t="str">
        <f>IFERROR(VLOOKUP(G397,Capacity!$A$3:$F$532,6,), "0")</f>
        <v>0</v>
      </c>
      <c r="K397" t="str">
        <f>IFERROR(VLOOKUP(J397,Capacity!$A$3:$D$532,4,), "0")</f>
        <v>0</v>
      </c>
      <c r="L397" s="4" t="str">
        <f>IFERROR(VLOOKUP(J397,Capacity!$A$3:$F$532,6,), "0")</f>
        <v>0</v>
      </c>
      <c r="M397" s="5">
        <f t="shared" si="54"/>
        <v>90.477866879999993</v>
      </c>
      <c r="N397" s="5">
        <f t="shared" si="55"/>
        <v>0.6</v>
      </c>
      <c r="O397">
        <v>73</v>
      </c>
      <c r="P397">
        <f>IFERROR(VLOOKUP(O397,Capacity!$A$3:$D$532,4,), "0")</f>
        <v>90.477866879999993</v>
      </c>
      <c r="Q397" s="4">
        <f>IFERROR(VLOOKUP(O397,Capacity!$A$3:$F$532,6,), "0")</f>
        <v>0.6</v>
      </c>
      <c r="R397" s="5">
        <f t="shared" si="56"/>
        <v>90.477866879999993</v>
      </c>
      <c r="S397" s="5">
        <f t="shared" si="60"/>
        <v>0.6</v>
      </c>
      <c r="U397">
        <v>72</v>
      </c>
      <c r="V397">
        <v>2</v>
      </c>
      <c r="W397">
        <v>2</v>
      </c>
      <c r="X397">
        <v>1</v>
      </c>
      <c r="AB397">
        <f t="shared" si="57"/>
        <v>1</v>
      </c>
      <c r="AC397">
        <f t="shared" si="58"/>
        <v>1</v>
      </c>
      <c r="AD397">
        <f t="shared" si="59"/>
        <v>1</v>
      </c>
      <c r="AE397">
        <f t="shared" si="61"/>
        <v>1</v>
      </c>
      <c r="AG397">
        <f t="shared" si="62"/>
        <v>0.5</v>
      </c>
    </row>
    <row r="398" spans="1:33" x14ac:dyDescent="0.25">
      <c r="A398">
        <v>478</v>
      </c>
      <c r="B398">
        <f>IFERROR(VLOOKUP(A398,Capacity!$A$3:$D$532,4,), "0")</f>
        <v>20.204367408749999</v>
      </c>
      <c r="C398" s="4">
        <f>IFERROR(VLOOKUP(A398,Capacity!$A$3:$F$532,6,), "0")</f>
        <v>0.17499999999999999</v>
      </c>
      <c r="E398" t="str">
        <f>IFERROR(VLOOKUP(D398,Capacity!$A$3:$D$532,4,), "0")</f>
        <v>0</v>
      </c>
      <c r="F398" s="4" t="str">
        <f>IFERROR(VLOOKUP(D398,Capacity!$A$3:$F$532,6,), "0")</f>
        <v>0</v>
      </c>
      <c r="H398" t="str">
        <f>IFERROR(VLOOKUP(G398,Capacity!$A$3:$D$532,4,), "0")</f>
        <v>0</v>
      </c>
      <c r="I398" s="4" t="str">
        <f>IFERROR(VLOOKUP(G398,Capacity!$A$3:$F$532,6,), "0")</f>
        <v>0</v>
      </c>
      <c r="K398" t="str">
        <f>IFERROR(VLOOKUP(J398,Capacity!$A$3:$D$532,4,), "0")</f>
        <v>0</v>
      </c>
      <c r="L398" s="4" t="str">
        <f>IFERROR(VLOOKUP(J398,Capacity!$A$3:$F$532,6,), "0")</f>
        <v>0</v>
      </c>
      <c r="M398" s="5">
        <f t="shared" si="54"/>
        <v>0</v>
      </c>
      <c r="N398" s="5">
        <f t="shared" si="55"/>
        <v>0</v>
      </c>
      <c r="O398">
        <v>225</v>
      </c>
      <c r="P398">
        <f>IFERROR(VLOOKUP(O398,Capacity!$A$3:$D$532,4,), "0")</f>
        <v>17.649467226800002</v>
      </c>
      <c r="Q398" s="4">
        <f>IFERROR(VLOOKUP(O398,Capacity!$A$3:$F$532,6,), "0")</f>
        <v>0.26500000000000001</v>
      </c>
      <c r="R398" s="5">
        <f t="shared" si="56"/>
        <v>17.649467226800002</v>
      </c>
      <c r="S398" s="5">
        <f t="shared" si="60"/>
        <v>0.26500000000000001</v>
      </c>
      <c r="U398">
        <v>478</v>
      </c>
      <c r="V398">
        <v>0</v>
      </c>
      <c r="W398">
        <v>0</v>
      </c>
      <c r="X398">
        <v>1</v>
      </c>
      <c r="AB398">
        <f t="shared" si="57"/>
        <v>0</v>
      </c>
      <c r="AC398">
        <f t="shared" si="58"/>
        <v>0</v>
      </c>
      <c r="AD398">
        <f t="shared" si="59"/>
        <v>0</v>
      </c>
      <c r="AE398">
        <f t="shared" si="61"/>
        <v>0</v>
      </c>
      <c r="AG398">
        <f t="shared" si="62"/>
        <v>0</v>
      </c>
    </row>
    <row r="399" spans="1:33" x14ac:dyDescent="0.25">
      <c r="A399">
        <v>392</v>
      </c>
      <c r="B399">
        <f>IFERROR(VLOOKUP(A399,Capacity!$A$3:$D$532,4,), "0")</f>
        <v>21.166480142499999</v>
      </c>
      <c r="C399" s="4">
        <f>IFERROR(VLOOKUP(A399,Capacity!$A$3:$F$532,6,), "0")</f>
        <v>0.17499999999999999</v>
      </c>
      <c r="E399" t="str">
        <f>IFERROR(VLOOKUP(D399,Capacity!$A$3:$D$532,4,), "0")</f>
        <v>0</v>
      </c>
      <c r="F399" s="4" t="str">
        <f>IFERROR(VLOOKUP(D399,Capacity!$A$3:$F$532,6,), "0")</f>
        <v>0</v>
      </c>
      <c r="H399" t="str">
        <f>IFERROR(VLOOKUP(G399,Capacity!$A$3:$D$532,4,), "0")</f>
        <v>0</v>
      </c>
      <c r="I399" s="4" t="str">
        <f>IFERROR(VLOOKUP(G399,Capacity!$A$3:$F$532,6,), "0")</f>
        <v>0</v>
      </c>
      <c r="K399" t="str">
        <f>IFERROR(VLOOKUP(J399,Capacity!$A$3:$D$532,4,), "0")</f>
        <v>0</v>
      </c>
      <c r="L399" s="4" t="str">
        <f>IFERROR(VLOOKUP(J399,Capacity!$A$3:$F$532,6,), "0")</f>
        <v>0</v>
      </c>
      <c r="M399" s="5">
        <f t="shared" si="54"/>
        <v>0</v>
      </c>
      <c r="N399" s="5">
        <f t="shared" si="55"/>
        <v>0</v>
      </c>
      <c r="O399">
        <v>225</v>
      </c>
      <c r="P399">
        <f>IFERROR(VLOOKUP(O399,Capacity!$A$3:$D$532,4,), "0")</f>
        <v>17.649467226800002</v>
      </c>
      <c r="Q399" s="4">
        <f>IFERROR(VLOOKUP(O399,Capacity!$A$3:$F$532,6,), "0")</f>
        <v>0.26500000000000001</v>
      </c>
      <c r="R399" s="5">
        <f t="shared" si="56"/>
        <v>17.649467226800002</v>
      </c>
      <c r="S399" s="5">
        <f t="shared" si="60"/>
        <v>0.26500000000000001</v>
      </c>
      <c r="U399">
        <v>392</v>
      </c>
      <c r="V399">
        <v>0</v>
      </c>
      <c r="W399">
        <v>0</v>
      </c>
      <c r="X399">
        <v>1</v>
      </c>
      <c r="AB399">
        <f t="shared" si="57"/>
        <v>0</v>
      </c>
      <c r="AC399">
        <f t="shared" si="58"/>
        <v>0</v>
      </c>
      <c r="AD399">
        <f t="shared" si="59"/>
        <v>0</v>
      </c>
      <c r="AE399">
        <f t="shared" si="61"/>
        <v>0</v>
      </c>
      <c r="AG399">
        <f t="shared" si="62"/>
        <v>0</v>
      </c>
    </row>
    <row r="400" spans="1:33" x14ac:dyDescent="0.25">
      <c r="A400">
        <v>226</v>
      </c>
      <c r="B400">
        <f>IFERROR(VLOOKUP(A400,Capacity!$A$3:$D$532,4,), "0")</f>
        <v>17.649467226800002</v>
      </c>
      <c r="C400" s="4">
        <f>IFERROR(VLOOKUP(A400,Capacity!$A$3:$F$532,6,), "0")</f>
        <v>0.26500000000000001</v>
      </c>
      <c r="D400">
        <v>227</v>
      </c>
      <c r="E400">
        <f>IFERROR(VLOOKUP(D400,Capacity!$A$3:$D$532,4,), "0")</f>
        <v>33.092751050250008</v>
      </c>
      <c r="F400" s="4">
        <f>IFERROR(VLOOKUP(D400,Capacity!$A$3:$F$532,6,), "0")</f>
        <v>0.26500000000000001</v>
      </c>
      <c r="H400" t="str">
        <f>IFERROR(VLOOKUP(G400,Capacity!$A$3:$D$532,4,), "0")</f>
        <v>0</v>
      </c>
      <c r="I400" s="4" t="str">
        <f>IFERROR(VLOOKUP(G400,Capacity!$A$3:$F$532,6,), "0")</f>
        <v>0</v>
      </c>
      <c r="K400" t="str">
        <f>IFERROR(VLOOKUP(J400,Capacity!$A$3:$D$532,4,), "0")</f>
        <v>0</v>
      </c>
      <c r="L400" s="4" t="str">
        <f>IFERROR(VLOOKUP(J400,Capacity!$A$3:$F$532,6,), "0")</f>
        <v>0</v>
      </c>
      <c r="M400" s="5">
        <f t="shared" si="54"/>
        <v>33.092751050250008</v>
      </c>
      <c r="N400" s="5">
        <f t="shared" si="55"/>
        <v>0.26500000000000001</v>
      </c>
      <c r="O400">
        <v>225</v>
      </c>
      <c r="P400">
        <f>IFERROR(VLOOKUP(O400,Capacity!$A$3:$D$532,4,), "0")</f>
        <v>17.649467226800002</v>
      </c>
      <c r="Q400" s="4">
        <f>IFERROR(VLOOKUP(O400,Capacity!$A$3:$F$532,6,), "0")</f>
        <v>0.26500000000000001</v>
      </c>
      <c r="R400" s="5">
        <f t="shared" si="56"/>
        <v>17.649467226800002</v>
      </c>
      <c r="S400" s="5">
        <f t="shared" si="60"/>
        <v>0.26500000000000001</v>
      </c>
      <c r="U400">
        <v>226</v>
      </c>
      <c r="V400">
        <v>1</v>
      </c>
      <c r="W400">
        <v>1</v>
      </c>
      <c r="X400">
        <v>1</v>
      </c>
      <c r="AB400">
        <f t="shared" si="57"/>
        <v>1.8750000000000002</v>
      </c>
      <c r="AC400">
        <f t="shared" si="58"/>
        <v>1.8750000000000002</v>
      </c>
      <c r="AD400">
        <f t="shared" si="59"/>
        <v>1</v>
      </c>
      <c r="AE400">
        <f t="shared" si="61"/>
        <v>1</v>
      </c>
      <c r="AG400">
        <f t="shared" si="62"/>
        <v>0.93750000000000011</v>
      </c>
    </row>
    <row r="401" spans="1:33" x14ac:dyDescent="0.25">
      <c r="A401">
        <v>513</v>
      </c>
      <c r="B401">
        <f>IFERROR(VLOOKUP(A401,Capacity!$A$3:$D$532,4,), "0")</f>
        <v>17.318029207499997</v>
      </c>
      <c r="C401" s="4">
        <f>IFERROR(VLOOKUP(A401,Capacity!$A$3:$F$532,6,), "0")</f>
        <v>0.17499999999999999</v>
      </c>
      <c r="E401" t="str">
        <f>IFERROR(VLOOKUP(D401,Capacity!$A$3:$D$532,4,), "0")</f>
        <v>0</v>
      </c>
      <c r="F401" s="4" t="str">
        <f>IFERROR(VLOOKUP(D401,Capacity!$A$3:$F$532,6,), "0")</f>
        <v>0</v>
      </c>
      <c r="H401" t="str">
        <f>IFERROR(VLOOKUP(G401,Capacity!$A$3:$D$532,4,), "0")</f>
        <v>0</v>
      </c>
      <c r="I401" s="4" t="str">
        <f>IFERROR(VLOOKUP(G401,Capacity!$A$3:$F$532,6,), "0")</f>
        <v>0</v>
      </c>
      <c r="K401" t="str">
        <f>IFERROR(VLOOKUP(J401,Capacity!$A$3:$D$532,4,), "0")</f>
        <v>0</v>
      </c>
      <c r="L401" s="4" t="str">
        <f>IFERROR(VLOOKUP(J401,Capacity!$A$3:$F$532,6,), "0")</f>
        <v>0</v>
      </c>
      <c r="M401" s="5">
        <f t="shared" si="54"/>
        <v>0</v>
      </c>
      <c r="N401" s="5">
        <f t="shared" si="55"/>
        <v>0</v>
      </c>
      <c r="O401">
        <v>326</v>
      </c>
      <c r="P401">
        <f>IFERROR(VLOOKUP(O401,Capacity!$A$3:$D$532,4,), "0")</f>
        <v>37.699111200000011</v>
      </c>
      <c r="Q401" s="4">
        <f>IFERROR(VLOOKUP(O401,Capacity!$A$3:$F$532,6,), "0")</f>
        <v>0.4</v>
      </c>
      <c r="R401" s="5">
        <f t="shared" si="56"/>
        <v>37.699111200000011</v>
      </c>
      <c r="S401" s="5">
        <f t="shared" si="60"/>
        <v>0.4</v>
      </c>
      <c r="U401">
        <v>513</v>
      </c>
      <c r="V401">
        <v>0</v>
      </c>
      <c r="W401">
        <v>0</v>
      </c>
      <c r="X401">
        <v>1</v>
      </c>
      <c r="AB401">
        <f t="shared" si="57"/>
        <v>0</v>
      </c>
      <c r="AC401">
        <f t="shared" si="58"/>
        <v>0</v>
      </c>
      <c r="AD401">
        <f t="shared" si="59"/>
        <v>0</v>
      </c>
      <c r="AE401">
        <f t="shared" si="61"/>
        <v>0</v>
      </c>
      <c r="AG401">
        <f t="shared" si="62"/>
        <v>0</v>
      </c>
    </row>
    <row r="402" spans="1:33" x14ac:dyDescent="0.25">
      <c r="A402">
        <v>327</v>
      </c>
      <c r="B402">
        <f>IFERROR(VLOOKUP(A402,Capacity!$A$3:$D$532,4,), "0")</f>
        <v>37.699111200000011</v>
      </c>
      <c r="C402" s="4">
        <f>IFERROR(VLOOKUP(A402,Capacity!$A$3:$F$532,6,), "0")</f>
        <v>0.4</v>
      </c>
      <c r="D402">
        <v>511</v>
      </c>
      <c r="E402">
        <f>IFERROR(VLOOKUP(D402,Capacity!$A$3:$D$532,4,), "0")</f>
        <v>18.280141941249997</v>
      </c>
      <c r="F402" s="4">
        <f>IFERROR(VLOOKUP(D402,Capacity!$A$3:$F$532,6,), "0")</f>
        <v>0.17499999999999999</v>
      </c>
      <c r="G402">
        <v>501</v>
      </c>
      <c r="H402">
        <f>IFERROR(VLOOKUP(G402,Capacity!$A$3:$D$532,4,), "0")</f>
        <v>14.431691006249999</v>
      </c>
      <c r="I402" s="4">
        <f>IFERROR(VLOOKUP(G402,Capacity!$A$3:$F$532,6,), "0")</f>
        <v>0.17499999999999999</v>
      </c>
      <c r="J402">
        <v>329</v>
      </c>
      <c r="K402">
        <f>IFERROR(VLOOKUP(J402,Capacity!$A$3:$D$532,4,), "0")</f>
        <v>37.699111200000011</v>
      </c>
      <c r="L402" s="4">
        <f>IFERROR(VLOOKUP(J402,Capacity!$A$3:$F$532,6,), "0")</f>
        <v>0.4</v>
      </c>
      <c r="M402" s="5">
        <f t="shared" si="54"/>
        <v>70.410944147500004</v>
      </c>
      <c r="N402" s="5">
        <f t="shared" si="55"/>
        <v>0.75</v>
      </c>
      <c r="O402">
        <v>326</v>
      </c>
      <c r="P402">
        <f>IFERROR(VLOOKUP(O402,Capacity!$A$3:$D$532,4,), "0")</f>
        <v>37.699111200000011</v>
      </c>
      <c r="Q402" s="4">
        <f>IFERROR(VLOOKUP(O402,Capacity!$A$3:$F$532,6,), "0")</f>
        <v>0.4</v>
      </c>
      <c r="R402" s="5">
        <f t="shared" si="56"/>
        <v>37.699111200000011</v>
      </c>
      <c r="S402" s="5">
        <f t="shared" si="60"/>
        <v>0.4</v>
      </c>
      <c r="U402">
        <v>327</v>
      </c>
      <c r="V402">
        <v>4</v>
      </c>
      <c r="W402">
        <v>4</v>
      </c>
      <c r="X402">
        <v>1</v>
      </c>
      <c r="AB402">
        <f t="shared" si="57"/>
        <v>1.8677083333333329</v>
      </c>
      <c r="AC402">
        <f t="shared" si="58"/>
        <v>1.8677083333333329</v>
      </c>
      <c r="AD402">
        <f t="shared" si="59"/>
        <v>1.875</v>
      </c>
      <c r="AE402">
        <f t="shared" si="61"/>
        <v>1.875</v>
      </c>
      <c r="AG402">
        <f t="shared" si="62"/>
        <v>0.93385416666666643</v>
      </c>
    </row>
    <row r="403" spans="1:33" x14ac:dyDescent="0.25">
      <c r="A403">
        <v>507</v>
      </c>
      <c r="B403">
        <f>IFERROR(VLOOKUP(A403,Capacity!$A$3:$D$532,4,), "0")</f>
        <v>14.431691006249999</v>
      </c>
      <c r="C403" s="4">
        <f>IFERROR(VLOOKUP(A403,Capacity!$A$3:$F$532,6,), "0")</f>
        <v>0.17499999999999999</v>
      </c>
      <c r="E403" t="str">
        <f>IFERROR(VLOOKUP(D403,Capacity!$A$3:$D$532,4,), "0")</f>
        <v>0</v>
      </c>
      <c r="F403" s="4" t="str">
        <f>IFERROR(VLOOKUP(D403,Capacity!$A$3:$F$532,6,), "0")</f>
        <v>0</v>
      </c>
      <c r="H403" t="str">
        <f>IFERROR(VLOOKUP(G403,Capacity!$A$3:$D$532,4,), "0")</f>
        <v>0</v>
      </c>
      <c r="I403" s="4" t="str">
        <f>IFERROR(VLOOKUP(G403,Capacity!$A$3:$F$532,6,), "0")</f>
        <v>0</v>
      </c>
      <c r="K403" t="str">
        <f>IFERROR(VLOOKUP(J403,Capacity!$A$3:$D$532,4,), "0")</f>
        <v>0</v>
      </c>
      <c r="L403" s="4" t="str">
        <f>IFERROR(VLOOKUP(J403,Capacity!$A$3:$F$532,6,), "0")</f>
        <v>0</v>
      </c>
      <c r="M403" s="5">
        <f t="shared" si="54"/>
        <v>0</v>
      </c>
      <c r="N403" s="5">
        <f t="shared" si="55"/>
        <v>0</v>
      </c>
      <c r="O403">
        <v>311</v>
      </c>
      <c r="P403">
        <f>IFERROR(VLOOKUP(O403,Capacity!$A$3:$D$532,4,), "0")</f>
        <v>132.53593781250001</v>
      </c>
      <c r="Q403" s="4">
        <f>IFERROR(VLOOKUP(O403,Capacity!$A$3:$F$532,6,), "0")</f>
        <v>0.75</v>
      </c>
      <c r="R403" s="5">
        <f t="shared" si="56"/>
        <v>132.53593781250001</v>
      </c>
      <c r="S403" s="5">
        <f t="shared" si="60"/>
        <v>0.75</v>
      </c>
      <c r="U403">
        <v>507</v>
      </c>
      <c r="V403">
        <v>0</v>
      </c>
      <c r="W403">
        <v>0</v>
      </c>
      <c r="X403">
        <v>1</v>
      </c>
      <c r="AB403">
        <f t="shared" si="57"/>
        <v>0</v>
      </c>
      <c r="AC403">
        <f t="shared" si="58"/>
        <v>0</v>
      </c>
      <c r="AD403">
        <f t="shared" si="59"/>
        <v>0</v>
      </c>
      <c r="AE403">
        <f t="shared" si="61"/>
        <v>0</v>
      </c>
      <c r="AG403">
        <f t="shared" si="62"/>
        <v>0</v>
      </c>
    </row>
    <row r="404" spans="1:33" x14ac:dyDescent="0.25">
      <c r="A404">
        <v>310</v>
      </c>
      <c r="B404">
        <f>IFERROR(VLOOKUP(A404,Capacity!$A$3:$D$532,4,), "0")</f>
        <v>132.53593781250001</v>
      </c>
      <c r="C404" s="4">
        <f>IFERROR(VLOOKUP(A404,Capacity!$A$3:$F$532,6,), "0")</f>
        <v>0.75</v>
      </c>
      <c r="D404">
        <v>309</v>
      </c>
      <c r="E404">
        <f>IFERROR(VLOOKUP(D404,Capacity!$A$3:$D$532,4,), "0")</f>
        <v>84.823000199999996</v>
      </c>
      <c r="F404" s="4">
        <f>IFERROR(VLOOKUP(D404,Capacity!$A$3:$F$532,6,), "0")</f>
        <v>0.6</v>
      </c>
      <c r="G404">
        <v>262</v>
      </c>
      <c r="H404">
        <f>IFERROR(VLOOKUP(G404,Capacity!$A$3:$D$532,4,), "0")</f>
        <v>11.545352804999998</v>
      </c>
      <c r="I404" s="4">
        <f>IFERROR(VLOOKUP(G404,Capacity!$A$3:$F$532,6,), "0")</f>
        <v>0.17499999999999999</v>
      </c>
      <c r="K404" t="str">
        <f>IFERROR(VLOOKUP(J404,Capacity!$A$3:$D$532,4,), "0")</f>
        <v>0</v>
      </c>
      <c r="L404" s="4" t="str">
        <f>IFERROR(VLOOKUP(J404,Capacity!$A$3:$F$532,6,), "0")</f>
        <v>0</v>
      </c>
      <c r="M404" s="5">
        <f t="shared" si="54"/>
        <v>96.368353004999989</v>
      </c>
      <c r="N404" s="5">
        <f t="shared" si="55"/>
        <v>0.77499999999999991</v>
      </c>
      <c r="O404">
        <v>311</v>
      </c>
      <c r="P404">
        <f>IFERROR(VLOOKUP(O404,Capacity!$A$3:$D$532,4,), "0")</f>
        <v>132.53593781250001</v>
      </c>
      <c r="Q404" s="4">
        <f>IFERROR(VLOOKUP(O404,Capacity!$A$3:$F$532,6,), "0")</f>
        <v>0.75</v>
      </c>
      <c r="R404" s="5">
        <f t="shared" si="56"/>
        <v>132.53593781250001</v>
      </c>
      <c r="S404" s="5">
        <f t="shared" si="60"/>
        <v>0.75</v>
      </c>
      <c r="U404">
        <v>310</v>
      </c>
      <c r="V404">
        <v>3</v>
      </c>
      <c r="W404">
        <v>3</v>
      </c>
      <c r="X404">
        <v>1</v>
      </c>
      <c r="AB404">
        <f t="shared" si="57"/>
        <v>0.72711111111111093</v>
      </c>
      <c r="AC404">
        <f t="shared" si="58"/>
        <v>0.72711111111111093</v>
      </c>
      <c r="AD404">
        <f t="shared" si="59"/>
        <v>1.0333333333333332</v>
      </c>
      <c r="AE404">
        <f t="shared" si="61"/>
        <v>1.0333333333333332</v>
      </c>
      <c r="AG404">
        <f t="shared" si="62"/>
        <v>0.36355555555555547</v>
      </c>
    </row>
    <row r="405" spans="1:33" x14ac:dyDescent="0.25">
      <c r="A405">
        <v>261</v>
      </c>
      <c r="B405">
        <f>IFERROR(VLOOKUP(A405,Capacity!$A$3:$D$532,4,), "0")</f>
        <v>11.545352804999998</v>
      </c>
      <c r="C405" s="4">
        <f>IFERROR(VLOOKUP(A405,Capacity!$A$3:$F$532,6,), "0")</f>
        <v>0.17499999999999999</v>
      </c>
      <c r="E405" t="str">
        <f>IFERROR(VLOOKUP(D405,Capacity!$A$3:$D$532,4,), "0")</f>
        <v>0</v>
      </c>
      <c r="F405" s="4" t="str">
        <f>IFERROR(VLOOKUP(D405,Capacity!$A$3:$F$532,6,), "0")</f>
        <v>0</v>
      </c>
      <c r="H405" t="str">
        <f>IFERROR(VLOOKUP(G405,Capacity!$A$3:$D$532,4,), "0")</f>
        <v>0</v>
      </c>
      <c r="I405" s="4" t="str">
        <f>IFERROR(VLOOKUP(G405,Capacity!$A$3:$F$532,6,), "0")</f>
        <v>0</v>
      </c>
      <c r="K405" t="str">
        <f>IFERROR(VLOOKUP(J405,Capacity!$A$3:$D$532,4,), "0")</f>
        <v>0</v>
      </c>
      <c r="L405" s="4" t="str">
        <f>IFERROR(VLOOKUP(J405,Capacity!$A$3:$F$532,6,), "0")</f>
        <v>0</v>
      </c>
      <c r="M405" s="5">
        <f t="shared" si="54"/>
        <v>0</v>
      </c>
      <c r="N405" s="5">
        <f t="shared" si="55"/>
        <v>0</v>
      </c>
      <c r="O405">
        <v>311</v>
      </c>
      <c r="P405">
        <f>IFERROR(VLOOKUP(O405,Capacity!$A$3:$D$532,4,), "0")</f>
        <v>132.53593781250001</v>
      </c>
      <c r="Q405" s="4">
        <f>IFERROR(VLOOKUP(O405,Capacity!$A$3:$F$532,6,), "0")</f>
        <v>0.75</v>
      </c>
      <c r="R405" s="5">
        <f t="shared" si="56"/>
        <v>132.53593781250001</v>
      </c>
      <c r="S405" s="5">
        <f t="shared" si="60"/>
        <v>0.75</v>
      </c>
      <c r="U405">
        <v>261</v>
      </c>
      <c r="V405">
        <v>0</v>
      </c>
      <c r="W405">
        <v>0</v>
      </c>
      <c r="X405">
        <v>1</v>
      </c>
      <c r="AB405">
        <f t="shared" si="57"/>
        <v>0</v>
      </c>
      <c r="AC405">
        <f t="shared" si="58"/>
        <v>0</v>
      </c>
      <c r="AD405">
        <f t="shared" si="59"/>
        <v>0</v>
      </c>
      <c r="AE405">
        <f t="shared" si="61"/>
        <v>0</v>
      </c>
      <c r="AG405">
        <f t="shared" si="62"/>
        <v>0</v>
      </c>
    </row>
    <row r="406" spans="1:33" x14ac:dyDescent="0.25">
      <c r="A406">
        <v>512</v>
      </c>
      <c r="B406">
        <f>IFERROR(VLOOKUP(A406,Capacity!$A$3:$D$532,4,), "0")</f>
        <v>21.166480142499999</v>
      </c>
      <c r="C406" s="4">
        <f>IFERROR(VLOOKUP(A406,Capacity!$A$3:$F$532,6,), "0")</f>
        <v>0.17499999999999999</v>
      </c>
      <c r="E406" t="str">
        <f>IFERROR(VLOOKUP(D406,Capacity!$A$3:$D$532,4,), "0")</f>
        <v>0</v>
      </c>
      <c r="F406" s="4" t="str">
        <f>IFERROR(VLOOKUP(D406,Capacity!$A$3:$F$532,6,), "0")</f>
        <v>0</v>
      </c>
      <c r="H406" t="str">
        <f>IFERROR(VLOOKUP(G406,Capacity!$A$3:$D$532,4,), "0")</f>
        <v>0</v>
      </c>
      <c r="I406" s="4" t="str">
        <f>IFERROR(VLOOKUP(G406,Capacity!$A$3:$F$532,6,), "0")</f>
        <v>0</v>
      </c>
      <c r="K406" t="str">
        <f>IFERROR(VLOOKUP(J406,Capacity!$A$3:$D$532,4,), "0")</f>
        <v>0</v>
      </c>
      <c r="L406" s="4" t="str">
        <f>IFERROR(VLOOKUP(J406,Capacity!$A$3:$F$532,6,), "0")</f>
        <v>0</v>
      </c>
      <c r="M406" s="5">
        <f t="shared" si="54"/>
        <v>0</v>
      </c>
      <c r="N406" s="5">
        <f t="shared" si="55"/>
        <v>0</v>
      </c>
      <c r="O406">
        <v>33</v>
      </c>
      <c r="P406">
        <f>IFERROR(VLOOKUP(O406,Capacity!$A$3:$D$532,4,), "0")</f>
        <v>17.649467226800002</v>
      </c>
      <c r="Q406" s="4">
        <f>IFERROR(VLOOKUP(O406,Capacity!$A$3:$F$532,6,), "0")</f>
        <v>0.26500000000000001</v>
      </c>
      <c r="R406" s="5">
        <f t="shared" si="56"/>
        <v>17.649467226800002</v>
      </c>
      <c r="S406" s="5">
        <f t="shared" si="60"/>
        <v>0.26500000000000001</v>
      </c>
      <c r="U406">
        <v>512</v>
      </c>
      <c r="V406">
        <v>0</v>
      </c>
      <c r="W406">
        <v>0</v>
      </c>
      <c r="X406">
        <v>1</v>
      </c>
      <c r="AB406">
        <f t="shared" si="57"/>
        <v>0</v>
      </c>
      <c r="AC406">
        <f t="shared" si="58"/>
        <v>0</v>
      </c>
      <c r="AD406">
        <f t="shared" si="59"/>
        <v>0</v>
      </c>
      <c r="AE406">
        <f t="shared" si="61"/>
        <v>0</v>
      </c>
      <c r="AG406">
        <f t="shared" si="62"/>
        <v>0</v>
      </c>
    </row>
    <row r="407" spans="1:33" x14ac:dyDescent="0.25">
      <c r="A407">
        <v>393</v>
      </c>
      <c r="B407">
        <f>IFERROR(VLOOKUP(A407,Capacity!$A$3:$D$532,4,), "0")</f>
        <v>21.647536509374998</v>
      </c>
      <c r="C407" s="4">
        <f>IFERROR(VLOOKUP(A407,Capacity!$A$3:$F$532,6,), "0")</f>
        <v>0.17499999999999999</v>
      </c>
      <c r="E407" t="str">
        <f>IFERROR(VLOOKUP(D407,Capacity!$A$3:$D$532,4,), "0")</f>
        <v>0</v>
      </c>
      <c r="F407" s="4" t="str">
        <f>IFERROR(VLOOKUP(D407,Capacity!$A$3:$F$532,6,), "0")</f>
        <v>0</v>
      </c>
      <c r="H407" t="str">
        <f>IFERROR(VLOOKUP(G407,Capacity!$A$3:$D$532,4,), "0")</f>
        <v>0</v>
      </c>
      <c r="I407" s="4" t="str">
        <f>IFERROR(VLOOKUP(G407,Capacity!$A$3:$F$532,6,), "0")</f>
        <v>0</v>
      </c>
      <c r="K407" t="str">
        <f>IFERROR(VLOOKUP(J407,Capacity!$A$3:$D$532,4,), "0")</f>
        <v>0</v>
      </c>
      <c r="L407" s="4" t="str">
        <f>IFERROR(VLOOKUP(J407,Capacity!$A$3:$F$532,6,), "0")</f>
        <v>0</v>
      </c>
      <c r="M407" s="5">
        <f t="shared" si="54"/>
        <v>0</v>
      </c>
      <c r="N407" s="5">
        <f t="shared" si="55"/>
        <v>0</v>
      </c>
      <c r="O407">
        <v>33</v>
      </c>
      <c r="P407">
        <f>IFERROR(VLOOKUP(O407,Capacity!$A$3:$D$532,4,), "0")</f>
        <v>17.649467226800002</v>
      </c>
      <c r="Q407" s="4">
        <f>IFERROR(VLOOKUP(O407,Capacity!$A$3:$F$532,6,), "0")</f>
        <v>0.26500000000000001</v>
      </c>
      <c r="R407" s="5">
        <f t="shared" si="56"/>
        <v>17.649467226800002</v>
      </c>
      <c r="S407" s="5">
        <f t="shared" si="60"/>
        <v>0.26500000000000001</v>
      </c>
      <c r="U407">
        <v>393</v>
      </c>
      <c r="V407">
        <v>0</v>
      </c>
      <c r="W407">
        <v>0</v>
      </c>
      <c r="X407">
        <v>1</v>
      </c>
      <c r="AB407">
        <f t="shared" si="57"/>
        <v>0</v>
      </c>
      <c r="AC407">
        <f t="shared" si="58"/>
        <v>0</v>
      </c>
      <c r="AD407">
        <f t="shared" si="59"/>
        <v>0</v>
      </c>
      <c r="AE407">
        <f t="shared" si="61"/>
        <v>0</v>
      </c>
      <c r="AG407">
        <f t="shared" si="62"/>
        <v>0</v>
      </c>
    </row>
    <row r="408" spans="1:33" x14ac:dyDescent="0.25">
      <c r="A408">
        <v>32</v>
      </c>
      <c r="B408">
        <f>IFERROR(VLOOKUP(A408,Capacity!$A$3:$D$532,4,), "0")</f>
        <v>26.474200840200002</v>
      </c>
      <c r="C408" s="4">
        <f>IFERROR(VLOOKUP(A408,Capacity!$A$3:$F$532,6,), "0")</f>
        <v>0.26500000000000001</v>
      </c>
      <c r="D408">
        <v>510</v>
      </c>
      <c r="E408">
        <f>IFERROR(VLOOKUP(D408,Capacity!$A$3:$D$532,4,), "0")</f>
        <v>21.166480142499999</v>
      </c>
      <c r="F408" s="4">
        <f>IFERROR(VLOOKUP(D408,Capacity!$A$3:$F$532,6,), "0")</f>
        <v>0.17499999999999999</v>
      </c>
      <c r="G408">
        <v>31</v>
      </c>
      <c r="H408">
        <f>IFERROR(VLOOKUP(G408,Capacity!$A$3:$D$532,4,), "0")</f>
        <v>8.8247336134000012</v>
      </c>
      <c r="I408" s="4">
        <f>IFERROR(VLOOKUP(G408,Capacity!$A$3:$F$532,6,), "0")</f>
        <v>0.26500000000000001</v>
      </c>
      <c r="K408" t="str">
        <f>IFERROR(VLOOKUP(J408,Capacity!$A$3:$D$532,4,), "0")</f>
        <v>0</v>
      </c>
      <c r="L408" s="4" t="str">
        <f>IFERROR(VLOOKUP(J408,Capacity!$A$3:$F$532,6,), "0")</f>
        <v>0</v>
      </c>
      <c r="M408" s="5">
        <f t="shared" si="54"/>
        <v>29.991213755899999</v>
      </c>
      <c r="N408" s="5">
        <f t="shared" si="55"/>
        <v>0.44</v>
      </c>
      <c r="O408">
        <v>33</v>
      </c>
      <c r="P408">
        <f>IFERROR(VLOOKUP(O408,Capacity!$A$3:$D$532,4,), "0")</f>
        <v>17.649467226800002</v>
      </c>
      <c r="Q408" s="4">
        <f>IFERROR(VLOOKUP(O408,Capacity!$A$3:$F$532,6,), "0")</f>
        <v>0.26500000000000001</v>
      </c>
      <c r="R408" s="5">
        <f t="shared" si="56"/>
        <v>17.649467226800002</v>
      </c>
      <c r="S408" s="5">
        <f t="shared" si="60"/>
        <v>0.26500000000000001</v>
      </c>
      <c r="U408">
        <v>32</v>
      </c>
      <c r="V408">
        <v>2</v>
      </c>
      <c r="W408">
        <v>2</v>
      </c>
      <c r="X408">
        <v>1</v>
      </c>
      <c r="AB408">
        <f t="shared" si="57"/>
        <v>1.699270202919188</v>
      </c>
      <c r="AC408">
        <f t="shared" si="58"/>
        <v>1.1328468019461255</v>
      </c>
      <c r="AD408">
        <f t="shared" si="59"/>
        <v>1.6603773584905659</v>
      </c>
      <c r="AE408">
        <f t="shared" si="61"/>
        <v>1.6603773584905659</v>
      </c>
      <c r="AG408">
        <f t="shared" si="62"/>
        <v>0.67970808116767523</v>
      </c>
    </row>
    <row r="409" spans="1:33" x14ac:dyDescent="0.25">
      <c r="A409">
        <v>332</v>
      </c>
      <c r="B409">
        <f>IFERROR(VLOOKUP(A409,Capacity!$A$3:$D$532,4,), "0")</f>
        <v>7.6969018699999987</v>
      </c>
      <c r="C409" s="4">
        <f>IFERROR(VLOOKUP(A409,Capacity!$A$3:$F$532,6,), "0")</f>
        <v>0.17499999999999999</v>
      </c>
      <c r="D409">
        <v>331</v>
      </c>
      <c r="E409">
        <f>IFERROR(VLOOKUP(D409,Capacity!$A$3:$D$532,4,), "0")</f>
        <v>7.6969018699999987</v>
      </c>
      <c r="F409" s="4">
        <f>IFERROR(VLOOKUP(D409,Capacity!$A$3:$F$532,6,), "0")</f>
        <v>0.17499999999999999</v>
      </c>
      <c r="H409" t="str">
        <f>IFERROR(VLOOKUP(G409,Capacity!$A$3:$D$532,4,), "0")</f>
        <v>0</v>
      </c>
      <c r="I409" s="4" t="str">
        <f>IFERROR(VLOOKUP(G409,Capacity!$A$3:$F$532,6,), "0")</f>
        <v>0</v>
      </c>
      <c r="K409" t="str">
        <f>IFERROR(VLOOKUP(J409,Capacity!$A$3:$D$532,4,), "0")</f>
        <v>0</v>
      </c>
      <c r="L409" s="4" t="str">
        <f>IFERROR(VLOOKUP(J409,Capacity!$A$3:$F$532,6,), "0")</f>
        <v>0</v>
      </c>
      <c r="M409" s="5">
        <f t="shared" si="54"/>
        <v>7.6969018699999987</v>
      </c>
      <c r="N409" s="5">
        <f t="shared" si="55"/>
        <v>0.17499999999999999</v>
      </c>
      <c r="O409">
        <v>333</v>
      </c>
      <c r="P409">
        <f>IFERROR(VLOOKUP(O409,Capacity!$A$3:$D$532,4,), "0")</f>
        <v>10.053096320000002</v>
      </c>
      <c r="Q409" s="4">
        <f>IFERROR(VLOOKUP(O409,Capacity!$A$3:$F$532,6,), "0")</f>
        <v>0.2</v>
      </c>
      <c r="R409" s="5">
        <f t="shared" si="56"/>
        <v>10.053096320000002</v>
      </c>
      <c r="S409" s="5">
        <f t="shared" si="60"/>
        <v>0.2</v>
      </c>
      <c r="U409">
        <v>332</v>
      </c>
      <c r="V409">
        <v>2</v>
      </c>
      <c r="W409">
        <v>2</v>
      </c>
      <c r="X409">
        <v>1</v>
      </c>
      <c r="AB409">
        <f t="shared" si="57"/>
        <v>0.76562499999999978</v>
      </c>
      <c r="AC409">
        <f t="shared" si="58"/>
        <v>1</v>
      </c>
      <c r="AD409">
        <f t="shared" si="59"/>
        <v>0.87499999999999989</v>
      </c>
      <c r="AE409">
        <f t="shared" si="61"/>
        <v>1</v>
      </c>
      <c r="AG409">
        <f t="shared" si="62"/>
        <v>0.43362831858407075</v>
      </c>
    </row>
    <row r="410" spans="1:33" x14ac:dyDescent="0.25">
      <c r="A410">
        <v>71</v>
      </c>
      <c r="B410">
        <f>IFERROR(VLOOKUP(A410,Capacity!$A$3:$D$532,4,), "0")</f>
        <v>90.477866879999993</v>
      </c>
      <c r="C410" s="4">
        <f>IFERROR(VLOOKUP(A410,Capacity!$A$3:$F$532,6,), "0")</f>
        <v>0.6</v>
      </c>
      <c r="D410">
        <v>479</v>
      </c>
      <c r="E410">
        <f>IFERROR(VLOOKUP(D410,Capacity!$A$3:$D$532,4,), "0")</f>
        <v>21.647536509374998</v>
      </c>
      <c r="F410" s="4">
        <f>IFERROR(VLOOKUP(D410,Capacity!$A$3:$F$532,6,), "0")</f>
        <v>0.17499999999999999</v>
      </c>
      <c r="G410">
        <v>70</v>
      </c>
      <c r="H410">
        <f>IFERROR(VLOOKUP(G410,Capacity!$A$3:$D$532,4,), "0")</f>
        <v>124.40706696000001</v>
      </c>
      <c r="I410" s="4">
        <f>IFERROR(VLOOKUP(G410,Capacity!$A$3:$F$532,6,), "0")</f>
        <v>0.6</v>
      </c>
      <c r="K410" t="str">
        <f>IFERROR(VLOOKUP(J410,Capacity!$A$3:$D$532,4,), "0")</f>
        <v>0</v>
      </c>
      <c r="L410" s="4" t="str">
        <f>IFERROR(VLOOKUP(J410,Capacity!$A$3:$F$532,6,), "0")</f>
        <v>0</v>
      </c>
      <c r="M410" s="5">
        <f t="shared" si="54"/>
        <v>146.054603469375</v>
      </c>
      <c r="N410" s="5">
        <f t="shared" si="55"/>
        <v>0.77499999999999991</v>
      </c>
      <c r="O410">
        <v>72</v>
      </c>
      <c r="P410">
        <f>IFERROR(VLOOKUP(O410,Capacity!$A$3:$D$532,4,), "0")</f>
        <v>90.477866879999993</v>
      </c>
      <c r="Q410" s="4">
        <f>IFERROR(VLOOKUP(O410,Capacity!$A$3:$F$532,6,), "0")</f>
        <v>0.6</v>
      </c>
      <c r="R410" s="5">
        <f t="shared" si="56"/>
        <v>90.477866879999993</v>
      </c>
      <c r="S410" s="5">
        <f t="shared" si="60"/>
        <v>0.6</v>
      </c>
      <c r="U410">
        <v>71</v>
      </c>
      <c r="V410">
        <v>3</v>
      </c>
      <c r="W410">
        <v>3</v>
      </c>
      <c r="X410">
        <v>1</v>
      </c>
      <c r="AB410">
        <f t="shared" si="57"/>
        <v>1.6142578125</v>
      </c>
      <c r="AC410">
        <f t="shared" si="58"/>
        <v>1.6142578125</v>
      </c>
      <c r="AD410">
        <f t="shared" si="59"/>
        <v>1.2916666666666665</v>
      </c>
      <c r="AE410">
        <f t="shared" si="61"/>
        <v>1.2916666666666665</v>
      </c>
      <c r="AG410">
        <f t="shared" si="62"/>
        <v>0.80712890625</v>
      </c>
    </row>
    <row r="411" spans="1:33" x14ac:dyDescent="0.25">
      <c r="A411">
        <v>227</v>
      </c>
      <c r="B411">
        <f>IFERROR(VLOOKUP(A411,Capacity!$A$3:$D$532,4,), "0")</f>
        <v>33.092751050250008</v>
      </c>
      <c r="C411" s="4">
        <f>IFERROR(VLOOKUP(A411,Capacity!$A$3:$F$532,6,), "0")</f>
        <v>0.26500000000000001</v>
      </c>
      <c r="D411">
        <v>390</v>
      </c>
      <c r="E411">
        <f>IFERROR(VLOOKUP(D411,Capacity!$A$3:$D$532,4,), "0")</f>
        <v>26.939156544999996</v>
      </c>
      <c r="F411" s="4">
        <f>IFERROR(VLOOKUP(D411,Capacity!$A$3:$F$532,6,), "0")</f>
        <v>0.17499999999999999</v>
      </c>
      <c r="G411">
        <v>273</v>
      </c>
      <c r="H411">
        <f>IFERROR(VLOOKUP(G411,Capacity!$A$3:$D$532,4,), "0")</f>
        <v>76.969018699999992</v>
      </c>
      <c r="I411" s="4">
        <f>IFERROR(VLOOKUP(G411,Capacity!$A$3:$F$532,6,), "0")</f>
        <v>0.17499999999999999</v>
      </c>
      <c r="K411" t="str">
        <f>IFERROR(VLOOKUP(J411,Capacity!$A$3:$D$532,4,), "0")</f>
        <v>0</v>
      </c>
      <c r="L411" s="4" t="str">
        <f>IFERROR(VLOOKUP(J411,Capacity!$A$3:$F$532,6,), "0")</f>
        <v>0</v>
      </c>
      <c r="M411" s="5">
        <f t="shared" si="54"/>
        <v>103.908175245</v>
      </c>
      <c r="N411" s="5">
        <f t="shared" si="55"/>
        <v>0.35</v>
      </c>
      <c r="O411">
        <v>226</v>
      </c>
      <c r="P411">
        <f>IFERROR(VLOOKUP(O411,Capacity!$A$3:$D$532,4,), "0")</f>
        <v>17.649467226800002</v>
      </c>
      <c r="Q411" s="4">
        <f>IFERROR(VLOOKUP(O411,Capacity!$A$3:$F$532,6,), "0")</f>
        <v>0.26500000000000001</v>
      </c>
      <c r="R411" s="5">
        <f t="shared" si="56"/>
        <v>17.649467226800002</v>
      </c>
      <c r="S411" s="5">
        <f t="shared" si="60"/>
        <v>0.26500000000000001</v>
      </c>
      <c r="U411">
        <v>227</v>
      </c>
      <c r="V411">
        <v>2</v>
      </c>
      <c r="W411">
        <v>2</v>
      </c>
      <c r="X411">
        <v>1</v>
      </c>
      <c r="AB411">
        <f t="shared" si="57"/>
        <v>5.8873264506941965</v>
      </c>
      <c r="AC411">
        <f t="shared" si="58"/>
        <v>3.1399074403702376</v>
      </c>
      <c r="AD411">
        <f t="shared" si="59"/>
        <v>1.320754716981132</v>
      </c>
      <c r="AE411">
        <f t="shared" si="61"/>
        <v>1.320754716981132</v>
      </c>
      <c r="AG411">
        <f t="shared" si="62"/>
        <v>2.0477657219805896</v>
      </c>
    </row>
    <row r="412" spans="1:33" x14ac:dyDescent="0.25">
      <c r="A412">
        <v>511</v>
      </c>
      <c r="B412">
        <f>IFERROR(VLOOKUP(A412,Capacity!$A$3:$D$532,4,), "0")</f>
        <v>18.280141941249997</v>
      </c>
      <c r="C412" s="4">
        <f>IFERROR(VLOOKUP(A412,Capacity!$A$3:$F$532,6,), "0")</f>
        <v>0.17499999999999999</v>
      </c>
      <c r="E412" t="str">
        <f>IFERROR(VLOOKUP(D412,Capacity!$A$3:$D$532,4,), "0")</f>
        <v>0</v>
      </c>
      <c r="F412" s="4" t="str">
        <f>IFERROR(VLOOKUP(D412,Capacity!$A$3:$F$532,6,), "0")</f>
        <v>0</v>
      </c>
      <c r="H412" t="str">
        <f>IFERROR(VLOOKUP(G412,Capacity!$A$3:$D$532,4,), "0")</f>
        <v>0</v>
      </c>
      <c r="I412" s="4" t="str">
        <f>IFERROR(VLOOKUP(G412,Capacity!$A$3:$F$532,6,), "0")</f>
        <v>0</v>
      </c>
      <c r="K412" t="str">
        <f>IFERROR(VLOOKUP(J412,Capacity!$A$3:$D$532,4,), "0")</f>
        <v>0</v>
      </c>
      <c r="L412" s="4" t="str">
        <f>IFERROR(VLOOKUP(J412,Capacity!$A$3:$F$532,6,), "0")</f>
        <v>0</v>
      </c>
      <c r="M412" s="5">
        <f t="shared" si="54"/>
        <v>0</v>
      </c>
      <c r="N412" s="5">
        <f t="shared" si="55"/>
        <v>0</v>
      </c>
      <c r="O412">
        <v>327</v>
      </c>
      <c r="P412">
        <f>IFERROR(VLOOKUP(O412,Capacity!$A$3:$D$532,4,), "0")</f>
        <v>37.699111200000011</v>
      </c>
      <c r="Q412" s="4">
        <f>IFERROR(VLOOKUP(O412,Capacity!$A$3:$F$532,6,), "0")</f>
        <v>0.4</v>
      </c>
      <c r="R412" s="5">
        <f t="shared" si="56"/>
        <v>37.699111200000011</v>
      </c>
      <c r="S412" s="5">
        <f t="shared" si="60"/>
        <v>0.4</v>
      </c>
      <c r="U412">
        <v>511</v>
      </c>
      <c r="V412">
        <v>0</v>
      </c>
      <c r="W412">
        <v>0</v>
      </c>
      <c r="X412">
        <v>1</v>
      </c>
      <c r="AB412">
        <f t="shared" si="57"/>
        <v>0</v>
      </c>
      <c r="AC412">
        <f t="shared" si="58"/>
        <v>0</v>
      </c>
      <c r="AD412">
        <f t="shared" si="59"/>
        <v>0</v>
      </c>
      <c r="AE412">
        <f t="shared" si="61"/>
        <v>0</v>
      </c>
      <c r="AG412">
        <f t="shared" si="62"/>
        <v>0</v>
      </c>
    </row>
    <row r="413" spans="1:33" x14ac:dyDescent="0.25">
      <c r="A413">
        <v>501</v>
      </c>
      <c r="B413">
        <f>IFERROR(VLOOKUP(A413,Capacity!$A$3:$D$532,4,), "0")</f>
        <v>14.431691006249999</v>
      </c>
      <c r="C413" s="4">
        <f>IFERROR(VLOOKUP(A413,Capacity!$A$3:$F$532,6,), "0")</f>
        <v>0.17499999999999999</v>
      </c>
      <c r="E413" t="str">
        <f>IFERROR(VLOOKUP(D413,Capacity!$A$3:$D$532,4,), "0")</f>
        <v>0</v>
      </c>
      <c r="F413" s="4" t="str">
        <f>IFERROR(VLOOKUP(D413,Capacity!$A$3:$F$532,6,), "0")</f>
        <v>0</v>
      </c>
      <c r="H413" t="str">
        <f>IFERROR(VLOOKUP(G413,Capacity!$A$3:$D$532,4,), "0")</f>
        <v>0</v>
      </c>
      <c r="I413" s="4" t="str">
        <f>IFERROR(VLOOKUP(G413,Capacity!$A$3:$F$532,6,), "0")</f>
        <v>0</v>
      </c>
      <c r="K413" t="str">
        <f>IFERROR(VLOOKUP(J413,Capacity!$A$3:$D$532,4,), "0")</f>
        <v>0</v>
      </c>
      <c r="L413" s="4" t="str">
        <f>IFERROR(VLOOKUP(J413,Capacity!$A$3:$F$532,6,), "0")</f>
        <v>0</v>
      </c>
      <c r="M413" s="5">
        <f t="shared" si="54"/>
        <v>0</v>
      </c>
      <c r="N413" s="5">
        <f t="shared" si="55"/>
        <v>0</v>
      </c>
      <c r="O413">
        <v>327</v>
      </c>
      <c r="P413">
        <f>IFERROR(VLOOKUP(O413,Capacity!$A$3:$D$532,4,), "0")</f>
        <v>37.699111200000011</v>
      </c>
      <c r="Q413" s="4">
        <f>IFERROR(VLOOKUP(O413,Capacity!$A$3:$F$532,6,), "0")</f>
        <v>0.4</v>
      </c>
      <c r="R413" s="5">
        <f t="shared" si="56"/>
        <v>37.699111200000011</v>
      </c>
      <c r="S413" s="5">
        <f t="shared" si="60"/>
        <v>0.4</v>
      </c>
      <c r="U413">
        <v>501</v>
      </c>
      <c r="V413">
        <v>0</v>
      </c>
      <c r="W413">
        <v>0</v>
      </c>
      <c r="X413">
        <v>1</v>
      </c>
      <c r="AB413">
        <f t="shared" si="57"/>
        <v>0</v>
      </c>
      <c r="AC413">
        <f t="shared" si="58"/>
        <v>0</v>
      </c>
      <c r="AD413">
        <f t="shared" si="59"/>
        <v>0</v>
      </c>
      <c r="AE413">
        <f t="shared" si="61"/>
        <v>0</v>
      </c>
      <c r="AG413">
        <f t="shared" si="62"/>
        <v>0</v>
      </c>
    </row>
    <row r="414" spans="1:33" x14ac:dyDescent="0.25">
      <c r="A414">
        <v>329</v>
      </c>
      <c r="B414">
        <f>IFERROR(VLOOKUP(A414,Capacity!$A$3:$D$532,4,), "0")</f>
        <v>37.699111200000011</v>
      </c>
      <c r="C414" s="4">
        <f>IFERROR(VLOOKUP(A414,Capacity!$A$3:$F$532,6,), "0")</f>
        <v>0.4</v>
      </c>
      <c r="D414">
        <v>509</v>
      </c>
      <c r="E414">
        <f>IFERROR(VLOOKUP(D414,Capacity!$A$3:$D$532,4,), "0")</f>
        <v>18.761198308124996</v>
      </c>
      <c r="F414" s="4">
        <f>IFERROR(VLOOKUP(D414,Capacity!$A$3:$F$532,6,), "0")</f>
        <v>0.17499999999999999</v>
      </c>
      <c r="G414">
        <v>500</v>
      </c>
      <c r="H414">
        <f>IFERROR(VLOOKUP(G414,Capacity!$A$3:$D$532,4,), "0")</f>
        <v>14.431691006249999</v>
      </c>
      <c r="I414" s="4">
        <f>IFERROR(VLOOKUP(G414,Capacity!$A$3:$F$532,6,), "0")</f>
        <v>0.17499999999999999</v>
      </c>
      <c r="J414">
        <v>299</v>
      </c>
      <c r="K414">
        <f>IFERROR(VLOOKUP(J414,Capacity!$A$3:$D$532,4,), "0")</f>
        <v>40.212385280000007</v>
      </c>
      <c r="L414" s="4">
        <f>IFERROR(VLOOKUP(J414,Capacity!$A$3:$F$532,6,), "0")</f>
        <v>0.4</v>
      </c>
      <c r="M414" s="5">
        <f t="shared" si="54"/>
        <v>73.405274594375001</v>
      </c>
      <c r="N414" s="5">
        <f t="shared" si="55"/>
        <v>0.75</v>
      </c>
      <c r="O414">
        <v>327</v>
      </c>
      <c r="P414">
        <f>IFERROR(VLOOKUP(O414,Capacity!$A$3:$D$532,4,), "0")</f>
        <v>37.699111200000011</v>
      </c>
      <c r="Q414" s="4">
        <f>IFERROR(VLOOKUP(O414,Capacity!$A$3:$F$532,6,), "0")</f>
        <v>0.4</v>
      </c>
      <c r="R414" s="5">
        <f t="shared" si="56"/>
        <v>37.699111200000011</v>
      </c>
      <c r="S414" s="5">
        <f t="shared" si="60"/>
        <v>0.4</v>
      </c>
      <c r="U414">
        <v>329</v>
      </c>
      <c r="V414">
        <v>3</v>
      </c>
      <c r="W414">
        <v>3</v>
      </c>
      <c r="X414">
        <v>1</v>
      </c>
      <c r="AB414">
        <f t="shared" si="57"/>
        <v>1.9471354166666661</v>
      </c>
      <c r="AC414">
        <f t="shared" si="58"/>
        <v>1.9471354166666661</v>
      </c>
      <c r="AD414">
        <f t="shared" si="59"/>
        <v>1.875</v>
      </c>
      <c r="AE414">
        <f t="shared" si="61"/>
        <v>1.875</v>
      </c>
      <c r="AG414">
        <f t="shared" si="62"/>
        <v>0.97356770833333306</v>
      </c>
    </row>
    <row r="415" spans="1:33" x14ac:dyDescent="0.25">
      <c r="A415">
        <v>309</v>
      </c>
      <c r="B415">
        <f>IFERROR(VLOOKUP(A415,Capacity!$A$3:$D$532,4,), "0")</f>
        <v>84.823000199999996</v>
      </c>
      <c r="C415" s="4">
        <f>IFERROR(VLOOKUP(A415,Capacity!$A$3:$F$532,6,), "0")</f>
        <v>0.6</v>
      </c>
      <c r="D415">
        <v>508</v>
      </c>
      <c r="E415">
        <f>IFERROR(VLOOKUP(D415,Capacity!$A$3:$D$532,4,), "0")</f>
        <v>14.431691006249999</v>
      </c>
      <c r="F415" s="4">
        <f>IFERROR(VLOOKUP(D415,Capacity!$A$3:$F$532,6,), "0")</f>
        <v>0.17499999999999999</v>
      </c>
      <c r="G415">
        <v>308</v>
      </c>
      <c r="H415">
        <f>IFERROR(VLOOKUP(G415,Capacity!$A$3:$D$532,4,), "0")</f>
        <v>84.823000199999996</v>
      </c>
      <c r="I415" s="4">
        <f>IFERROR(VLOOKUP(G415,Capacity!$A$3:$F$532,6,), "0")</f>
        <v>0.6</v>
      </c>
      <c r="J415">
        <v>263</v>
      </c>
      <c r="K415">
        <f>IFERROR(VLOOKUP(J415,Capacity!$A$3:$D$532,4,), "0")</f>
        <v>15.079644480000002</v>
      </c>
      <c r="L415" s="4">
        <f>IFERROR(VLOOKUP(J415,Capacity!$A$3:$F$532,6,), "0")</f>
        <v>0.2</v>
      </c>
      <c r="M415" s="5">
        <f t="shared" si="54"/>
        <v>114.33433568624999</v>
      </c>
      <c r="N415" s="5">
        <f t="shared" si="55"/>
        <v>0.97499999999999987</v>
      </c>
      <c r="O415">
        <v>310</v>
      </c>
      <c r="P415">
        <f>IFERROR(VLOOKUP(O415,Capacity!$A$3:$D$532,4,), "0")</f>
        <v>132.53593781250001</v>
      </c>
      <c r="Q415" s="4">
        <f>IFERROR(VLOOKUP(O415,Capacity!$A$3:$F$532,6,), "0")</f>
        <v>0.75</v>
      </c>
      <c r="R415" s="5">
        <f t="shared" si="56"/>
        <v>132.53593781250001</v>
      </c>
      <c r="S415" s="5">
        <f t="shared" si="60"/>
        <v>0.75</v>
      </c>
      <c r="U415">
        <v>309</v>
      </c>
      <c r="V415">
        <v>3</v>
      </c>
      <c r="W415">
        <v>3</v>
      </c>
      <c r="X415">
        <v>1</v>
      </c>
      <c r="AB415">
        <f t="shared" si="57"/>
        <v>0.86266666666666647</v>
      </c>
      <c r="AC415">
        <f t="shared" si="58"/>
        <v>1.3479166666666667</v>
      </c>
      <c r="AD415">
        <f t="shared" si="59"/>
        <v>1.2999999999999998</v>
      </c>
      <c r="AE415">
        <f t="shared" si="61"/>
        <v>1.6249999999999998</v>
      </c>
      <c r="AG415">
        <f t="shared" si="62"/>
        <v>0.5260162601626015</v>
      </c>
    </row>
    <row r="416" spans="1:33" x14ac:dyDescent="0.25">
      <c r="A416">
        <v>262</v>
      </c>
      <c r="B416">
        <f>IFERROR(VLOOKUP(A416,Capacity!$A$3:$D$532,4,), "0")</f>
        <v>11.545352804999998</v>
      </c>
      <c r="C416" s="4">
        <f>IFERROR(VLOOKUP(A416,Capacity!$A$3:$F$532,6,), "0")</f>
        <v>0.17499999999999999</v>
      </c>
      <c r="E416" t="str">
        <f>IFERROR(VLOOKUP(D416,Capacity!$A$3:$D$532,4,), "0")</f>
        <v>0</v>
      </c>
      <c r="F416" s="4" t="str">
        <f>IFERROR(VLOOKUP(D416,Capacity!$A$3:$F$532,6,), "0")</f>
        <v>0</v>
      </c>
      <c r="H416" t="str">
        <f>IFERROR(VLOOKUP(G416,Capacity!$A$3:$D$532,4,), "0")</f>
        <v>0</v>
      </c>
      <c r="I416" s="4" t="str">
        <f>IFERROR(VLOOKUP(G416,Capacity!$A$3:$F$532,6,), "0")</f>
        <v>0</v>
      </c>
      <c r="K416" t="str">
        <f>IFERROR(VLOOKUP(J416,Capacity!$A$3:$D$532,4,), "0")</f>
        <v>0</v>
      </c>
      <c r="L416" s="4" t="str">
        <f>IFERROR(VLOOKUP(J416,Capacity!$A$3:$F$532,6,), "0")</f>
        <v>0</v>
      </c>
      <c r="M416" s="5">
        <f t="shared" si="54"/>
        <v>0</v>
      </c>
      <c r="N416" s="5">
        <f t="shared" si="55"/>
        <v>0</v>
      </c>
      <c r="O416">
        <v>310</v>
      </c>
      <c r="P416">
        <f>IFERROR(VLOOKUP(O416,Capacity!$A$3:$D$532,4,), "0")</f>
        <v>132.53593781250001</v>
      </c>
      <c r="Q416" s="4">
        <f>IFERROR(VLOOKUP(O416,Capacity!$A$3:$F$532,6,), "0")</f>
        <v>0.75</v>
      </c>
      <c r="R416" s="5">
        <f t="shared" si="56"/>
        <v>132.53593781250001</v>
      </c>
      <c r="S416" s="5">
        <f t="shared" si="60"/>
        <v>0.75</v>
      </c>
      <c r="U416">
        <v>262</v>
      </c>
      <c r="V416">
        <v>0</v>
      </c>
      <c r="W416">
        <v>0</v>
      </c>
      <c r="X416">
        <v>1</v>
      </c>
      <c r="AB416">
        <f t="shared" si="57"/>
        <v>0</v>
      </c>
      <c r="AC416">
        <f t="shared" si="58"/>
        <v>0</v>
      </c>
      <c r="AD416">
        <f t="shared" si="59"/>
        <v>0</v>
      </c>
      <c r="AE416">
        <f t="shared" si="61"/>
        <v>0</v>
      </c>
      <c r="AG416">
        <f t="shared" si="62"/>
        <v>0</v>
      </c>
    </row>
    <row r="417" spans="1:33" x14ac:dyDescent="0.25">
      <c r="A417">
        <v>510</v>
      </c>
      <c r="B417">
        <f>IFERROR(VLOOKUP(A417,Capacity!$A$3:$D$532,4,), "0")</f>
        <v>21.166480142499999</v>
      </c>
      <c r="C417" s="4">
        <f>IFERROR(VLOOKUP(A417,Capacity!$A$3:$F$532,6,), "0")</f>
        <v>0.17499999999999999</v>
      </c>
      <c r="E417" t="str">
        <f>IFERROR(VLOOKUP(D417,Capacity!$A$3:$D$532,4,), "0")</f>
        <v>0</v>
      </c>
      <c r="F417" s="4" t="str">
        <f>IFERROR(VLOOKUP(D417,Capacity!$A$3:$F$532,6,), "0")</f>
        <v>0</v>
      </c>
      <c r="H417" t="str">
        <f>IFERROR(VLOOKUP(G417,Capacity!$A$3:$D$532,4,), "0")</f>
        <v>0</v>
      </c>
      <c r="I417" s="4" t="str">
        <f>IFERROR(VLOOKUP(G417,Capacity!$A$3:$F$532,6,), "0")</f>
        <v>0</v>
      </c>
      <c r="K417" t="str">
        <f>IFERROR(VLOOKUP(J417,Capacity!$A$3:$D$532,4,), "0")</f>
        <v>0</v>
      </c>
      <c r="L417" s="4" t="str">
        <f>IFERROR(VLOOKUP(J417,Capacity!$A$3:$F$532,6,), "0")</f>
        <v>0</v>
      </c>
      <c r="M417" s="5">
        <f t="shared" si="54"/>
        <v>0</v>
      </c>
      <c r="N417" s="5">
        <f t="shared" si="55"/>
        <v>0</v>
      </c>
      <c r="O417">
        <v>32</v>
      </c>
      <c r="P417">
        <f>IFERROR(VLOOKUP(O417,Capacity!$A$3:$D$532,4,), "0")</f>
        <v>26.474200840200002</v>
      </c>
      <c r="Q417" s="4">
        <f>IFERROR(VLOOKUP(O417,Capacity!$A$3:$F$532,6,), "0")</f>
        <v>0.26500000000000001</v>
      </c>
      <c r="R417" s="5">
        <f t="shared" si="56"/>
        <v>26.474200840200002</v>
      </c>
      <c r="S417" s="5">
        <f t="shared" si="60"/>
        <v>0.26500000000000001</v>
      </c>
      <c r="U417">
        <v>510</v>
      </c>
      <c r="V417">
        <v>0</v>
      </c>
      <c r="W417">
        <v>0</v>
      </c>
      <c r="X417">
        <v>1</v>
      </c>
      <c r="AB417">
        <f t="shared" si="57"/>
        <v>0</v>
      </c>
      <c r="AC417">
        <f t="shared" si="58"/>
        <v>0</v>
      </c>
      <c r="AD417">
        <f t="shared" si="59"/>
        <v>0</v>
      </c>
      <c r="AE417">
        <f t="shared" si="61"/>
        <v>0</v>
      </c>
      <c r="AG417">
        <f t="shared" si="62"/>
        <v>0</v>
      </c>
    </row>
    <row r="418" spans="1:33" x14ac:dyDescent="0.25">
      <c r="A418">
        <v>31</v>
      </c>
      <c r="B418">
        <f>IFERROR(VLOOKUP(A418,Capacity!$A$3:$D$532,4,), "0")</f>
        <v>8.8247336134000012</v>
      </c>
      <c r="C418" s="4">
        <f>IFERROR(VLOOKUP(A418,Capacity!$A$3:$F$532,6,), "0")</f>
        <v>0.26500000000000001</v>
      </c>
      <c r="D418">
        <v>391</v>
      </c>
      <c r="E418">
        <f>IFERROR(VLOOKUP(D418,Capacity!$A$3:$D$532,4,), "0")</f>
        <v>21.647536509374998</v>
      </c>
      <c r="F418" s="4">
        <f>IFERROR(VLOOKUP(D418,Capacity!$A$3:$F$532,6,), "0")</f>
        <v>0.17499999999999999</v>
      </c>
      <c r="G418">
        <v>30</v>
      </c>
      <c r="H418">
        <f>IFERROR(VLOOKUP(G418,Capacity!$A$3:$D$532,4,), "0")</f>
        <v>17.649467226800002</v>
      </c>
      <c r="I418" s="4">
        <f>IFERROR(VLOOKUP(G418,Capacity!$A$3:$F$532,6,), "0")</f>
        <v>0.26500000000000001</v>
      </c>
      <c r="K418" t="str">
        <f>IFERROR(VLOOKUP(J418,Capacity!$A$3:$D$532,4,), "0")</f>
        <v>0</v>
      </c>
      <c r="L418" s="4" t="str">
        <f>IFERROR(VLOOKUP(J418,Capacity!$A$3:$F$532,6,), "0")</f>
        <v>0</v>
      </c>
      <c r="M418" s="5">
        <f t="shared" si="54"/>
        <v>39.297003736175</v>
      </c>
      <c r="N418" s="5">
        <f t="shared" si="55"/>
        <v>0.44</v>
      </c>
      <c r="O418">
        <v>32</v>
      </c>
      <c r="P418">
        <f>IFERROR(VLOOKUP(O418,Capacity!$A$3:$D$532,4,), "0")</f>
        <v>26.474200840200002</v>
      </c>
      <c r="Q418" s="4">
        <f>IFERROR(VLOOKUP(O418,Capacity!$A$3:$F$532,6,), "0")</f>
        <v>0.26500000000000001</v>
      </c>
      <c r="R418" s="5">
        <f t="shared" si="56"/>
        <v>26.474200840200002</v>
      </c>
      <c r="S418" s="5">
        <f t="shared" si="60"/>
        <v>0.26500000000000001</v>
      </c>
      <c r="U418">
        <v>31</v>
      </c>
      <c r="V418">
        <v>3</v>
      </c>
      <c r="W418">
        <v>3</v>
      </c>
      <c r="X418">
        <v>1</v>
      </c>
      <c r="AB418">
        <f t="shared" si="57"/>
        <v>1.4843508959297496</v>
      </c>
      <c r="AC418">
        <f t="shared" si="58"/>
        <v>4.4530526877892482</v>
      </c>
      <c r="AD418">
        <f t="shared" si="59"/>
        <v>1.6603773584905659</v>
      </c>
      <c r="AE418">
        <f t="shared" si="61"/>
        <v>1.6603773584905659</v>
      </c>
      <c r="AG418">
        <f t="shared" si="62"/>
        <v>1.1132631719473121</v>
      </c>
    </row>
    <row r="419" spans="1:33" x14ac:dyDescent="0.25">
      <c r="A419">
        <v>331</v>
      </c>
      <c r="B419">
        <f>IFERROR(VLOOKUP(A419,Capacity!$A$3:$D$532,4,), "0")</f>
        <v>7.6969018699999987</v>
      </c>
      <c r="C419" s="4">
        <f>IFERROR(VLOOKUP(A419,Capacity!$A$3:$F$532,6,), "0")</f>
        <v>0.17499999999999999</v>
      </c>
      <c r="D419">
        <v>330</v>
      </c>
      <c r="E419">
        <f>IFERROR(VLOOKUP(D419,Capacity!$A$3:$D$532,4,), "0")</f>
        <v>7.6969018699999987</v>
      </c>
      <c r="F419" s="4">
        <f>IFERROR(VLOOKUP(D419,Capacity!$A$3:$F$532,6,), "0")</f>
        <v>0.17499999999999999</v>
      </c>
      <c r="H419" t="str">
        <f>IFERROR(VLOOKUP(G419,Capacity!$A$3:$D$532,4,), "0")</f>
        <v>0</v>
      </c>
      <c r="I419" s="4" t="str">
        <f>IFERROR(VLOOKUP(G419,Capacity!$A$3:$F$532,6,), "0")</f>
        <v>0</v>
      </c>
      <c r="K419" t="str">
        <f>IFERROR(VLOOKUP(J419,Capacity!$A$3:$D$532,4,), "0")</f>
        <v>0</v>
      </c>
      <c r="L419" s="4" t="str">
        <f>IFERROR(VLOOKUP(J419,Capacity!$A$3:$F$532,6,), "0")</f>
        <v>0</v>
      </c>
      <c r="M419" s="5">
        <f t="shared" si="54"/>
        <v>7.6969018699999987</v>
      </c>
      <c r="N419" s="5">
        <f t="shared" si="55"/>
        <v>0.17499999999999999</v>
      </c>
      <c r="O419">
        <v>332</v>
      </c>
      <c r="P419">
        <f>IFERROR(VLOOKUP(O419,Capacity!$A$3:$D$532,4,), "0")</f>
        <v>7.6969018699999987</v>
      </c>
      <c r="Q419" s="4">
        <f>IFERROR(VLOOKUP(O419,Capacity!$A$3:$F$532,6,), "0")</f>
        <v>0.17499999999999999</v>
      </c>
      <c r="R419" s="5">
        <f t="shared" si="56"/>
        <v>7.6969018699999987</v>
      </c>
      <c r="S419" s="5">
        <f t="shared" si="60"/>
        <v>0.17499999999999999</v>
      </c>
      <c r="U419">
        <v>331</v>
      </c>
      <c r="V419">
        <v>1</v>
      </c>
      <c r="W419">
        <v>1</v>
      </c>
      <c r="X419">
        <v>1</v>
      </c>
      <c r="AB419">
        <f t="shared" si="57"/>
        <v>1</v>
      </c>
      <c r="AC419">
        <f t="shared" si="58"/>
        <v>1</v>
      </c>
      <c r="AD419">
        <f t="shared" si="59"/>
        <v>1</v>
      </c>
      <c r="AE419">
        <f t="shared" si="61"/>
        <v>1</v>
      </c>
      <c r="AG419">
        <f t="shared" si="62"/>
        <v>0.5</v>
      </c>
    </row>
    <row r="420" spans="1:33" x14ac:dyDescent="0.25">
      <c r="A420">
        <v>479</v>
      </c>
      <c r="B420">
        <f>IFERROR(VLOOKUP(A420,Capacity!$A$3:$D$532,4,), "0")</f>
        <v>21.647536509374998</v>
      </c>
      <c r="C420" s="4">
        <f>IFERROR(VLOOKUP(A420,Capacity!$A$3:$F$532,6,), "0")</f>
        <v>0.17499999999999999</v>
      </c>
      <c r="E420" t="str">
        <f>IFERROR(VLOOKUP(D420,Capacity!$A$3:$D$532,4,), "0")</f>
        <v>0</v>
      </c>
      <c r="F420" s="4" t="str">
        <f>IFERROR(VLOOKUP(D420,Capacity!$A$3:$F$532,6,), "0")</f>
        <v>0</v>
      </c>
      <c r="H420" t="str">
        <f>IFERROR(VLOOKUP(G420,Capacity!$A$3:$D$532,4,), "0")</f>
        <v>0</v>
      </c>
      <c r="I420" s="4" t="str">
        <f>IFERROR(VLOOKUP(G420,Capacity!$A$3:$F$532,6,), "0")</f>
        <v>0</v>
      </c>
      <c r="K420" t="str">
        <f>IFERROR(VLOOKUP(J420,Capacity!$A$3:$D$532,4,), "0")</f>
        <v>0</v>
      </c>
      <c r="L420" s="4" t="str">
        <f>IFERROR(VLOOKUP(J420,Capacity!$A$3:$F$532,6,), "0")</f>
        <v>0</v>
      </c>
      <c r="M420" s="5">
        <f t="shared" si="54"/>
        <v>0</v>
      </c>
      <c r="N420" s="5">
        <f t="shared" si="55"/>
        <v>0</v>
      </c>
      <c r="O420">
        <v>71</v>
      </c>
      <c r="P420">
        <f>IFERROR(VLOOKUP(O420,Capacity!$A$3:$D$532,4,), "0")</f>
        <v>90.477866879999993</v>
      </c>
      <c r="Q420" s="4">
        <f>IFERROR(VLOOKUP(O420,Capacity!$A$3:$F$532,6,), "0")</f>
        <v>0.6</v>
      </c>
      <c r="R420" s="5">
        <f t="shared" si="56"/>
        <v>90.477866879999993</v>
      </c>
      <c r="S420" s="5">
        <f t="shared" si="60"/>
        <v>0.6</v>
      </c>
      <c r="U420">
        <v>479</v>
      </c>
      <c r="V420">
        <v>0</v>
      </c>
      <c r="W420">
        <v>0</v>
      </c>
      <c r="X420">
        <v>1</v>
      </c>
      <c r="AB420">
        <f t="shared" si="57"/>
        <v>0</v>
      </c>
      <c r="AC420">
        <f t="shared" si="58"/>
        <v>0</v>
      </c>
      <c r="AD420">
        <f t="shared" si="59"/>
        <v>0</v>
      </c>
      <c r="AE420">
        <f t="shared" si="61"/>
        <v>0</v>
      </c>
      <c r="AG420">
        <f t="shared" si="62"/>
        <v>0</v>
      </c>
    </row>
    <row r="421" spans="1:33" x14ac:dyDescent="0.25">
      <c r="A421">
        <v>70</v>
      </c>
      <c r="B421">
        <f>IFERROR(VLOOKUP(A421,Capacity!$A$3:$D$532,4,), "0")</f>
        <v>124.40706696000001</v>
      </c>
      <c r="C421" s="4">
        <f>IFERROR(VLOOKUP(A421,Capacity!$A$3:$F$532,6,), "0")</f>
        <v>0.6</v>
      </c>
      <c r="D421">
        <v>29</v>
      </c>
      <c r="E421">
        <f>IFERROR(VLOOKUP(D421,Capacity!$A$3:$D$532,4,), "0")</f>
        <v>260.12386727999996</v>
      </c>
      <c r="F421" s="4">
        <f>IFERROR(VLOOKUP(D421,Capacity!$A$3:$F$532,6,), "0")</f>
        <v>0.6</v>
      </c>
      <c r="H421" t="str">
        <f>IFERROR(VLOOKUP(G421,Capacity!$A$3:$D$532,4,), "0")</f>
        <v>0</v>
      </c>
      <c r="I421" s="4" t="str">
        <f>IFERROR(VLOOKUP(G421,Capacity!$A$3:$F$532,6,), "0")</f>
        <v>0</v>
      </c>
      <c r="K421" t="str">
        <f>IFERROR(VLOOKUP(J421,Capacity!$A$3:$D$532,4,), "0")</f>
        <v>0</v>
      </c>
      <c r="L421" s="4" t="str">
        <f>IFERROR(VLOOKUP(J421,Capacity!$A$3:$F$532,6,), "0")</f>
        <v>0</v>
      </c>
      <c r="M421" s="5">
        <f t="shared" si="54"/>
        <v>260.12386727999996</v>
      </c>
      <c r="N421" s="5">
        <f t="shared" si="55"/>
        <v>0.6</v>
      </c>
      <c r="O421">
        <v>71</v>
      </c>
      <c r="P421">
        <f>IFERROR(VLOOKUP(O421,Capacity!$A$3:$D$532,4,), "0")</f>
        <v>90.477866879999993</v>
      </c>
      <c r="Q421" s="4">
        <f>IFERROR(VLOOKUP(O421,Capacity!$A$3:$F$532,6,), "0")</f>
        <v>0.6</v>
      </c>
      <c r="R421" s="5">
        <f t="shared" si="56"/>
        <v>90.477866879999993</v>
      </c>
      <c r="S421" s="5">
        <f t="shared" si="60"/>
        <v>0.6</v>
      </c>
      <c r="U421">
        <v>70</v>
      </c>
      <c r="V421">
        <v>1</v>
      </c>
      <c r="W421">
        <v>1</v>
      </c>
      <c r="X421">
        <v>1</v>
      </c>
      <c r="AB421">
        <f t="shared" si="57"/>
        <v>2.8749999999999996</v>
      </c>
      <c r="AC421">
        <f t="shared" si="58"/>
        <v>2.0909090909090904</v>
      </c>
      <c r="AD421">
        <f t="shared" si="59"/>
        <v>1</v>
      </c>
      <c r="AE421">
        <f t="shared" si="61"/>
        <v>1</v>
      </c>
      <c r="AG421">
        <f t="shared" si="62"/>
        <v>1.2105263157894735</v>
      </c>
    </row>
    <row r="422" spans="1:33" x14ac:dyDescent="0.25">
      <c r="A422">
        <v>390</v>
      </c>
      <c r="B422">
        <f>IFERROR(VLOOKUP(A422,Capacity!$A$3:$D$532,4,), "0")</f>
        <v>26.939156544999996</v>
      </c>
      <c r="C422" s="4">
        <f>IFERROR(VLOOKUP(A422,Capacity!$A$3:$F$532,6,), "0")</f>
        <v>0.17499999999999999</v>
      </c>
      <c r="E422" t="str">
        <f>IFERROR(VLOOKUP(D422,Capacity!$A$3:$D$532,4,), "0")</f>
        <v>0</v>
      </c>
      <c r="F422" s="4" t="str">
        <f>IFERROR(VLOOKUP(D422,Capacity!$A$3:$F$532,6,), "0")</f>
        <v>0</v>
      </c>
      <c r="H422" t="str">
        <f>IFERROR(VLOOKUP(G422,Capacity!$A$3:$D$532,4,), "0")</f>
        <v>0</v>
      </c>
      <c r="I422" s="4" t="str">
        <f>IFERROR(VLOOKUP(G422,Capacity!$A$3:$F$532,6,), "0")</f>
        <v>0</v>
      </c>
      <c r="K422" t="str">
        <f>IFERROR(VLOOKUP(J422,Capacity!$A$3:$D$532,4,), "0")</f>
        <v>0</v>
      </c>
      <c r="L422" s="4" t="str">
        <f>IFERROR(VLOOKUP(J422,Capacity!$A$3:$F$532,6,), "0")</f>
        <v>0</v>
      </c>
      <c r="M422" s="5">
        <f t="shared" si="54"/>
        <v>0</v>
      </c>
      <c r="N422" s="5">
        <f t="shared" si="55"/>
        <v>0</v>
      </c>
      <c r="O422">
        <v>227</v>
      </c>
      <c r="P422">
        <f>IFERROR(VLOOKUP(O422,Capacity!$A$3:$D$532,4,), "0")</f>
        <v>33.092751050250008</v>
      </c>
      <c r="Q422" s="4">
        <f>IFERROR(VLOOKUP(O422,Capacity!$A$3:$F$532,6,), "0")</f>
        <v>0.26500000000000001</v>
      </c>
      <c r="R422" s="5">
        <f t="shared" si="56"/>
        <v>33.092751050250008</v>
      </c>
      <c r="S422" s="5">
        <f t="shared" si="60"/>
        <v>0.26500000000000001</v>
      </c>
      <c r="U422">
        <v>390</v>
      </c>
      <c r="V422">
        <v>0</v>
      </c>
      <c r="W422">
        <v>0</v>
      </c>
      <c r="X422">
        <v>1</v>
      </c>
      <c r="AB422">
        <f t="shared" si="57"/>
        <v>0</v>
      </c>
      <c r="AC422">
        <f t="shared" si="58"/>
        <v>0</v>
      </c>
      <c r="AD422">
        <f t="shared" si="59"/>
        <v>0</v>
      </c>
      <c r="AE422">
        <f t="shared" si="61"/>
        <v>0</v>
      </c>
      <c r="AG422">
        <f t="shared" si="62"/>
        <v>0</v>
      </c>
    </row>
    <row r="423" spans="1:33" x14ac:dyDescent="0.25">
      <c r="A423">
        <v>273</v>
      </c>
      <c r="B423">
        <f>IFERROR(VLOOKUP(A423,Capacity!$A$3:$D$532,4,), "0")</f>
        <v>76.969018699999992</v>
      </c>
      <c r="C423" s="4">
        <f>IFERROR(VLOOKUP(A423,Capacity!$A$3:$F$532,6,), "0")</f>
        <v>0.17499999999999999</v>
      </c>
      <c r="E423" t="str">
        <f>IFERROR(VLOOKUP(D423,Capacity!$A$3:$D$532,4,), "0")</f>
        <v>0</v>
      </c>
      <c r="F423" s="4" t="str">
        <f>IFERROR(VLOOKUP(D423,Capacity!$A$3:$F$532,6,), "0")</f>
        <v>0</v>
      </c>
      <c r="H423" t="str">
        <f>IFERROR(VLOOKUP(G423,Capacity!$A$3:$D$532,4,), "0")</f>
        <v>0</v>
      </c>
      <c r="I423" s="4" t="str">
        <f>IFERROR(VLOOKUP(G423,Capacity!$A$3:$F$532,6,), "0")</f>
        <v>0</v>
      </c>
      <c r="K423" t="str">
        <f>IFERROR(VLOOKUP(J423,Capacity!$A$3:$D$532,4,), "0")</f>
        <v>0</v>
      </c>
      <c r="L423" s="4" t="str">
        <f>IFERROR(VLOOKUP(J423,Capacity!$A$3:$F$532,6,), "0")</f>
        <v>0</v>
      </c>
      <c r="M423" s="5">
        <f t="shared" si="54"/>
        <v>0</v>
      </c>
      <c r="N423" s="5">
        <f t="shared" si="55"/>
        <v>0</v>
      </c>
      <c r="O423">
        <v>227</v>
      </c>
      <c r="P423">
        <f>IFERROR(VLOOKUP(O423,Capacity!$A$3:$D$532,4,), "0")</f>
        <v>33.092751050250008</v>
      </c>
      <c r="Q423" s="4">
        <f>IFERROR(VLOOKUP(O423,Capacity!$A$3:$F$532,6,), "0")</f>
        <v>0.26500000000000001</v>
      </c>
      <c r="R423" s="5">
        <f t="shared" si="56"/>
        <v>33.092751050250008</v>
      </c>
      <c r="S423" s="5">
        <f t="shared" si="60"/>
        <v>0.26500000000000001</v>
      </c>
      <c r="U423">
        <v>273</v>
      </c>
      <c r="V423">
        <v>1</v>
      </c>
      <c r="W423">
        <v>1</v>
      </c>
      <c r="X423">
        <v>1</v>
      </c>
      <c r="AB423">
        <f t="shared" si="57"/>
        <v>0</v>
      </c>
      <c r="AC423">
        <f t="shared" si="58"/>
        <v>0</v>
      </c>
      <c r="AD423">
        <f t="shared" si="59"/>
        <v>0</v>
      </c>
      <c r="AE423">
        <f t="shared" si="61"/>
        <v>0</v>
      </c>
      <c r="AG423">
        <f t="shared" si="62"/>
        <v>0</v>
      </c>
    </row>
    <row r="424" spans="1:33" x14ac:dyDescent="0.25">
      <c r="A424">
        <v>509</v>
      </c>
      <c r="B424">
        <f>IFERROR(VLOOKUP(A424,Capacity!$A$3:$D$532,4,), "0")</f>
        <v>18.761198308124996</v>
      </c>
      <c r="C424" s="4">
        <f>IFERROR(VLOOKUP(A424,Capacity!$A$3:$F$532,6,), "0")</f>
        <v>0.17499999999999999</v>
      </c>
      <c r="E424" t="str">
        <f>IFERROR(VLOOKUP(D424,Capacity!$A$3:$D$532,4,), "0")</f>
        <v>0</v>
      </c>
      <c r="F424" s="4" t="str">
        <f>IFERROR(VLOOKUP(D424,Capacity!$A$3:$F$532,6,), "0")</f>
        <v>0</v>
      </c>
      <c r="H424" t="str">
        <f>IFERROR(VLOOKUP(G424,Capacity!$A$3:$D$532,4,), "0")</f>
        <v>0</v>
      </c>
      <c r="I424" s="4" t="str">
        <f>IFERROR(VLOOKUP(G424,Capacity!$A$3:$F$532,6,), "0")</f>
        <v>0</v>
      </c>
      <c r="K424" t="str">
        <f>IFERROR(VLOOKUP(J424,Capacity!$A$3:$D$532,4,), "0")</f>
        <v>0</v>
      </c>
      <c r="L424" s="4" t="str">
        <f>IFERROR(VLOOKUP(J424,Capacity!$A$3:$F$532,6,), "0")</f>
        <v>0</v>
      </c>
      <c r="M424" s="5">
        <f t="shared" si="54"/>
        <v>0</v>
      </c>
      <c r="N424" s="5">
        <f t="shared" si="55"/>
        <v>0</v>
      </c>
      <c r="O424">
        <v>329</v>
      </c>
      <c r="P424">
        <f>IFERROR(VLOOKUP(O424,Capacity!$A$3:$D$532,4,), "0")</f>
        <v>37.699111200000011</v>
      </c>
      <c r="Q424" s="4">
        <f>IFERROR(VLOOKUP(O424,Capacity!$A$3:$F$532,6,), "0")</f>
        <v>0.4</v>
      </c>
      <c r="R424" s="5">
        <f t="shared" si="56"/>
        <v>37.699111200000011</v>
      </c>
      <c r="S424" s="5">
        <f t="shared" si="60"/>
        <v>0.4</v>
      </c>
      <c r="U424">
        <v>509</v>
      </c>
      <c r="V424">
        <v>0</v>
      </c>
      <c r="W424">
        <v>0</v>
      </c>
      <c r="X424">
        <v>1</v>
      </c>
      <c r="AB424">
        <f t="shared" si="57"/>
        <v>0</v>
      </c>
      <c r="AC424">
        <f t="shared" si="58"/>
        <v>0</v>
      </c>
      <c r="AD424">
        <f t="shared" si="59"/>
        <v>0</v>
      </c>
      <c r="AE424">
        <f t="shared" si="61"/>
        <v>0</v>
      </c>
      <c r="AG424">
        <f t="shared" si="62"/>
        <v>0</v>
      </c>
    </row>
    <row r="425" spans="1:33" x14ac:dyDescent="0.25">
      <c r="A425">
        <v>500</v>
      </c>
      <c r="B425">
        <f>IFERROR(VLOOKUP(A425,Capacity!$A$3:$D$532,4,), "0")</f>
        <v>14.431691006249999</v>
      </c>
      <c r="C425" s="4">
        <f>IFERROR(VLOOKUP(A425,Capacity!$A$3:$F$532,6,), "0")</f>
        <v>0.17499999999999999</v>
      </c>
      <c r="E425" t="str">
        <f>IFERROR(VLOOKUP(D425,Capacity!$A$3:$D$532,4,), "0")</f>
        <v>0</v>
      </c>
      <c r="F425" s="4" t="str">
        <f>IFERROR(VLOOKUP(D425,Capacity!$A$3:$F$532,6,), "0")</f>
        <v>0</v>
      </c>
      <c r="H425" t="str">
        <f>IFERROR(VLOOKUP(G425,Capacity!$A$3:$D$532,4,), "0")</f>
        <v>0</v>
      </c>
      <c r="I425" s="4" t="str">
        <f>IFERROR(VLOOKUP(G425,Capacity!$A$3:$F$532,6,), "0")</f>
        <v>0</v>
      </c>
      <c r="K425" t="str">
        <f>IFERROR(VLOOKUP(J425,Capacity!$A$3:$D$532,4,), "0")</f>
        <v>0</v>
      </c>
      <c r="L425" s="4" t="str">
        <f>IFERROR(VLOOKUP(J425,Capacity!$A$3:$F$532,6,), "0")</f>
        <v>0</v>
      </c>
      <c r="M425" s="5">
        <f t="shared" si="54"/>
        <v>0</v>
      </c>
      <c r="N425" s="5">
        <f t="shared" si="55"/>
        <v>0</v>
      </c>
      <c r="O425">
        <v>329</v>
      </c>
      <c r="P425">
        <f>IFERROR(VLOOKUP(O425,Capacity!$A$3:$D$532,4,), "0")</f>
        <v>37.699111200000011</v>
      </c>
      <c r="Q425" s="4">
        <f>IFERROR(VLOOKUP(O425,Capacity!$A$3:$F$532,6,), "0")</f>
        <v>0.4</v>
      </c>
      <c r="R425" s="5">
        <f t="shared" si="56"/>
        <v>37.699111200000011</v>
      </c>
      <c r="S425" s="5">
        <f t="shared" si="60"/>
        <v>0.4</v>
      </c>
      <c r="U425">
        <v>500</v>
      </c>
      <c r="V425">
        <v>0</v>
      </c>
      <c r="W425">
        <v>0</v>
      </c>
      <c r="X425">
        <v>1</v>
      </c>
      <c r="AB425">
        <f t="shared" si="57"/>
        <v>0</v>
      </c>
      <c r="AC425">
        <f t="shared" si="58"/>
        <v>0</v>
      </c>
      <c r="AD425">
        <f t="shared" si="59"/>
        <v>0</v>
      </c>
      <c r="AE425">
        <f t="shared" si="61"/>
        <v>0</v>
      </c>
      <c r="AG425">
        <f t="shared" si="62"/>
        <v>0</v>
      </c>
    </row>
    <row r="426" spans="1:33" x14ac:dyDescent="0.25">
      <c r="A426">
        <v>299</v>
      </c>
      <c r="B426">
        <f>IFERROR(VLOOKUP(A426,Capacity!$A$3:$D$532,4,), "0")</f>
        <v>40.212385280000007</v>
      </c>
      <c r="C426" s="4">
        <f>IFERROR(VLOOKUP(A426,Capacity!$A$3:$F$532,6,), "0")</f>
        <v>0.4</v>
      </c>
      <c r="D426">
        <v>495</v>
      </c>
      <c r="E426">
        <f>IFERROR(VLOOKUP(D426,Capacity!$A$3:$D$532,4,), "0")</f>
        <v>19.242254674999998</v>
      </c>
      <c r="F426" s="4">
        <f>IFERROR(VLOOKUP(D426,Capacity!$A$3:$F$532,6,), "0")</f>
        <v>0.17499999999999999</v>
      </c>
      <c r="G426">
        <v>486</v>
      </c>
      <c r="H426">
        <f>IFERROR(VLOOKUP(G426,Capacity!$A$3:$D$532,4,), "0")</f>
        <v>14.431691006249999</v>
      </c>
      <c r="I426" s="4">
        <f>IFERROR(VLOOKUP(G426,Capacity!$A$3:$F$532,6,), "0")</f>
        <v>0.17499999999999999</v>
      </c>
      <c r="J426">
        <v>298</v>
      </c>
      <c r="K426">
        <f>IFERROR(VLOOKUP(J426,Capacity!$A$3:$D$532,4,), "0")</f>
        <v>15.707962999999999</v>
      </c>
      <c r="L426" s="4">
        <f>IFERROR(VLOOKUP(J426,Capacity!$A$3:$F$532,6,), "0")</f>
        <v>0.25</v>
      </c>
      <c r="M426" s="5">
        <f t="shared" si="54"/>
        <v>49.381908681249996</v>
      </c>
      <c r="N426" s="5">
        <f t="shared" si="55"/>
        <v>0.6</v>
      </c>
      <c r="O426">
        <v>329</v>
      </c>
      <c r="P426">
        <f>IFERROR(VLOOKUP(O426,Capacity!$A$3:$D$532,4,), "0")</f>
        <v>37.699111200000011</v>
      </c>
      <c r="Q426" s="4">
        <f>IFERROR(VLOOKUP(O426,Capacity!$A$3:$F$532,6,), "0")</f>
        <v>0.4</v>
      </c>
      <c r="R426" s="5">
        <f t="shared" si="56"/>
        <v>37.699111200000011</v>
      </c>
      <c r="S426" s="5">
        <f t="shared" si="60"/>
        <v>0.4</v>
      </c>
      <c r="U426">
        <v>299</v>
      </c>
      <c r="V426">
        <v>3</v>
      </c>
      <c r="W426">
        <v>3</v>
      </c>
      <c r="X426">
        <v>1</v>
      </c>
      <c r="AB426">
        <f t="shared" si="57"/>
        <v>1.3098958333333328</v>
      </c>
      <c r="AC426">
        <f t="shared" si="58"/>
        <v>1.2280273437499998</v>
      </c>
      <c r="AD426">
        <f t="shared" si="59"/>
        <v>1.4999999999999998</v>
      </c>
      <c r="AE426">
        <f t="shared" si="61"/>
        <v>1.4999999999999998</v>
      </c>
      <c r="AG426">
        <f t="shared" si="62"/>
        <v>0.63382056451612889</v>
      </c>
    </row>
    <row r="427" spans="1:33" x14ac:dyDescent="0.25">
      <c r="A427">
        <v>508</v>
      </c>
      <c r="B427">
        <f>IFERROR(VLOOKUP(A427,Capacity!$A$3:$D$532,4,), "0")</f>
        <v>14.431691006249999</v>
      </c>
      <c r="C427" s="4">
        <f>IFERROR(VLOOKUP(A427,Capacity!$A$3:$F$532,6,), "0")</f>
        <v>0.17499999999999999</v>
      </c>
      <c r="E427" t="str">
        <f>IFERROR(VLOOKUP(D427,Capacity!$A$3:$D$532,4,), "0")</f>
        <v>0</v>
      </c>
      <c r="F427" s="4" t="str">
        <f>IFERROR(VLOOKUP(D427,Capacity!$A$3:$F$532,6,), "0")</f>
        <v>0</v>
      </c>
      <c r="H427" t="str">
        <f>IFERROR(VLOOKUP(G427,Capacity!$A$3:$D$532,4,), "0")</f>
        <v>0</v>
      </c>
      <c r="I427" s="4" t="str">
        <f>IFERROR(VLOOKUP(G427,Capacity!$A$3:$F$532,6,), "0")</f>
        <v>0</v>
      </c>
      <c r="K427" t="str">
        <f>IFERROR(VLOOKUP(J427,Capacity!$A$3:$D$532,4,), "0")</f>
        <v>0</v>
      </c>
      <c r="L427" s="4" t="str">
        <f>IFERROR(VLOOKUP(J427,Capacity!$A$3:$F$532,6,), "0")</f>
        <v>0</v>
      </c>
      <c r="M427" s="5">
        <f t="shared" si="54"/>
        <v>0</v>
      </c>
      <c r="N427" s="5">
        <f t="shared" si="55"/>
        <v>0</v>
      </c>
      <c r="O427">
        <v>309</v>
      </c>
      <c r="P427">
        <f>IFERROR(VLOOKUP(O427,Capacity!$A$3:$D$532,4,), "0")</f>
        <v>84.823000199999996</v>
      </c>
      <c r="Q427" s="4">
        <f>IFERROR(VLOOKUP(O427,Capacity!$A$3:$F$532,6,), "0")</f>
        <v>0.6</v>
      </c>
      <c r="R427" s="5">
        <f t="shared" si="56"/>
        <v>84.823000199999996</v>
      </c>
      <c r="S427" s="5">
        <f t="shared" si="60"/>
        <v>0.6</v>
      </c>
      <c r="U427">
        <v>508</v>
      </c>
      <c r="V427">
        <v>0</v>
      </c>
      <c r="W427">
        <v>0</v>
      </c>
      <c r="X427">
        <v>1</v>
      </c>
      <c r="AB427">
        <f t="shared" si="57"/>
        <v>0</v>
      </c>
      <c r="AC427">
        <f t="shared" si="58"/>
        <v>0</v>
      </c>
      <c r="AD427">
        <f t="shared" si="59"/>
        <v>0</v>
      </c>
      <c r="AE427">
        <f t="shared" si="61"/>
        <v>0</v>
      </c>
      <c r="AG427">
        <f t="shared" si="62"/>
        <v>0</v>
      </c>
    </row>
    <row r="428" spans="1:33" x14ac:dyDescent="0.25">
      <c r="A428">
        <v>308</v>
      </c>
      <c r="B428">
        <f>IFERROR(VLOOKUP(A428,Capacity!$A$3:$D$532,4,), "0")</f>
        <v>84.823000199999996</v>
      </c>
      <c r="C428" s="4">
        <f>IFERROR(VLOOKUP(A428,Capacity!$A$3:$F$532,6,), "0")</f>
        <v>0.6</v>
      </c>
      <c r="D428">
        <v>307</v>
      </c>
      <c r="E428">
        <f>IFERROR(VLOOKUP(D428,Capacity!$A$3:$D$532,4,), "0")</f>
        <v>84.823000199999996</v>
      </c>
      <c r="F428" s="4">
        <f>IFERROR(VLOOKUP(D428,Capacity!$A$3:$F$532,6,), "0")</f>
        <v>0.6</v>
      </c>
      <c r="G428">
        <v>264</v>
      </c>
      <c r="H428">
        <f>IFERROR(VLOOKUP(G428,Capacity!$A$3:$D$532,4,), "0")</f>
        <v>11.545352804999998</v>
      </c>
      <c r="I428" s="4">
        <f>IFERROR(VLOOKUP(G428,Capacity!$A$3:$F$532,6,), "0")</f>
        <v>0.17499999999999999</v>
      </c>
      <c r="K428" t="str">
        <f>IFERROR(VLOOKUP(J428,Capacity!$A$3:$D$532,4,), "0")</f>
        <v>0</v>
      </c>
      <c r="L428" s="4" t="str">
        <f>IFERROR(VLOOKUP(J428,Capacity!$A$3:$F$532,6,), "0")</f>
        <v>0</v>
      </c>
      <c r="M428" s="5">
        <f t="shared" si="54"/>
        <v>96.368353004999989</v>
      </c>
      <c r="N428" s="5">
        <f t="shared" si="55"/>
        <v>0.77499999999999991</v>
      </c>
      <c r="O428">
        <v>309</v>
      </c>
      <c r="P428">
        <f>IFERROR(VLOOKUP(O428,Capacity!$A$3:$D$532,4,), "0")</f>
        <v>84.823000199999996</v>
      </c>
      <c r="Q428" s="4">
        <f>IFERROR(VLOOKUP(O428,Capacity!$A$3:$F$532,6,), "0")</f>
        <v>0.6</v>
      </c>
      <c r="R428" s="5">
        <f t="shared" si="56"/>
        <v>84.823000199999996</v>
      </c>
      <c r="S428" s="5">
        <f t="shared" si="60"/>
        <v>0.6</v>
      </c>
      <c r="U428">
        <v>308</v>
      </c>
      <c r="V428">
        <v>3</v>
      </c>
      <c r="W428">
        <v>3</v>
      </c>
      <c r="X428">
        <v>1</v>
      </c>
      <c r="AB428">
        <f t="shared" si="57"/>
        <v>1.1361111111111111</v>
      </c>
      <c r="AC428">
        <f t="shared" si="58"/>
        <v>1.1361111111111111</v>
      </c>
      <c r="AD428">
        <f t="shared" si="59"/>
        <v>1.2916666666666665</v>
      </c>
      <c r="AE428">
        <f t="shared" si="61"/>
        <v>1.2916666666666665</v>
      </c>
      <c r="AG428">
        <f t="shared" si="62"/>
        <v>0.56805555555555554</v>
      </c>
    </row>
    <row r="429" spans="1:33" x14ac:dyDescent="0.25">
      <c r="A429">
        <v>263</v>
      </c>
      <c r="B429">
        <f>IFERROR(VLOOKUP(A429,Capacity!$A$3:$D$532,4,), "0")</f>
        <v>15.079644480000002</v>
      </c>
      <c r="C429" s="4">
        <f>IFERROR(VLOOKUP(A429,Capacity!$A$3:$F$532,6,), "0")</f>
        <v>0.2</v>
      </c>
      <c r="E429" t="str">
        <f>IFERROR(VLOOKUP(D429,Capacity!$A$3:$D$532,4,), "0")</f>
        <v>0</v>
      </c>
      <c r="F429" s="4" t="str">
        <f>IFERROR(VLOOKUP(D429,Capacity!$A$3:$F$532,6,), "0")</f>
        <v>0</v>
      </c>
      <c r="H429" t="str">
        <f>IFERROR(VLOOKUP(G429,Capacity!$A$3:$D$532,4,), "0")</f>
        <v>0</v>
      </c>
      <c r="I429" s="4" t="str">
        <f>IFERROR(VLOOKUP(G429,Capacity!$A$3:$F$532,6,), "0")</f>
        <v>0</v>
      </c>
      <c r="K429" t="str">
        <f>IFERROR(VLOOKUP(J429,Capacity!$A$3:$D$532,4,), "0")</f>
        <v>0</v>
      </c>
      <c r="L429" s="4" t="str">
        <f>IFERROR(VLOOKUP(J429,Capacity!$A$3:$F$532,6,), "0")</f>
        <v>0</v>
      </c>
      <c r="M429" s="5">
        <f t="shared" si="54"/>
        <v>0</v>
      </c>
      <c r="N429" s="5">
        <f t="shared" si="55"/>
        <v>0</v>
      </c>
      <c r="O429">
        <v>309</v>
      </c>
      <c r="P429">
        <f>IFERROR(VLOOKUP(O429,Capacity!$A$3:$D$532,4,), "0")</f>
        <v>84.823000199999996</v>
      </c>
      <c r="Q429" s="4">
        <f>IFERROR(VLOOKUP(O429,Capacity!$A$3:$F$532,6,), "0")</f>
        <v>0.6</v>
      </c>
      <c r="R429" s="5">
        <f t="shared" si="56"/>
        <v>84.823000199999996</v>
      </c>
      <c r="S429" s="5">
        <f t="shared" si="60"/>
        <v>0.6</v>
      </c>
      <c r="U429">
        <v>263</v>
      </c>
      <c r="V429">
        <v>1</v>
      </c>
      <c r="W429">
        <v>1</v>
      </c>
      <c r="X429">
        <v>1</v>
      </c>
      <c r="AB429">
        <f t="shared" si="57"/>
        <v>0</v>
      </c>
      <c r="AC429">
        <f t="shared" si="58"/>
        <v>0</v>
      </c>
      <c r="AD429">
        <f t="shared" si="59"/>
        <v>0</v>
      </c>
      <c r="AE429">
        <f t="shared" si="61"/>
        <v>0</v>
      </c>
      <c r="AG429">
        <f t="shared" si="62"/>
        <v>0</v>
      </c>
    </row>
    <row r="430" spans="1:33" x14ac:dyDescent="0.25">
      <c r="A430">
        <v>391</v>
      </c>
      <c r="B430">
        <f>IFERROR(VLOOKUP(A430,Capacity!$A$3:$D$532,4,), "0")</f>
        <v>21.647536509374998</v>
      </c>
      <c r="C430" s="4">
        <f>IFERROR(VLOOKUP(A430,Capacity!$A$3:$F$532,6,), "0")</f>
        <v>0.17499999999999999</v>
      </c>
      <c r="E430" t="str">
        <f>IFERROR(VLOOKUP(D430,Capacity!$A$3:$D$532,4,), "0")</f>
        <v>0</v>
      </c>
      <c r="F430" s="4" t="str">
        <f>IFERROR(VLOOKUP(D430,Capacity!$A$3:$F$532,6,), "0")</f>
        <v>0</v>
      </c>
      <c r="H430" t="str">
        <f>IFERROR(VLOOKUP(G430,Capacity!$A$3:$D$532,4,), "0")</f>
        <v>0</v>
      </c>
      <c r="I430" s="4" t="str">
        <f>IFERROR(VLOOKUP(G430,Capacity!$A$3:$F$532,6,), "0")</f>
        <v>0</v>
      </c>
      <c r="K430" t="str">
        <f>IFERROR(VLOOKUP(J430,Capacity!$A$3:$D$532,4,), "0")</f>
        <v>0</v>
      </c>
      <c r="L430" s="4" t="str">
        <f>IFERROR(VLOOKUP(J430,Capacity!$A$3:$F$532,6,), "0")</f>
        <v>0</v>
      </c>
      <c r="M430" s="5">
        <f t="shared" si="54"/>
        <v>0</v>
      </c>
      <c r="N430" s="5">
        <f t="shared" si="55"/>
        <v>0</v>
      </c>
      <c r="O430">
        <v>31</v>
      </c>
      <c r="P430">
        <f>IFERROR(VLOOKUP(O430,Capacity!$A$3:$D$532,4,), "0")</f>
        <v>8.8247336134000012</v>
      </c>
      <c r="Q430" s="4">
        <f>IFERROR(VLOOKUP(O430,Capacity!$A$3:$F$532,6,), "0")</f>
        <v>0.26500000000000001</v>
      </c>
      <c r="R430" s="5">
        <f t="shared" si="56"/>
        <v>8.8247336134000012</v>
      </c>
      <c r="S430" s="5">
        <f t="shared" si="60"/>
        <v>0.26500000000000001</v>
      </c>
      <c r="U430">
        <v>391</v>
      </c>
      <c r="V430">
        <v>0</v>
      </c>
      <c r="W430">
        <v>0</v>
      </c>
      <c r="X430">
        <v>1</v>
      </c>
      <c r="AB430">
        <f t="shared" si="57"/>
        <v>0</v>
      </c>
      <c r="AC430">
        <f t="shared" si="58"/>
        <v>0</v>
      </c>
      <c r="AD430">
        <f t="shared" si="59"/>
        <v>0</v>
      </c>
      <c r="AE430">
        <f t="shared" si="61"/>
        <v>0</v>
      </c>
      <c r="AG430">
        <f t="shared" si="62"/>
        <v>0</v>
      </c>
    </row>
    <row r="431" spans="1:33" x14ac:dyDescent="0.25">
      <c r="A431">
        <v>30</v>
      </c>
      <c r="B431">
        <f>IFERROR(VLOOKUP(A431,Capacity!$A$3:$D$532,4,), "0")</f>
        <v>17.649467226800002</v>
      </c>
      <c r="C431" s="4">
        <f>IFERROR(VLOOKUP(A431,Capacity!$A$3:$F$532,6,), "0")</f>
        <v>0.26500000000000001</v>
      </c>
      <c r="D431">
        <v>300</v>
      </c>
      <c r="E431">
        <f>IFERROR(VLOOKUP(D431,Capacity!$A$3:$D$532,4,), "0")</f>
        <v>48.536034873700011</v>
      </c>
      <c r="F431" s="4">
        <f>IFERROR(VLOOKUP(D431,Capacity!$A$3:$F$532,6,), "0")</f>
        <v>0.26500000000000001</v>
      </c>
      <c r="H431" t="str">
        <f>IFERROR(VLOOKUP(G431,Capacity!$A$3:$D$532,4,), "0")</f>
        <v>0</v>
      </c>
      <c r="I431" s="4" t="str">
        <f>IFERROR(VLOOKUP(G431,Capacity!$A$3:$F$532,6,), "0")</f>
        <v>0</v>
      </c>
      <c r="K431" t="str">
        <f>IFERROR(VLOOKUP(J431,Capacity!$A$3:$D$532,4,), "0")</f>
        <v>0</v>
      </c>
      <c r="L431" s="4" t="str">
        <f>IFERROR(VLOOKUP(J431,Capacity!$A$3:$F$532,6,), "0")</f>
        <v>0</v>
      </c>
      <c r="M431" s="5">
        <f t="shared" si="54"/>
        <v>48.536034873700011</v>
      </c>
      <c r="N431" s="5">
        <f t="shared" si="55"/>
        <v>0.26500000000000001</v>
      </c>
      <c r="O431">
        <v>31</v>
      </c>
      <c r="P431">
        <f>IFERROR(VLOOKUP(O431,Capacity!$A$3:$D$532,4,), "0")</f>
        <v>8.8247336134000012</v>
      </c>
      <c r="Q431" s="4">
        <f>IFERROR(VLOOKUP(O431,Capacity!$A$3:$F$532,6,), "0")</f>
        <v>0.26500000000000001</v>
      </c>
      <c r="R431" s="5">
        <f t="shared" si="56"/>
        <v>8.8247336134000012</v>
      </c>
      <c r="S431" s="5">
        <f t="shared" si="60"/>
        <v>0.26500000000000001</v>
      </c>
      <c r="U431">
        <v>30</v>
      </c>
      <c r="V431">
        <v>1</v>
      </c>
      <c r="W431">
        <v>1</v>
      </c>
      <c r="X431">
        <v>1</v>
      </c>
      <c r="AB431">
        <f t="shared" si="57"/>
        <v>5.5000000000000009</v>
      </c>
      <c r="AC431">
        <f t="shared" si="58"/>
        <v>2.7500000000000004</v>
      </c>
      <c r="AD431">
        <f t="shared" si="59"/>
        <v>1</v>
      </c>
      <c r="AE431">
        <f t="shared" si="61"/>
        <v>1</v>
      </c>
      <c r="AG431">
        <f t="shared" si="62"/>
        <v>1.8333333333333335</v>
      </c>
    </row>
    <row r="432" spans="1:33" x14ac:dyDescent="0.25">
      <c r="A432">
        <v>330</v>
      </c>
      <c r="B432">
        <f>IFERROR(VLOOKUP(A432,Capacity!$A$3:$D$532,4,), "0")</f>
        <v>7.6969018699999987</v>
      </c>
      <c r="C432" s="4">
        <f>IFERROR(VLOOKUP(A432,Capacity!$A$3:$F$532,6,), "0")</f>
        <v>0.17499999999999999</v>
      </c>
      <c r="D432">
        <v>496</v>
      </c>
      <c r="E432">
        <f>IFERROR(VLOOKUP(D432,Capacity!$A$3:$D$532,4,), "0")</f>
        <v>7.6969018699999987</v>
      </c>
      <c r="F432" s="4">
        <f>IFERROR(VLOOKUP(D432,Capacity!$A$3:$F$532,6,), "0")</f>
        <v>0.17499999999999999</v>
      </c>
      <c r="H432" t="str">
        <f>IFERROR(VLOOKUP(G432,Capacity!$A$3:$D$532,4,), "0")</f>
        <v>0</v>
      </c>
      <c r="I432" s="4" t="str">
        <f>IFERROR(VLOOKUP(G432,Capacity!$A$3:$F$532,6,), "0")</f>
        <v>0</v>
      </c>
      <c r="K432" t="str">
        <f>IFERROR(VLOOKUP(J432,Capacity!$A$3:$D$532,4,), "0")</f>
        <v>0</v>
      </c>
      <c r="L432" s="4" t="str">
        <f>IFERROR(VLOOKUP(J432,Capacity!$A$3:$F$532,6,), "0")</f>
        <v>0</v>
      </c>
      <c r="M432" s="5">
        <f t="shared" si="54"/>
        <v>7.6969018699999987</v>
      </c>
      <c r="N432" s="5">
        <f t="shared" si="55"/>
        <v>0.17499999999999999</v>
      </c>
      <c r="O432">
        <v>331</v>
      </c>
      <c r="P432">
        <f>IFERROR(VLOOKUP(O432,Capacity!$A$3:$D$532,4,), "0")</f>
        <v>7.6969018699999987</v>
      </c>
      <c r="Q432" s="4">
        <f>IFERROR(VLOOKUP(O432,Capacity!$A$3:$F$532,6,), "0")</f>
        <v>0.17499999999999999</v>
      </c>
      <c r="R432" s="5">
        <f t="shared" si="56"/>
        <v>7.6969018699999987</v>
      </c>
      <c r="S432" s="5">
        <f t="shared" si="60"/>
        <v>0.17499999999999999</v>
      </c>
      <c r="U432">
        <v>330</v>
      </c>
      <c r="V432">
        <v>2</v>
      </c>
      <c r="W432">
        <v>2</v>
      </c>
      <c r="X432">
        <v>1</v>
      </c>
      <c r="AB432">
        <f t="shared" si="57"/>
        <v>1</v>
      </c>
      <c r="AC432">
        <f t="shared" si="58"/>
        <v>1</v>
      </c>
      <c r="AD432">
        <f t="shared" si="59"/>
        <v>1</v>
      </c>
      <c r="AE432">
        <f t="shared" si="61"/>
        <v>1</v>
      </c>
      <c r="AG432">
        <f t="shared" si="62"/>
        <v>0.5</v>
      </c>
    </row>
    <row r="433" spans="1:33" x14ac:dyDescent="0.25">
      <c r="A433">
        <v>29</v>
      </c>
      <c r="B433">
        <f>IFERROR(VLOOKUP(A433,Capacity!$A$3:$D$532,4,), "0")</f>
        <v>260.12386727999996</v>
      </c>
      <c r="C433" s="4">
        <f>IFERROR(VLOOKUP(A433,Capacity!$A$3:$F$532,6,), "0")</f>
        <v>0.6</v>
      </c>
      <c r="D433">
        <v>372</v>
      </c>
      <c r="E433">
        <f>IFERROR(VLOOKUP(D433,Capacity!$A$3:$D$532,4,), "0")</f>
        <v>7.6969018699999987</v>
      </c>
      <c r="F433" s="4">
        <f>IFERROR(VLOOKUP(D433,Capacity!$A$3:$F$532,6,), "0")</f>
        <v>0.17499999999999999</v>
      </c>
      <c r="G433">
        <v>303</v>
      </c>
      <c r="H433">
        <f>IFERROR(VLOOKUP(G433,Capacity!$A$3:$D$532,4,), "0")</f>
        <v>226.1946672</v>
      </c>
      <c r="I433" s="4">
        <f>IFERROR(VLOOKUP(G433,Capacity!$A$3:$F$532,6,), "0")</f>
        <v>0.6</v>
      </c>
      <c r="K433" t="str">
        <f>IFERROR(VLOOKUP(J433,Capacity!$A$3:$D$532,4,), "0")</f>
        <v>0</v>
      </c>
      <c r="L433" s="4" t="str">
        <f>IFERROR(VLOOKUP(J433,Capacity!$A$3:$F$532,6,), "0")</f>
        <v>0</v>
      </c>
      <c r="M433" s="5">
        <f t="shared" si="54"/>
        <v>233.89156907</v>
      </c>
      <c r="N433" s="5">
        <f t="shared" si="55"/>
        <v>0.77499999999999991</v>
      </c>
      <c r="O433">
        <v>70</v>
      </c>
      <c r="P433">
        <f>IFERROR(VLOOKUP(O433,Capacity!$A$3:$D$532,4,), "0")</f>
        <v>124.40706696000001</v>
      </c>
      <c r="Q433" s="4">
        <f>IFERROR(VLOOKUP(O433,Capacity!$A$3:$F$532,6,), "0")</f>
        <v>0.6</v>
      </c>
      <c r="R433" s="5">
        <f t="shared" si="56"/>
        <v>124.40706696000001</v>
      </c>
      <c r="S433" s="5">
        <f t="shared" si="60"/>
        <v>0.6</v>
      </c>
      <c r="U433">
        <v>29</v>
      </c>
      <c r="V433">
        <v>3</v>
      </c>
      <c r="W433">
        <v>3</v>
      </c>
      <c r="X433">
        <v>1</v>
      </c>
      <c r="AB433">
        <f t="shared" si="57"/>
        <v>1.880050505050505</v>
      </c>
      <c r="AC433">
        <f t="shared" si="58"/>
        <v>0.89915458937198078</v>
      </c>
      <c r="AD433">
        <f t="shared" si="59"/>
        <v>1.2916666666666665</v>
      </c>
      <c r="AE433">
        <f t="shared" si="61"/>
        <v>1.2916666666666665</v>
      </c>
      <c r="AG433">
        <f t="shared" si="62"/>
        <v>0.60825163398692816</v>
      </c>
    </row>
    <row r="434" spans="1:33" x14ac:dyDescent="0.25">
      <c r="A434">
        <v>495</v>
      </c>
      <c r="B434">
        <f>IFERROR(VLOOKUP(A434,Capacity!$A$3:$D$532,4,), "0")</f>
        <v>19.242254674999998</v>
      </c>
      <c r="C434" s="4">
        <f>IFERROR(VLOOKUP(A434,Capacity!$A$3:$F$532,6,), "0")</f>
        <v>0.17499999999999999</v>
      </c>
      <c r="E434" t="str">
        <f>IFERROR(VLOOKUP(D434,Capacity!$A$3:$D$532,4,), "0")</f>
        <v>0</v>
      </c>
      <c r="F434" s="4" t="str">
        <f>IFERROR(VLOOKUP(D434,Capacity!$A$3:$F$532,6,), "0")</f>
        <v>0</v>
      </c>
      <c r="H434" t="str">
        <f>IFERROR(VLOOKUP(G434,Capacity!$A$3:$D$532,4,), "0")</f>
        <v>0</v>
      </c>
      <c r="I434" s="4" t="str">
        <f>IFERROR(VLOOKUP(G434,Capacity!$A$3:$F$532,6,), "0")</f>
        <v>0</v>
      </c>
      <c r="K434" t="str">
        <f>IFERROR(VLOOKUP(J434,Capacity!$A$3:$D$532,4,), "0")</f>
        <v>0</v>
      </c>
      <c r="L434" s="4" t="str">
        <f>IFERROR(VLOOKUP(J434,Capacity!$A$3:$F$532,6,), "0")</f>
        <v>0</v>
      </c>
      <c r="M434" s="5">
        <f t="shared" si="54"/>
        <v>0</v>
      </c>
      <c r="N434" s="5">
        <f t="shared" si="55"/>
        <v>0</v>
      </c>
      <c r="O434">
        <v>299</v>
      </c>
      <c r="P434">
        <f>IFERROR(VLOOKUP(O434,Capacity!$A$3:$D$532,4,), "0")</f>
        <v>40.212385280000007</v>
      </c>
      <c r="Q434" s="4">
        <f>IFERROR(VLOOKUP(O434,Capacity!$A$3:$F$532,6,), "0")</f>
        <v>0.4</v>
      </c>
      <c r="R434" s="5">
        <f t="shared" si="56"/>
        <v>40.212385280000007</v>
      </c>
      <c r="S434" s="5">
        <f t="shared" si="60"/>
        <v>0.4</v>
      </c>
      <c r="U434">
        <v>495</v>
      </c>
      <c r="V434">
        <v>0</v>
      </c>
      <c r="W434">
        <v>0</v>
      </c>
      <c r="X434">
        <v>1</v>
      </c>
      <c r="AB434">
        <f t="shared" si="57"/>
        <v>0</v>
      </c>
      <c r="AC434">
        <f t="shared" si="58"/>
        <v>0</v>
      </c>
      <c r="AD434">
        <f t="shared" si="59"/>
        <v>0</v>
      </c>
      <c r="AE434">
        <f t="shared" si="61"/>
        <v>0</v>
      </c>
      <c r="AG434">
        <f t="shared" si="62"/>
        <v>0</v>
      </c>
    </row>
    <row r="435" spans="1:33" x14ac:dyDescent="0.25">
      <c r="A435">
        <v>486</v>
      </c>
      <c r="B435">
        <f>IFERROR(VLOOKUP(A435,Capacity!$A$3:$D$532,4,), "0")</f>
        <v>14.431691006249999</v>
      </c>
      <c r="C435" s="4">
        <f>IFERROR(VLOOKUP(A435,Capacity!$A$3:$F$532,6,), "0")</f>
        <v>0.17499999999999999</v>
      </c>
      <c r="E435" t="str">
        <f>IFERROR(VLOOKUP(D435,Capacity!$A$3:$D$532,4,), "0")</f>
        <v>0</v>
      </c>
      <c r="F435" s="4" t="str">
        <f>IFERROR(VLOOKUP(D435,Capacity!$A$3:$F$532,6,), "0")</f>
        <v>0</v>
      </c>
      <c r="H435" t="str">
        <f>IFERROR(VLOOKUP(G435,Capacity!$A$3:$D$532,4,), "0")</f>
        <v>0</v>
      </c>
      <c r="I435" s="4" t="str">
        <f>IFERROR(VLOOKUP(G435,Capacity!$A$3:$F$532,6,), "0")</f>
        <v>0</v>
      </c>
      <c r="K435" t="str">
        <f>IFERROR(VLOOKUP(J435,Capacity!$A$3:$D$532,4,), "0")</f>
        <v>0</v>
      </c>
      <c r="L435" s="4" t="str">
        <f>IFERROR(VLOOKUP(J435,Capacity!$A$3:$F$532,6,), "0")</f>
        <v>0</v>
      </c>
      <c r="M435" s="5">
        <f t="shared" si="54"/>
        <v>0</v>
      </c>
      <c r="N435" s="5">
        <f t="shared" si="55"/>
        <v>0</v>
      </c>
      <c r="O435">
        <v>299</v>
      </c>
      <c r="P435">
        <f>IFERROR(VLOOKUP(O435,Capacity!$A$3:$D$532,4,), "0")</f>
        <v>40.212385280000007</v>
      </c>
      <c r="Q435" s="4">
        <f>IFERROR(VLOOKUP(O435,Capacity!$A$3:$F$532,6,), "0")</f>
        <v>0.4</v>
      </c>
      <c r="R435" s="5">
        <f t="shared" si="56"/>
        <v>40.212385280000007</v>
      </c>
      <c r="S435" s="5">
        <f t="shared" si="60"/>
        <v>0.4</v>
      </c>
      <c r="U435">
        <v>486</v>
      </c>
      <c r="V435">
        <v>0</v>
      </c>
      <c r="W435">
        <v>0</v>
      </c>
      <c r="X435">
        <v>1</v>
      </c>
      <c r="AB435">
        <f t="shared" si="57"/>
        <v>0</v>
      </c>
      <c r="AC435">
        <f t="shared" si="58"/>
        <v>0</v>
      </c>
      <c r="AD435">
        <f t="shared" si="59"/>
        <v>0</v>
      </c>
      <c r="AE435">
        <f t="shared" si="61"/>
        <v>0</v>
      </c>
      <c r="AG435">
        <f t="shared" si="62"/>
        <v>0</v>
      </c>
    </row>
    <row r="436" spans="1:33" x14ac:dyDescent="0.25">
      <c r="A436">
        <v>298</v>
      </c>
      <c r="B436">
        <f>IFERROR(VLOOKUP(A436,Capacity!$A$3:$D$532,4,), "0")</f>
        <v>15.707962999999999</v>
      </c>
      <c r="C436" s="4">
        <f>IFERROR(VLOOKUP(A436,Capacity!$A$3:$F$532,6,), "0")</f>
        <v>0.25</v>
      </c>
      <c r="D436">
        <v>497</v>
      </c>
      <c r="E436">
        <f>IFERROR(VLOOKUP(D436,Capacity!$A$3:$D$532,4,), "0")</f>
        <v>20.204367408749999</v>
      </c>
      <c r="F436" s="4">
        <f>IFERROR(VLOOKUP(D436,Capacity!$A$3:$F$532,6,), "0")</f>
        <v>0.17499999999999999</v>
      </c>
      <c r="G436">
        <v>487</v>
      </c>
      <c r="H436">
        <f>IFERROR(VLOOKUP(G436,Capacity!$A$3:$D$532,4,), "0")</f>
        <v>14.431691006249999</v>
      </c>
      <c r="I436" s="4">
        <f>IFERROR(VLOOKUP(G436,Capacity!$A$3:$F$532,6,), "0")</f>
        <v>0.17499999999999999</v>
      </c>
      <c r="J436">
        <v>297</v>
      </c>
      <c r="K436">
        <f>IFERROR(VLOOKUP(J436,Capacity!$A$3:$D$532,4,), "0")</f>
        <v>10.053096320000002</v>
      </c>
      <c r="L436" s="4">
        <f>IFERROR(VLOOKUP(J436,Capacity!$A$3:$F$532,6,), "0")</f>
        <v>0.2</v>
      </c>
      <c r="M436" s="5">
        <f t="shared" si="54"/>
        <v>44.689154734999995</v>
      </c>
      <c r="N436" s="5">
        <f t="shared" si="55"/>
        <v>0.55000000000000004</v>
      </c>
      <c r="O436">
        <v>299</v>
      </c>
      <c r="P436">
        <f>IFERROR(VLOOKUP(O436,Capacity!$A$3:$D$532,4,), "0")</f>
        <v>40.212385280000007</v>
      </c>
      <c r="Q436" s="4">
        <f>IFERROR(VLOOKUP(O436,Capacity!$A$3:$F$532,6,), "0")</f>
        <v>0.4</v>
      </c>
      <c r="R436" s="5">
        <f t="shared" si="56"/>
        <v>40.212385280000007</v>
      </c>
      <c r="S436" s="5">
        <f t="shared" si="60"/>
        <v>0.4</v>
      </c>
      <c r="U436">
        <v>298</v>
      </c>
      <c r="V436">
        <v>4</v>
      </c>
      <c r="W436">
        <v>4</v>
      </c>
      <c r="X436">
        <v>1</v>
      </c>
      <c r="AB436">
        <f t="shared" si="57"/>
        <v>1.1113281249999998</v>
      </c>
      <c r="AC436">
        <f t="shared" si="58"/>
        <v>2.8449999999999998</v>
      </c>
      <c r="AD436">
        <f t="shared" si="59"/>
        <v>1.375</v>
      </c>
      <c r="AE436">
        <f t="shared" si="61"/>
        <v>2.2000000000000002</v>
      </c>
      <c r="AG436">
        <f t="shared" si="62"/>
        <v>0.79915730337078639</v>
      </c>
    </row>
    <row r="437" spans="1:33" x14ac:dyDescent="0.25">
      <c r="A437">
        <v>307</v>
      </c>
      <c r="B437">
        <f>IFERROR(VLOOKUP(A437,Capacity!$A$3:$D$532,4,), "0")</f>
        <v>84.823000199999996</v>
      </c>
      <c r="C437" s="4">
        <f>IFERROR(VLOOKUP(A437,Capacity!$A$3:$F$532,6,), "0")</f>
        <v>0.6</v>
      </c>
      <c r="D437">
        <v>282</v>
      </c>
      <c r="E437">
        <f>IFERROR(VLOOKUP(D437,Capacity!$A$3:$D$532,4,), "0")</f>
        <v>84.823000199999996</v>
      </c>
      <c r="F437" s="4">
        <f>IFERROR(VLOOKUP(D437,Capacity!$A$3:$F$532,6,), "0")</f>
        <v>0.6</v>
      </c>
      <c r="G437">
        <v>265</v>
      </c>
      <c r="H437">
        <f>IFERROR(VLOOKUP(G437,Capacity!$A$3:$D$532,4,), "0")</f>
        <v>26.474200840200002</v>
      </c>
      <c r="I437" s="4">
        <f>IFERROR(VLOOKUP(G437,Capacity!$A$3:$F$532,6,), "0")</f>
        <v>0.26500000000000001</v>
      </c>
      <c r="K437" t="str">
        <f>IFERROR(VLOOKUP(J437,Capacity!$A$3:$D$532,4,), "0")</f>
        <v>0</v>
      </c>
      <c r="L437" s="4" t="str">
        <f>IFERROR(VLOOKUP(J437,Capacity!$A$3:$F$532,6,), "0")</f>
        <v>0</v>
      </c>
      <c r="M437" s="5">
        <f t="shared" si="54"/>
        <v>111.29720104019999</v>
      </c>
      <c r="N437" s="5">
        <f t="shared" si="55"/>
        <v>0.86499999999999999</v>
      </c>
      <c r="O437">
        <v>308</v>
      </c>
      <c r="P437">
        <f>IFERROR(VLOOKUP(O437,Capacity!$A$3:$D$532,4,), "0")</f>
        <v>84.823000199999996</v>
      </c>
      <c r="Q437" s="4">
        <f>IFERROR(VLOOKUP(O437,Capacity!$A$3:$F$532,6,), "0")</f>
        <v>0.6</v>
      </c>
      <c r="R437" s="5">
        <f t="shared" si="56"/>
        <v>84.823000199999996</v>
      </c>
      <c r="S437" s="5">
        <f t="shared" si="60"/>
        <v>0.6</v>
      </c>
      <c r="U437">
        <v>307</v>
      </c>
      <c r="V437">
        <v>3</v>
      </c>
      <c r="W437">
        <v>3</v>
      </c>
      <c r="X437">
        <v>1</v>
      </c>
      <c r="AB437">
        <f t="shared" si="57"/>
        <v>1.312111111111111</v>
      </c>
      <c r="AC437">
        <f t="shared" si="58"/>
        <v>1.312111111111111</v>
      </c>
      <c r="AD437">
        <f t="shared" si="59"/>
        <v>1.4416666666666667</v>
      </c>
      <c r="AE437">
        <f t="shared" si="61"/>
        <v>1.4416666666666667</v>
      </c>
      <c r="AG437">
        <f t="shared" si="62"/>
        <v>0.6560555555555555</v>
      </c>
    </row>
    <row r="438" spans="1:33" x14ac:dyDescent="0.25">
      <c r="A438">
        <v>264</v>
      </c>
      <c r="B438">
        <f>IFERROR(VLOOKUP(A438,Capacity!$A$3:$D$532,4,), "0")</f>
        <v>11.545352804999998</v>
      </c>
      <c r="C438" s="4">
        <f>IFERROR(VLOOKUP(A438,Capacity!$A$3:$F$532,6,), "0")</f>
        <v>0.17499999999999999</v>
      </c>
      <c r="E438" t="str">
        <f>IFERROR(VLOOKUP(D438,Capacity!$A$3:$D$532,4,), "0")</f>
        <v>0</v>
      </c>
      <c r="F438" s="4" t="str">
        <f>IFERROR(VLOOKUP(D438,Capacity!$A$3:$F$532,6,), "0")</f>
        <v>0</v>
      </c>
      <c r="H438" t="str">
        <f>IFERROR(VLOOKUP(G438,Capacity!$A$3:$D$532,4,), "0")</f>
        <v>0</v>
      </c>
      <c r="I438" s="4" t="str">
        <f>IFERROR(VLOOKUP(G438,Capacity!$A$3:$F$532,6,), "0")</f>
        <v>0</v>
      </c>
      <c r="K438" t="str">
        <f>IFERROR(VLOOKUP(J438,Capacity!$A$3:$D$532,4,), "0")</f>
        <v>0</v>
      </c>
      <c r="L438" s="4" t="str">
        <f>IFERROR(VLOOKUP(J438,Capacity!$A$3:$F$532,6,), "0")</f>
        <v>0</v>
      </c>
      <c r="M438" s="5">
        <f t="shared" si="54"/>
        <v>0</v>
      </c>
      <c r="N438" s="5">
        <f t="shared" si="55"/>
        <v>0</v>
      </c>
      <c r="O438">
        <v>308</v>
      </c>
      <c r="P438">
        <f>IFERROR(VLOOKUP(O438,Capacity!$A$3:$D$532,4,), "0")</f>
        <v>84.823000199999996</v>
      </c>
      <c r="Q438" s="4">
        <f>IFERROR(VLOOKUP(O438,Capacity!$A$3:$F$532,6,), "0")</f>
        <v>0.6</v>
      </c>
      <c r="R438" s="5">
        <f t="shared" si="56"/>
        <v>84.823000199999996</v>
      </c>
      <c r="S438" s="5">
        <f t="shared" si="60"/>
        <v>0.6</v>
      </c>
      <c r="U438">
        <v>264</v>
      </c>
      <c r="V438">
        <v>1</v>
      </c>
      <c r="W438">
        <v>1</v>
      </c>
      <c r="X438">
        <v>1</v>
      </c>
      <c r="AB438">
        <f t="shared" si="57"/>
        <v>0</v>
      </c>
      <c r="AC438">
        <f t="shared" si="58"/>
        <v>0</v>
      </c>
      <c r="AD438">
        <f t="shared" si="59"/>
        <v>0</v>
      </c>
      <c r="AE438">
        <f t="shared" si="61"/>
        <v>0</v>
      </c>
      <c r="AG438">
        <f t="shared" si="62"/>
        <v>0</v>
      </c>
    </row>
    <row r="439" spans="1:33" x14ac:dyDescent="0.25">
      <c r="A439">
        <v>300</v>
      </c>
      <c r="B439">
        <f>IFERROR(VLOOKUP(A439,Capacity!$A$3:$D$532,4,), "0")</f>
        <v>48.536034873700011</v>
      </c>
      <c r="C439" s="4">
        <f>IFERROR(VLOOKUP(A439,Capacity!$A$3:$F$532,6,), "0")</f>
        <v>0.26500000000000001</v>
      </c>
      <c r="D439">
        <v>301</v>
      </c>
      <c r="E439">
        <f>IFERROR(VLOOKUP(D439,Capacity!$A$3:$D$532,4,), "0")</f>
        <v>7.6969018699999987</v>
      </c>
      <c r="F439" s="4">
        <f>IFERROR(VLOOKUP(D439,Capacity!$A$3:$F$532,6,), "0")</f>
        <v>0.17499999999999999</v>
      </c>
      <c r="H439" t="str">
        <f>IFERROR(VLOOKUP(G439,Capacity!$A$3:$D$532,4,), "0")</f>
        <v>0</v>
      </c>
      <c r="I439" s="4" t="str">
        <f>IFERROR(VLOOKUP(G439,Capacity!$A$3:$F$532,6,), "0")</f>
        <v>0</v>
      </c>
      <c r="K439" t="str">
        <f>IFERROR(VLOOKUP(J439,Capacity!$A$3:$D$532,4,), "0")</f>
        <v>0</v>
      </c>
      <c r="L439" s="4" t="str">
        <f>IFERROR(VLOOKUP(J439,Capacity!$A$3:$F$532,6,), "0")</f>
        <v>0</v>
      </c>
      <c r="M439" s="5">
        <f t="shared" si="54"/>
        <v>7.6969018699999987</v>
      </c>
      <c r="N439" s="5">
        <f t="shared" si="55"/>
        <v>0.17499999999999999</v>
      </c>
      <c r="O439">
        <v>30</v>
      </c>
      <c r="P439">
        <f>IFERROR(VLOOKUP(O439,Capacity!$A$3:$D$532,4,), "0")</f>
        <v>17.649467226800002</v>
      </c>
      <c r="Q439" s="4">
        <f>IFERROR(VLOOKUP(O439,Capacity!$A$3:$F$532,6,), "0")</f>
        <v>0.26500000000000001</v>
      </c>
      <c r="R439" s="5">
        <f t="shared" si="56"/>
        <v>17.649467226800002</v>
      </c>
      <c r="S439" s="5">
        <f t="shared" si="60"/>
        <v>0.26500000000000001</v>
      </c>
      <c r="U439">
        <v>300</v>
      </c>
      <c r="V439">
        <v>1</v>
      </c>
      <c r="W439">
        <v>1</v>
      </c>
      <c r="X439">
        <v>1</v>
      </c>
      <c r="AB439">
        <f t="shared" si="57"/>
        <v>0.43609825560697746</v>
      </c>
      <c r="AC439">
        <f t="shared" si="58"/>
        <v>0.1585811838570827</v>
      </c>
      <c r="AD439">
        <f t="shared" si="59"/>
        <v>0.660377358490566</v>
      </c>
      <c r="AE439">
        <f t="shared" si="61"/>
        <v>0.660377358490566</v>
      </c>
      <c r="AG439">
        <f t="shared" si="62"/>
        <v>0.11629286816186064</v>
      </c>
    </row>
    <row r="440" spans="1:33" x14ac:dyDescent="0.25">
      <c r="A440">
        <v>496</v>
      </c>
      <c r="B440">
        <f>IFERROR(VLOOKUP(A440,Capacity!$A$3:$D$532,4,), "0")</f>
        <v>7.6969018699999987</v>
      </c>
      <c r="C440" s="4">
        <f>IFERROR(VLOOKUP(A440,Capacity!$A$3:$F$532,6,), "0")</f>
        <v>0.17499999999999999</v>
      </c>
      <c r="E440" t="str">
        <f>IFERROR(VLOOKUP(D440,Capacity!$A$3:$D$532,4,), "0")</f>
        <v>0</v>
      </c>
      <c r="F440" s="4" t="str">
        <f>IFERROR(VLOOKUP(D440,Capacity!$A$3:$F$532,6,), "0")</f>
        <v>0</v>
      </c>
      <c r="H440" t="str">
        <f>IFERROR(VLOOKUP(G440,Capacity!$A$3:$D$532,4,), "0")</f>
        <v>0</v>
      </c>
      <c r="I440" s="4" t="str">
        <f>IFERROR(VLOOKUP(G440,Capacity!$A$3:$F$532,6,), "0")</f>
        <v>0</v>
      </c>
      <c r="K440" t="str">
        <f>IFERROR(VLOOKUP(J440,Capacity!$A$3:$D$532,4,), "0")</f>
        <v>0</v>
      </c>
      <c r="L440" s="4" t="str">
        <f>IFERROR(VLOOKUP(J440,Capacity!$A$3:$F$532,6,), "0")</f>
        <v>0</v>
      </c>
      <c r="M440" s="5">
        <f t="shared" si="54"/>
        <v>0</v>
      </c>
      <c r="N440" s="5">
        <f t="shared" si="55"/>
        <v>0</v>
      </c>
      <c r="O440">
        <v>330</v>
      </c>
      <c r="P440">
        <f>IFERROR(VLOOKUP(O440,Capacity!$A$3:$D$532,4,), "0")</f>
        <v>7.6969018699999987</v>
      </c>
      <c r="Q440" s="4">
        <f>IFERROR(VLOOKUP(O440,Capacity!$A$3:$F$532,6,), "0")</f>
        <v>0.17499999999999999</v>
      </c>
      <c r="R440" s="5">
        <f t="shared" si="56"/>
        <v>7.6969018699999987</v>
      </c>
      <c r="S440" s="5">
        <f t="shared" si="60"/>
        <v>0.17499999999999999</v>
      </c>
      <c r="U440">
        <v>496</v>
      </c>
      <c r="V440">
        <v>0</v>
      </c>
      <c r="W440">
        <v>0</v>
      </c>
      <c r="X440">
        <v>1</v>
      </c>
      <c r="AB440">
        <f t="shared" si="57"/>
        <v>0</v>
      </c>
      <c r="AC440">
        <f t="shared" si="58"/>
        <v>0</v>
      </c>
      <c r="AD440">
        <f t="shared" si="59"/>
        <v>0</v>
      </c>
      <c r="AE440">
        <f t="shared" si="61"/>
        <v>0</v>
      </c>
      <c r="AG440">
        <f t="shared" si="62"/>
        <v>0</v>
      </c>
    </row>
    <row r="441" spans="1:33" x14ac:dyDescent="0.25">
      <c r="A441">
        <v>372</v>
      </c>
      <c r="B441">
        <f>IFERROR(VLOOKUP(A441,Capacity!$A$3:$D$532,4,), "0")</f>
        <v>7.6969018699999987</v>
      </c>
      <c r="C441" s="4">
        <f>IFERROR(VLOOKUP(A441,Capacity!$A$3:$F$532,6,), "0")</f>
        <v>0.17499999999999999</v>
      </c>
      <c r="E441" t="str">
        <f>IFERROR(VLOOKUP(D441,Capacity!$A$3:$D$532,4,), "0")</f>
        <v>0</v>
      </c>
      <c r="F441" s="4" t="str">
        <f>IFERROR(VLOOKUP(D441,Capacity!$A$3:$F$532,6,), "0")</f>
        <v>0</v>
      </c>
      <c r="H441" t="str">
        <f>IFERROR(VLOOKUP(G441,Capacity!$A$3:$D$532,4,), "0")</f>
        <v>0</v>
      </c>
      <c r="I441" s="4" t="str">
        <f>IFERROR(VLOOKUP(G441,Capacity!$A$3:$F$532,6,), "0")</f>
        <v>0</v>
      </c>
      <c r="K441" t="str">
        <f>IFERROR(VLOOKUP(J441,Capacity!$A$3:$D$532,4,), "0")</f>
        <v>0</v>
      </c>
      <c r="L441" s="4" t="str">
        <f>IFERROR(VLOOKUP(J441,Capacity!$A$3:$F$532,6,), "0")</f>
        <v>0</v>
      </c>
      <c r="M441" s="5">
        <f t="shared" si="54"/>
        <v>0</v>
      </c>
      <c r="N441" s="5">
        <f t="shared" si="55"/>
        <v>0</v>
      </c>
      <c r="O441">
        <v>29</v>
      </c>
      <c r="P441">
        <f>IFERROR(VLOOKUP(O441,Capacity!$A$3:$D$532,4,), "0")</f>
        <v>260.12386727999996</v>
      </c>
      <c r="Q441" s="4">
        <f>IFERROR(VLOOKUP(O441,Capacity!$A$3:$F$532,6,), "0")</f>
        <v>0.6</v>
      </c>
      <c r="R441" s="5">
        <f t="shared" si="56"/>
        <v>260.12386727999996</v>
      </c>
      <c r="S441" s="5">
        <f t="shared" si="60"/>
        <v>0.6</v>
      </c>
      <c r="U441">
        <v>372</v>
      </c>
      <c r="V441">
        <v>0</v>
      </c>
      <c r="W441">
        <v>0</v>
      </c>
      <c r="X441">
        <v>1</v>
      </c>
      <c r="AB441">
        <f t="shared" si="57"/>
        <v>0</v>
      </c>
      <c r="AC441">
        <f t="shared" si="58"/>
        <v>0</v>
      </c>
      <c r="AD441">
        <f t="shared" si="59"/>
        <v>0</v>
      </c>
      <c r="AE441">
        <f t="shared" si="61"/>
        <v>0</v>
      </c>
      <c r="AG441">
        <f t="shared" si="62"/>
        <v>0</v>
      </c>
    </row>
    <row r="442" spans="1:33" x14ac:dyDescent="0.25">
      <c r="A442">
        <v>303</v>
      </c>
      <c r="B442">
        <f>IFERROR(VLOOKUP(A442,Capacity!$A$3:$D$532,4,), "0")</f>
        <v>226.1946672</v>
      </c>
      <c r="C442" s="4">
        <f>IFERROR(VLOOKUP(A442,Capacity!$A$3:$F$532,6,), "0")</f>
        <v>0.6</v>
      </c>
      <c r="D442">
        <v>304</v>
      </c>
      <c r="E442">
        <f>IFERROR(VLOOKUP(D442,Capacity!$A$3:$D$532,4,), "0")</f>
        <v>192.26546711999998</v>
      </c>
      <c r="F442" s="4">
        <f>IFERROR(VLOOKUP(D442,Capacity!$A$3:$F$532,6,), "0")</f>
        <v>0.6</v>
      </c>
      <c r="G442">
        <v>302</v>
      </c>
      <c r="H442">
        <f>IFERROR(VLOOKUP(G442,Capacity!$A$3:$D$532,4,), "0")</f>
        <v>6.2831852000000019</v>
      </c>
      <c r="I442" s="4">
        <f>IFERROR(VLOOKUP(G442,Capacity!$A$3:$F$532,6,), "0")</f>
        <v>0.2</v>
      </c>
      <c r="J442">
        <v>272</v>
      </c>
      <c r="K442">
        <f>IFERROR(VLOOKUP(J442,Capacity!$A$3:$D$532,4,), "0")</f>
        <v>52.916200356249988</v>
      </c>
      <c r="L442" s="4">
        <f>IFERROR(VLOOKUP(J442,Capacity!$A$3:$F$532,6,), "0")</f>
        <v>0.17499999999999999</v>
      </c>
      <c r="M442" s="5">
        <f t="shared" si="54"/>
        <v>251.46485267624996</v>
      </c>
      <c r="N442" s="5">
        <f t="shared" si="55"/>
        <v>0.97500000000000009</v>
      </c>
      <c r="O442">
        <v>29</v>
      </c>
      <c r="P442">
        <f>IFERROR(VLOOKUP(O442,Capacity!$A$3:$D$532,4,), "0")</f>
        <v>260.12386727999996</v>
      </c>
      <c r="Q442" s="4">
        <f>IFERROR(VLOOKUP(O442,Capacity!$A$3:$F$532,6,), "0")</f>
        <v>0.6</v>
      </c>
      <c r="R442" s="5">
        <f t="shared" si="56"/>
        <v>260.12386727999996</v>
      </c>
      <c r="S442" s="5">
        <f t="shared" si="60"/>
        <v>0.6</v>
      </c>
      <c r="U442">
        <v>303</v>
      </c>
      <c r="V442">
        <v>3</v>
      </c>
      <c r="W442">
        <v>3</v>
      </c>
      <c r="X442">
        <v>1</v>
      </c>
      <c r="AB442">
        <f t="shared" si="57"/>
        <v>0.96671195652173914</v>
      </c>
      <c r="AC442">
        <f t="shared" si="58"/>
        <v>1.1117187499999999</v>
      </c>
      <c r="AD442">
        <f t="shared" si="59"/>
        <v>1.6250000000000002</v>
      </c>
      <c r="AE442">
        <f t="shared" si="61"/>
        <v>1.6250000000000002</v>
      </c>
      <c r="AG442">
        <f t="shared" si="62"/>
        <v>0.51707848837209303</v>
      </c>
    </row>
    <row r="443" spans="1:33" x14ac:dyDescent="0.25">
      <c r="A443">
        <v>497</v>
      </c>
      <c r="B443">
        <f>IFERROR(VLOOKUP(A443,Capacity!$A$3:$D$532,4,), "0")</f>
        <v>20.204367408749999</v>
      </c>
      <c r="C443" s="4">
        <f>IFERROR(VLOOKUP(A443,Capacity!$A$3:$F$532,6,), "0")</f>
        <v>0.17499999999999999</v>
      </c>
      <c r="E443" t="str">
        <f>IFERROR(VLOOKUP(D443,Capacity!$A$3:$D$532,4,), "0")</f>
        <v>0</v>
      </c>
      <c r="F443" s="4" t="str">
        <f>IFERROR(VLOOKUP(D443,Capacity!$A$3:$F$532,6,), "0")</f>
        <v>0</v>
      </c>
      <c r="H443" t="str">
        <f>IFERROR(VLOOKUP(G443,Capacity!$A$3:$D$532,4,), "0")</f>
        <v>0</v>
      </c>
      <c r="I443" s="4" t="str">
        <f>IFERROR(VLOOKUP(G443,Capacity!$A$3:$F$532,6,), "0")</f>
        <v>0</v>
      </c>
      <c r="K443" t="str">
        <f>IFERROR(VLOOKUP(J443,Capacity!$A$3:$D$532,4,), "0")</f>
        <v>0</v>
      </c>
      <c r="L443" s="4" t="str">
        <f>IFERROR(VLOOKUP(J443,Capacity!$A$3:$F$532,6,), "0")</f>
        <v>0</v>
      </c>
      <c r="M443" s="5">
        <f t="shared" si="54"/>
        <v>0</v>
      </c>
      <c r="N443" s="5">
        <f t="shared" si="55"/>
        <v>0</v>
      </c>
      <c r="O443">
        <v>298</v>
      </c>
      <c r="P443">
        <f>IFERROR(VLOOKUP(O443,Capacity!$A$3:$D$532,4,), "0")</f>
        <v>15.707962999999999</v>
      </c>
      <c r="Q443" s="4">
        <f>IFERROR(VLOOKUP(O443,Capacity!$A$3:$F$532,6,), "0")</f>
        <v>0.25</v>
      </c>
      <c r="R443" s="5">
        <f t="shared" si="56"/>
        <v>15.707962999999999</v>
      </c>
      <c r="S443" s="5">
        <f t="shared" si="60"/>
        <v>0.25</v>
      </c>
      <c r="U443">
        <v>497</v>
      </c>
      <c r="V443">
        <v>0</v>
      </c>
      <c r="W443">
        <v>0</v>
      </c>
      <c r="X443">
        <v>1</v>
      </c>
      <c r="AB443">
        <f t="shared" si="57"/>
        <v>0</v>
      </c>
      <c r="AC443">
        <f t="shared" si="58"/>
        <v>0</v>
      </c>
      <c r="AD443">
        <f t="shared" si="59"/>
        <v>0</v>
      </c>
      <c r="AE443">
        <f t="shared" si="61"/>
        <v>0</v>
      </c>
      <c r="AG443">
        <f t="shared" si="62"/>
        <v>0</v>
      </c>
    </row>
    <row r="444" spans="1:33" x14ac:dyDescent="0.25">
      <c r="A444">
        <v>487</v>
      </c>
      <c r="B444">
        <f>IFERROR(VLOOKUP(A444,Capacity!$A$3:$D$532,4,), "0")</f>
        <v>14.431691006249999</v>
      </c>
      <c r="C444" s="4">
        <f>IFERROR(VLOOKUP(A444,Capacity!$A$3:$F$532,6,), "0")</f>
        <v>0.17499999999999999</v>
      </c>
      <c r="E444" t="str">
        <f>IFERROR(VLOOKUP(D444,Capacity!$A$3:$D$532,4,), "0")</f>
        <v>0</v>
      </c>
      <c r="F444" s="4" t="str">
        <f>IFERROR(VLOOKUP(D444,Capacity!$A$3:$F$532,6,), "0")</f>
        <v>0</v>
      </c>
      <c r="H444" t="str">
        <f>IFERROR(VLOOKUP(G444,Capacity!$A$3:$D$532,4,), "0")</f>
        <v>0</v>
      </c>
      <c r="I444" s="4" t="str">
        <f>IFERROR(VLOOKUP(G444,Capacity!$A$3:$F$532,6,), "0")</f>
        <v>0</v>
      </c>
      <c r="K444" t="str">
        <f>IFERROR(VLOOKUP(J444,Capacity!$A$3:$D$532,4,), "0")</f>
        <v>0</v>
      </c>
      <c r="L444" s="4" t="str">
        <f>IFERROR(VLOOKUP(J444,Capacity!$A$3:$F$532,6,), "0")</f>
        <v>0</v>
      </c>
      <c r="M444" s="5">
        <f t="shared" si="54"/>
        <v>0</v>
      </c>
      <c r="N444" s="5">
        <f t="shared" si="55"/>
        <v>0</v>
      </c>
      <c r="O444">
        <v>298</v>
      </c>
      <c r="P444">
        <f>IFERROR(VLOOKUP(O444,Capacity!$A$3:$D$532,4,), "0")</f>
        <v>15.707962999999999</v>
      </c>
      <c r="Q444" s="4">
        <f>IFERROR(VLOOKUP(O444,Capacity!$A$3:$F$532,6,), "0")</f>
        <v>0.25</v>
      </c>
      <c r="R444" s="5">
        <f t="shared" si="56"/>
        <v>15.707962999999999</v>
      </c>
      <c r="S444" s="5">
        <f t="shared" si="60"/>
        <v>0.25</v>
      </c>
      <c r="U444">
        <v>487</v>
      </c>
      <c r="V444">
        <v>0</v>
      </c>
      <c r="W444">
        <v>0</v>
      </c>
      <c r="X444">
        <v>1</v>
      </c>
      <c r="AB444">
        <f t="shared" si="57"/>
        <v>0</v>
      </c>
      <c r="AC444">
        <f t="shared" si="58"/>
        <v>0</v>
      </c>
      <c r="AD444">
        <f t="shared" si="59"/>
        <v>0</v>
      </c>
      <c r="AE444">
        <f t="shared" si="61"/>
        <v>0</v>
      </c>
      <c r="AG444">
        <f t="shared" si="62"/>
        <v>0</v>
      </c>
    </row>
    <row r="445" spans="1:33" x14ac:dyDescent="0.25">
      <c r="A445">
        <v>297</v>
      </c>
      <c r="B445">
        <f>IFERROR(VLOOKUP(A445,Capacity!$A$3:$D$532,4,), "0")</f>
        <v>10.053096320000002</v>
      </c>
      <c r="C445" s="4">
        <f>IFERROR(VLOOKUP(A445,Capacity!$A$3:$F$532,6,), "0")</f>
        <v>0.2</v>
      </c>
      <c r="D445">
        <v>498</v>
      </c>
      <c r="E445">
        <f>IFERROR(VLOOKUP(D445,Capacity!$A$3:$D$532,4,), "0")</f>
        <v>110.58405952000003</v>
      </c>
      <c r="F445" s="4">
        <f>IFERROR(VLOOKUP(D445,Capacity!$A$3:$F$532,6,), "0")</f>
        <v>0.4</v>
      </c>
      <c r="G445">
        <v>488</v>
      </c>
      <c r="H445">
        <f>IFERROR(VLOOKUP(G445,Capacity!$A$3:$D$532,4,), "0")</f>
        <v>42.411500099999998</v>
      </c>
      <c r="I445" s="4">
        <f>IFERROR(VLOOKUP(G445,Capacity!$A$3:$F$532,6,), "0")</f>
        <v>0.3</v>
      </c>
      <c r="K445" t="str">
        <f>IFERROR(VLOOKUP(J445,Capacity!$A$3:$D$532,4,), "0")</f>
        <v>0</v>
      </c>
      <c r="L445" s="4" t="str">
        <f>IFERROR(VLOOKUP(J445,Capacity!$A$3:$F$532,6,), "0")</f>
        <v>0</v>
      </c>
      <c r="M445" s="5">
        <f t="shared" si="54"/>
        <v>152.99555962000002</v>
      </c>
      <c r="N445" s="5">
        <f t="shared" si="55"/>
        <v>0.7</v>
      </c>
      <c r="O445">
        <v>298</v>
      </c>
      <c r="P445">
        <f>IFERROR(VLOOKUP(O445,Capacity!$A$3:$D$532,4,), "0")</f>
        <v>15.707962999999999</v>
      </c>
      <c r="Q445" s="4">
        <f>IFERROR(VLOOKUP(O445,Capacity!$A$3:$F$532,6,), "0")</f>
        <v>0.25</v>
      </c>
      <c r="R445" s="5">
        <f t="shared" si="56"/>
        <v>15.707962999999999</v>
      </c>
      <c r="S445" s="5">
        <f t="shared" si="60"/>
        <v>0.25</v>
      </c>
      <c r="U445">
        <v>297</v>
      </c>
      <c r="V445">
        <v>3</v>
      </c>
      <c r="W445">
        <v>3</v>
      </c>
      <c r="X445">
        <v>1</v>
      </c>
      <c r="AB445">
        <f t="shared" si="57"/>
        <v>9.740000000000002</v>
      </c>
      <c r="AC445">
        <f t="shared" si="58"/>
        <v>15.21875</v>
      </c>
      <c r="AD445">
        <f t="shared" si="59"/>
        <v>2.8</v>
      </c>
      <c r="AE445">
        <f t="shared" si="61"/>
        <v>3.4999999999999996</v>
      </c>
      <c r="AG445">
        <f t="shared" si="62"/>
        <v>5.9390243902439028</v>
      </c>
    </row>
    <row r="446" spans="1:33" x14ac:dyDescent="0.25">
      <c r="A446">
        <v>282</v>
      </c>
      <c r="B446">
        <f>IFERROR(VLOOKUP(A446,Capacity!$A$3:$D$532,4,), "0")</f>
        <v>84.823000199999996</v>
      </c>
      <c r="C446" s="4">
        <f>IFERROR(VLOOKUP(A446,Capacity!$A$3:$F$532,6,), "0")</f>
        <v>0.6</v>
      </c>
      <c r="D446">
        <v>283</v>
      </c>
      <c r="E446">
        <f>IFERROR(VLOOKUP(D446,Capacity!$A$3:$D$532,4,), "0")</f>
        <v>62.831851999999998</v>
      </c>
      <c r="F446" s="4">
        <f>IFERROR(VLOOKUP(D446,Capacity!$A$3:$F$532,6,), "0")</f>
        <v>0.5</v>
      </c>
      <c r="G446">
        <v>281</v>
      </c>
      <c r="H446">
        <f>IFERROR(VLOOKUP(G446,Capacity!$A$3:$D$532,4,), "0")</f>
        <v>42.411500099999998</v>
      </c>
      <c r="I446" s="4">
        <f>IFERROR(VLOOKUP(G446,Capacity!$A$3:$F$532,6,), "0")</f>
        <v>0.3</v>
      </c>
      <c r="K446" t="str">
        <f>IFERROR(VLOOKUP(J446,Capacity!$A$3:$D$532,4,), "0")</f>
        <v>0</v>
      </c>
      <c r="L446" s="4" t="str">
        <f>IFERROR(VLOOKUP(J446,Capacity!$A$3:$F$532,6,), "0")</f>
        <v>0</v>
      </c>
      <c r="M446" s="5">
        <f t="shared" si="54"/>
        <v>105.2433521</v>
      </c>
      <c r="N446" s="5">
        <f t="shared" si="55"/>
        <v>0.8</v>
      </c>
      <c r="O446">
        <v>307</v>
      </c>
      <c r="P446">
        <f>IFERROR(VLOOKUP(O446,Capacity!$A$3:$D$532,4,), "0")</f>
        <v>84.823000199999996</v>
      </c>
      <c r="Q446" s="4">
        <f>IFERROR(VLOOKUP(O446,Capacity!$A$3:$F$532,6,), "0")</f>
        <v>0.6</v>
      </c>
      <c r="R446" s="5">
        <f t="shared" si="56"/>
        <v>84.823000199999996</v>
      </c>
      <c r="S446" s="5">
        <f t="shared" si="60"/>
        <v>0.6</v>
      </c>
      <c r="U446">
        <v>282</v>
      </c>
      <c r="V446">
        <v>3</v>
      </c>
      <c r="W446">
        <v>3</v>
      </c>
      <c r="X446">
        <v>1</v>
      </c>
      <c r="AB446">
        <f t="shared" si="57"/>
        <v>1.2407407407407407</v>
      </c>
      <c r="AC446">
        <f t="shared" si="58"/>
        <v>1.2407407407407407</v>
      </c>
      <c r="AD446">
        <f t="shared" si="59"/>
        <v>1.3333333333333335</v>
      </c>
      <c r="AE446">
        <f t="shared" si="61"/>
        <v>1.3333333333333335</v>
      </c>
      <c r="AG446">
        <f t="shared" si="62"/>
        <v>0.62037037037037035</v>
      </c>
    </row>
    <row r="447" spans="1:33" x14ac:dyDescent="0.25">
      <c r="A447">
        <v>265</v>
      </c>
      <c r="B447">
        <f>IFERROR(VLOOKUP(A447,Capacity!$A$3:$D$532,4,), "0")</f>
        <v>26.474200840200002</v>
      </c>
      <c r="C447" s="4">
        <f>IFERROR(VLOOKUP(A447,Capacity!$A$3:$F$532,6,), "0")</f>
        <v>0.26500000000000001</v>
      </c>
      <c r="E447" t="str">
        <f>IFERROR(VLOOKUP(D447,Capacity!$A$3:$D$532,4,), "0")</f>
        <v>0</v>
      </c>
      <c r="F447" s="4" t="str">
        <f>IFERROR(VLOOKUP(D447,Capacity!$A$3:$F$532,6,), "0")</f>
        <v>0</v>
      </c>
      <c r="H447" t="str">
        <f>IFERROR(VLOOKUP(G447,Capacity!$A$3:$D$532,4,), "0")</f>
        <v>0</v>
      </c>
      <c r="I447" s="4" t="str">
        <f>IFERROR(VLOOKUP(G447,Capacity!$A$3:$F$532,6,), "0")</f>
        <v>0</v>
      </c>
      <c r="K447" t="str">
        <f>IFERROR(VLOOKUP(J447,Capacity!$A$3:$D$532,4,), "0")</f>
        <v>0</v>
      </c>
      <c r="L447" s="4" t="str">
        <f>IFERROR(VLOOKUP(J447,Capacity!$A$3:$F$532,6,), "0")</f>
        <v>0</v>
      </c>
      <c r="M447" s="5">
        <f t="shared" si="54"/>
        <v>0</v>
      </c>
      <c r="N447" s="5">
        <f t="shared" si="55"/>
        <v>0</v>
      </c>
      <c r="O447">
        <v>307</v>
      </c>
      <c r="P447">
        <f>IFERROR(VLOOKUP(O447,Capacity!$A$3:$D$532,4,), "0")</f>
        <v>84.823000199999996</v>
      </c>
      <c r="Q447" s="4">
        <f>IFERROR(VLOOKUP(O447,Capacity!$A$3:$F$532,6,), "0")</f>
        <v>0.6</v>
      </c>
      <c r="R447" s="5">
        <f t="shared" si="56"/>
        <v>84.823000199999996</v>
      </c>
      <c r="S447" s="5">
        <f t="shared" si="60"/>
        <v>0.6</v>
      </c>
      <c r="U447">
        <v>265</v>
      </c>
      <c r="V447">
        <v>1</v>
      </c>
      <c r="W447">
        <v>1</v>
      </c>
      <c r="X447">
        <v>1</v>
      </c>
      <c r="AB447">
        <f t="shared" si="57"/>
        <v>0</v>
      </c>
      <c r="AC447">
        <f t="shared" si="58"/>
        <v>0</v>
      </c>
      <c r="AD447">
        <f t="shared" si="59"/>
        <v>0</v>
      </c>
      <c r="AE447">
        <f t="shared" si="61"/>
        <v>0</v>
      </c>
      <c r="AG447">
        <f t="shared" si="62"/>
        <v>0</v>
      </c>
    </row>
    <row r="448" spans="1:33" x14ac:dyDescent="0.25">
      <c r="A448">
        <v>301</v>
      </c>
      <c r="B448">
        <f>IFERROR(VLOOKUP(A448,Capacity!$A$3:$D$532,4,), "0")</f>
        <v>7.6969018699999987</v>
      </c>
      <c r="C448" s="4">
        <f>IFERROR(VLOOKUP(A448,Capacity!$A$3:$F$532,6,), "0")</f>
        <v>0.17499999999999999</v>
      </c>
      <c r="D448">
        <v>499</v>
      </c>
      <c r="E448">
        <f>IFERROR(VLOOKUP(D448,Capacity!$A$3:$D$532,4,), "0")</f>
        <v>7.6969018699999987</v>
      </c>
      <c r="F448" s="4">
        <f>IFERROR(VLOOKUP(D448,Capacity!$A$3:$F$532,6,), "0")</f>
        <v>0.17499999999999999</v>
      </c>
      <c r="H448" t="str">
        <f>IFERROR(VLOOKUP(G448,Capacity!$A$3:$D$532,4,), "0")</f>
        <v>0</v>
      </c>
      <c r="I448" s="4" t="str">
        <f>IFERROR(VLOOKUP(G448,Capacity!$A$3:$F$532,6,), "0")</f>
        <v>0</v>
      </c>
      <c r="K448" t="str">
        <f>IFERROR(VLOOKUP(J448,Capacity!$A$3:$D$532,4,), "0")</f>
        <v>0</v>
      </c>
      <c r="L448" s="4" t="str">
        <f>IFERROR(VLOOKUP(J448,Capacity!$A$3:$F$532,6,), "0")</f>
        <v>0</v>
      </c>
      <c r="M448" s="5">
        <f t="shared" si="54"/>
        <v>7.6969018699999987</v>
      </c>
      <c r="N448" s="5">
        <f t="shared" si="55"/>
        <v>0.17499999999999999</v>
      </c>
      <c r="O448">
        <v>300</v>
      </c>
      <c r="P448">
        <f>IFERROR(VLOOKUP(O448,Capacity!$A$3:$D$532,4,), "0")</f>
        <v>48.536034873700011</v>
      </c>
      <c r="Q448" s="4">
        <f>IFERROR(VLOOKUP(O448,Capacity!$A$3:$F$532,6,), "0")</f>
        <v>0.26500000000000001</v>
      </c>
      <c r="R448" s="5">
        <f t="shared" si="56"/>
        <v>48.536034873700011</v>
      </c>
      <c r="S448" s="5">
        <f t="shared" si="60"/>
        <v>0.26500000000000001</v>
      </c>
      <c r="U448">
        <v>301</v>
      </c>
      <c r="V448">
        <v>1</v>
      </c>
      <c r="W448">
        <v>1</v>
      </c>
      <c r="X448">
        <v>1</v>
      </c>
      <c r="AB448">
        <f t="shared" si="57"/>
        <v>0.1585811838570827</v>
      </c>
      <c r="AC448">
        <f t="shared" si="58"/>
        <v>1</v>
      </c>
      <c r="AD448">
        <f t="shared" si="59"/>
        <v>0.660377358490566</v>
      </c>
      <c r="AE448">
        <f t="shared" si="61"/>
        <v>1</v>
      </c>
      <c r="AG448">
        <f t="shared" si="62"/>
        <v>0.13687533171317631</v>
      </c>
    </row>
    <row r="449" spans="1:33" x14ac:dyDescent="0.25">
      <c r="A449">
        <v>302</v>
      </c>
      <c r="B449">
        <f>IFERROR(VLOOKUP(A449,Capacity!$A$3:$D$532,4,), "0")</f>
        <v>6.2831852000000019</v>
      </c>
      <c r="C449" s="4">
        <f>IFERROR(VLOOKUP(A449,Capacity!$A$3:$F$532,6,), "0")</f>
        <v>0.2</v>
      </c>
      <c r="E449" t="str">
        <f>IFERROR(VLOOKUP(D449,Capacity!$A$3:$D$532,4,), "0")</f>
        <v>0</v>
      </c>
      <c r="F449" s="4" t="str">
        <f>IFERROR(VLOOKUP(D449,Capacity!$A$3:$F$532,6,), "0")</f>
        <v>0</v>
      </c>
      <c r="H449" t="str">
        <f>IFERROR(VLOOKUP(G449,Capacity!$A$3:$D$532,4,), "0")</f>
        <v>0</v>
      </c>
      <c r="I449" s="4" t="str">
        <f>IFERROR(VLOOKUP(G449,Capacity!$A$3:$F$532,6,), "0")</f>
        <v>0</v>
      </c>
      <c r="K449" t="str">
        <f>IFERROR(VLOOKUP(J449,Capacity!$A$3:$D$532,4,), "0")</f>
        <v>0</v>
      </c>
      <c r="L449" s="4" t="str">
        <f>IFERROR(VLOOKUP(J449,Capacity!$A$3:$F$532,6,), "0")</f>
        <v>0</v>
      </c>
      <c r="M449" s="5">
        <f t="shared" si="54"/>
        <v>0</v>
      </c>
      <c r="N449" s="5">
        <f t="shared" si="55"/>
        <v>0</v>
      </c>
      <c r="O449">
        <v>303</v>
      </c>
      <c r="P449">
        <f>IFERROR(VLOOKUP(O449,Capacity!$A$3:$D$532,4,), "0")</f>
        <v>226.1946672</v>
      </c>
      <c r="Q449" s="4">
        <f>IFERROR(VLOOKUP(O449,Capacity!$A$3:$F$532,6,), "0")</f>
        <v>0.6</v>
      </c>
      <c r="R449" s="5">
        <f t="shared" si="56"/>
        <v>226.1946672</v>
      </c>
      <c r="S449" s="5">
        <f t="shared" si="60"/>
        <v>0.6</v>
      </c>
      <c r="U449">
        <v>302</v>
      </c>
      <c r="V449">
        <v>1</v>
      </c>
      <c r="W449">
        <v>1</v>
      </c>
      <c r="X449">
        <v>1</v>
      </c>
      <c r="AB449">
        <f t="shared" si="57"/>
        <v>0</v>
      </c>
      <c r="AC449">
        <f t="shared" si="58"/>
        <v>0</v>
      </c>
      <c r="AD449">
        <f t="shared" si="59"/>
        <v>0</v>
      </c>
      <c r="AE449">
        <f t="shared" si="61"/>
        <v>0</v>
      </c>
      <c r="AG449">
        <f t="shared" si="62"/>
        <v>0</v>
      </c>
    </row>
    <row r="450" spans="1:33" x14ac:dyDescent="0.25">
      <c r="A450">
        <v>304</v>
      </c>
      <c r="B450">
        <f>IFERROR(VLOOKUP(A450,Capacity!$A$3:$D$532,4,), "0")</f>
        <v>192.26546711999998</v>
      </c>
      <c r="C450" s="4">
        <f>IFERROR(VLOOKUP(A450,Capacity!$A$3:$F$532,6,), "0")</f>
        <v>0.6</v>
      </c>
      <c r="D450">
        <v>305</v>
      </c>
      <c r="E450">
        <f>IFERROR(VLOOKUP(D450,Capacity!$A$3:$D$532,4,), "0")</f>
        <v>203.57520048000001</v>
      </c>
      <c r="F450" s="4">
        <f>IFERROR(VLOOKUP(D450,Capacity!$A$3:$F$532,6,), "0")</f>
        <v>0.6</v>
      </c>
      <c r="G450">
        <v>296</v>
      </c>
      <c r="H450">
        <f>IFERROR(VLOOKUP(G450,Capacity!$A$3:$D$532,4,), "0")</f>
        <v>22.619466720000005</v>
      </c>
      <c r="I450" s="4">
        <f>IFERROR(VLOOKUP(G450,Capacity!$A$3:$F$532,6,), "0")</f>
        <v>0.2</v>
      </c>
      <c r="K450" t="str">
        <f>IFERROR(VLOOKUP(J450,Capacity!$A$3:$D$532,4,), "0")</f>
        <v>0</v>
      </c>
      <c r="L450" s="4" t="str">
        <f>IFERROR(VLOOKUP(J450,Capacity!$A$3:$F$532,6,), "0")</f>
        <v>0</v>
      </c>
      <c r="M450" s="5">
        <f t="shared" ref="M450:M513" si="63">$E450+$H450+$K450</f>
        <v>226.19466720000003</v>
      </c>
      <c r="N450" s="5">
        <f t="shared" si="55"/>
        <v>0.8</v>
      </c>
      <c r="O450">
        <v>303</v>
      </c>
      <c r="P450">
        <f>IFERROR(VLOOKUP(O450,Capacity!$A$3:$D$532,4,), "0")</f>
        <v>226.1946672</v>
      </c>
      <c r="Q450" s="4">
        <f>IFERROR(VLOOKUP(O450,Capacity!$A$3:$F$532,6,), "0")</f>
        <v>0.6</v>
      </c>
      <c r="R450" s="5">
        <f t="shared" si="56"/>
        <v>226.1946672</v>
      </c>
      <c r="S450" s="5">
        <f t="shared" si="60"/>
        <v>0.6</v>
      </c>
      <c r="U450">
        <v>304</v>
      </c>
      <c r="V450">
        <v>3</v>
      </c>
      <c r="W450">
        <v>3</v>
      </c>
      <c r="X450">
        <v>1</v>
      </c>
      <c r="AB450">
        <f t="shared" si="57"/>
        <v>1.0000000000000002</v>
      </c>
      <c r="AC450">
        <f t="shared" si="58"/>
        <v>1.1764705882352944</v>
      </c>
      <c r="AD450">
        <f t="shared" si="59"/>
        <v>1.3333333333333335</v>
      </c>
      <c r="AE450">
        <f t="shared" si="61"/>
        <v>1.3333333333333335</v>
      </c>
      <c r="AG450">
        <f t="shared" si="62"/>
        <v>0.54054054054054068</v>
      </c>
    </row>
    <row r="451" spans="1:33" x14ac:dyDescent="0.25">
      <c r="A451">
        <v>272</v>
      </c>
      <c r="B451">
        <f>IFERROR(VLOOKUP(A451,Capacity!$A$3:$D$532,4,), "0")</f>
        <v>52.916200356249988</v>
      </c>
      <c r="C451" s="4">
        <f>IFERROR(VLOOKUP(A451,Capacity!$A$3:$F$532,6,), "0")</f>
        <v>0.17499999999999999</v>
      </c>
      <c r="E451" t="str">
        <f>IFERROR(VLOOKUP(D451,Capacity!$A$3:$D$532,4,), "0")</f>
        <v>0</v>
      </c>
      <c r="F451" s="4" t="str">
        <f>IFERROR(VLOOKUP(D451,Capacity!$A$3:$F$532,6,), "0")</f>
        <v>0</v>
      </c>
      <c r="H451" t="str">
        <f>IFERROR(VLOOKUP(G451,Capacity!$A$3:$D$532,4,), "0")</f>
        <v>0</v>
      </c>
      <c r="I451" s="4" t="str">
        <f>IFERROR(VLOOKUP(G451,Capacity!$A$3:$F$532,6,), "0")</f>
        <v>0</v>
      </c>
      <c r="K451" t="str">
        <f>IFERROR(VLOOKUP(J451,Capacity!$A$3:$D$532,4,), "0")</f>
        <v>0</v>
      </c>
      <c r="L451" s="4" t="str">
        <f>IFERROR(VLOOKUP(J451,Capacity!$A$3:$F$532,6,), "0")</f>
        <v>0</v>
      </c>
      <c r="M451" s="5">
        <f t="shared" si="63"/>
        <v>0</v>
      </c>
      <c r="N451" s="5">
        <f t="shared" ref="N451:N514" si="64">$F451+$I451+$L451</f>
        <v>0</v>
      </c>
      <c r="O451">
        <v>303</v>
      </c>
      <c r="P451">
        <f>IFERROR(VLOOKUP(O451,Capacity!$A$3:$D$532,4,), "0")</f>
        <v>226.1946672</v>
      </c>
      <c r="Q451" s="4">
        <f>IFERROR(VLOOKUP(O451,Capacity!$A$3:$F$532,6,), "0")</f>
        <v>0.6</v>
      </c>
      <c r="R451" s="5">
        <f t="shared" ref="R451:R514" si="65">$P451</f>
        <v>226.1946672</v>
      </c>
      <c r="S451" s="5">
        <f t="shared" si="60"/>
        <v>0.6</v>
      </c>
      <c r="U451">
        <v>272</v>
      </c>
      <c r="V451">
        <v>0</v>
      </c>
      <c r="W451">
        <v>0</v>
      </c>
      <c r="X451">
        <v>1</v>
      </c>
      <c r="AB451">
        <f t="shared" ref="AB451:AB514" si="66">($M451/$R451)</f>
        <v>0</v>
      </c>
      <c r="AC451">
        <f t="shared" ref="AC451:AC514" si="67">($M451/$B451)</f>
        <v>0</v>
      </c>
      <c r="AD451">
        <f t="shared" ref="AD451:AD514" si="68">($N451/$S451)</f>
        <v>0</v>
      </c>
      <c r="AE451">
        <f t="shared" si="61"/>
        <v>0</v>
      </c>
      <c r="AG451">
        <f t="shared" si="62"/>
        <v>0</v>
      </c>
    </row>
    <row r="452" spans="1:33" x14ac:dyDescent="0.25">
      <c r="A452">
        <v>498</v>
      </c>
      <c r="B452">
        <f>IFERROR(VLOOKUP(A452,Capacity!$A$3:$D$532,4,), "0")</f>
        <v>110.58405952000003</v>
      </c>
      <c r="C452" s="4">
        <f>IFERROR(VLOOKUP(A452,Capacity!$A$3:$F$532,6,), "0")</f>
        <v>0.4</v>
      </c>
      <c r="E452" t="str">
        <f>IFERROR(VLOOKUP(D452,Capacity!$A$3:$D$532,4,), "0")</f>
        <v>0</v>
      </c>
      <c r="F452" s="4" t="str">
        <f>IFERROR(VLOOKUP(D452,Capacity!$A$3:$F$532,6,), "0")</f>
        <v>0</v>
      </c>
      <c r="H452" t="str">
        <f>IFERROR(VLOOKUP(G452,Capacity!$A$3:$D$532,4,), "0")</f>
        <v>0</v>
      </c>
      <c r="I452" s="4" t="str">
        <f>IFERROR(VLOOKUP(G452,Capacity!$A$3:$F$532,6,), "0")</f>
        <v>0</v>
      </c>
      <c r="K452" t="str">
        <f>IFERROR(VLOOKUP(J452,Capacity!$A$3:$D$532,4,), "0")</f>
        <v>0</v>
      </c>
      <c r="L452" s="4" t="str">
        <f>IFERROR(VLOOKUP(J452,Capacity!$A$3:$F$532,6,), "0")</f>
        <v>0</v>
      </c>
      <c r="M452" s="5">
        <f t="shared" si="63"/>
        <v>0</v>
      </c>
      <c r="N452" s="5">
        <f t="shared" si="64"/>
        <v>0</v>
      </c>
      <c r="O452">
        <v>297</v>
      </c>
      <c r="P452">
        <f>IFERROR(VLOOKUP(O452,Capacity!$A$3:$D$532,4,), "0")</f>
        <v>10.053096320000002</v>
      </c>
      <c r="Q452" s="4">
        <f>IFERROR(VLOOKUP(O452,Capacity!$A$3:$F$532,6,), "0")</f>
        <v>0.2</v>
      </c>
      <c r="R452" s="5">
        <f t="shared" si="65"/>
        <v>10.053096320000002</v>
      </c>
      <c r="S452" s="5">
        <f t="shared" ref="S452:S515" si="69">$Q452</f>
        <v>0.2</v>
      </c>
      <c r="U452">
        <v>498</v>
      </c>
      <c r="V452">
        <v>0</v>
      </c>
      <c r="W452">
        <v>0</v>
      </c>
      <c r="X452">
        <v>1</v>
      </c>
      <c r="AB452">
        <f t="shared" si="66"/>
        <v>0</v>
      </c>
      <c r="AC452">
        <f t="shared" si="67"/>
        <v>0</v>
      </c>
      <c r="AD452">
        <f t="shared" si="68"/>
        <v>0</v>
      </c>
      <c r="AE452">
        <f t="shared" ref="AE452:AE515" si="70">($N452/$C452)</f>
        <v>0</v>
      </c>
      <c r="AG452">
        <f t="shared" ref="AG452:AG515" si="71">$M452/($R452+$B452)</f>
        <v>0</v>
      </c>
    </row>
    <row r="453" spans="1:33" x14ac:dyDescent="0.25">
      <c r="A453">
        <v>488</v>
      </c>
      <c r="B453">
        <f>IFERROR(VLOOKUP(A453,Capacity!$A$3:$D$532,4,), "0")</f>
        <v>42.411500099999998</v>
      </c>
      <c r="C453" s="4">
        <f>IFERROR(VLOOKUP(A453,Capacity!$A$3:$F$532,6,), "0")</f>
        <v>0.3</v>
      </c>
      <c r="E453" t="str">
        <f>IFERROR(VLOOKUP(D453,Capacity!$A$3:$D$532,4,), "0")</f>
        <v>0</v>
      </c>
      <c r="F453" s="4" t="str">
        <f>IFERROR(VLOOKUP(D453,Capacity!$A$3:$F$532,6,), "0")</f>
        <v>0</v>
      </c>
      <c r="H453" t="str">
        <f>IFERROR(VLOOKUP(G453,Capacity!$A$3:$D$532,4,), "0")</f>
        <v>0</v>
      </c>
      <c r="I453" s="4" t="str">
        <f>IFERROR(VLOOKUP(G453,Capacity!$A$3:$F$532,6,), "0")</f>
        <v>0</v>
      </c>
      <c r="K453" t="str">
        <f>IFERROR(VLOOKUP(J453,Capacity!$A$3:$D$532,4,), "0")</f>
        <v>0</v>
      </c>
      <c r="L453" s="4" t="str">
        <f>IFERROR(VLOOKUP(J453,Capacity!$A$3:$F$532,6,), "0")</f>
        <v>0</v>
      </c>
      <c r="M453" s="5">
        <f t="shared" si="63"/>
        <v>0</v>
      </c>
      <c r="N453" s="5">
        <f t="shared" si="64"/>
        <v>0</v>
      </c>
      <c r="O453">
        <v>297</v>
      </c>
      <c r="P453">
        <f>IFERROR(VLOOKUP(O453,Capacity!$A$3:$D$532,4,), "0")</f>
        <v>10.053096320000002</v>
      </c>
      <c r="Q453" s="4">
        <f>IFERROR(VLOOKUP(O453,Capacity!$A$3:$F$532,6,), "0")</f>
        <v>0.2</v>
      </c>
      <c r="R453" s="5">
        <f t="shared" si="65"/>
        <v>10.053096320000002</v>
      </c>
      <c r="S453" s="5">
        <f t="shared" si="69"/>
        <v>0.2</v>
      </c>
      <c r="U453">
        <v>488</v>
      </c>
      <c r="V453">
        <v>0</v>
      </c>
      <c r="W453">
        <v>0</v>
      </c>
      <c r="X453">
        <v>1</v>
      </c>
      <c r="AB453">
        <f t="shared" si="66"/>
        <v>0</v>
      </c>
      <c r="AC453">
        <f t="shared" si="67"/>
        <v>0</v>
      </c>
      <c r="AD453">
        <f t="shared" si="68"/>
        <v>0</v>
      </c>
      <c r="AE453">
        <f t="shared" si="70"/>
        <v>0</v>
      </c>
      <c r="AG453">
        <f t="shared" si="71"/>
        <v>0</v>
      </c>
    </row>
    <row r="454" spans="1:33" x14ac:dyDescent="0.25">
      <c r="A454">
        <v>283</v>
      </c>
      <c r="B454">
        <f>IFERROR(VLOOKUP(A454,Capacity!$A$3:$D$532,4,), "0")</f>
        <v>62.831851999999998</v>
      </c>
      <c r="C454" s="4">
        <f>IFERROR(VLOOKUP(A454,Capacity!$A$3:$F$532,6,), "0")</f>
        <v>0.5</v>
      </c>
      <c r="D454">
        <v>285</v>
      </c>
      <c r="E454">
        <f>IFERROR(VLOOKUP(D454,Capacity!$A$3:$D$532,4,), "0")</f>
        <v>58.904861250000003</v>
      </c>
      <c r="F454" s="4">
        <f>IFERROR(VLOOKUP(D454,Capacity!$A$3:$F$532,6,), "0")</f>
        <v>0.5</v>
      </c>
      <c r="H454" t="str">
        <f>IFERROR(VLOOKUP(G454,Capacity!$A$3:$D$532,4,), "0")</f>
        <v>0</v>
      </c>
      <c r="I454" s="4" t="str">
        <f>IFERROR(VLOOKUP(G454,Capacity!$A$3:$F$532,6,), "0")</f>
        <v>0</v>
      </c>
      <c r="K454" t="str">
        <f>IFERROR(VLOOKUP(J454,Capacity!$A$3:$D$532,4,), "0")</f>
        <v>0</v>
      </c>
      <c r="L454" s="4" t="str">
        <f>IFERROR(VLOOKUP(J454,Capacity!$A$3:$F$532,6,), "0")</f>
        <v>0</v>
      </c>
      <c r="M454" s="5">
        <f t="shared" si="63"/>
        <v>58.904861250000003</v>
      </c>
      <c r="N454" s="5">
        <f t="shared" si="64"/>
        <v>0.5</v>
      </c>
      <c r="O454">
        <v>282</v>
      </c>
      <c r="P454">
        <f>IFERROR(VLOOKUP(O454,Capacity!$A$3:$D$532,4,), "0")</f>
        <v>84.823000199999996</v>
      </c>
      <c r="Q454" s="4">
        <f>IFERROR(VLOOKUP(O454,Capacity!$A$3:$F$532,6,), "0")</f>
        <v>0.6</v>
      </c>
      <c r="R454" s="5">
        <f t="shared" si="65"/>
        <v>84.823000199999996</v>
      </c>
      <c r="S454" s="5">
        <f t="shared" si="69"/>
        <v>0.6</v>
      </c>
      <c r="U454">
        <v>283</v>
      </c>
      <c r="V454">
        <v>1</v>
      </c>
      <c r="W454">
        <v>1</v>
      </c>
      <c r="X454">
        <v>1</v>
      </c>
      <c r="AB454">
        <f t="shared" si="66"/>
        <v>0.69444444444444453</v>
      </c>
      <c r="AC454">
        <f t="shared" si="67"/>
        <v>0.93750000000000011</v>
      </c>
      <c r="AD454">
        <f t="shared" si="68"/>
        <v>0.83333333333333337</v>
      </c>
      <c r="AE454">
        <f t="shared" si="70"/>
        <v>1</v>
      </c>
      <c r="AG454">
        <f t="shared" si="71"/>
        <v>0.39893617021276601</v>
      </c>
    </row>
    <row r="455" spans="1:33" x14ac:dyDescent="0.25">
      <c r="A455">
        <v>281</v>
      </c>
      <c r="B455">
        <f>IFERROR(VLOOKUP(A455,Capacity!$A$3:$D$532,4,), "0")</f>
        <v>42.411500099999998</v>
      </c>
      <c r="C455" s="4">
        <f>IFERROR(VLOOKUP(A455,Capacity!$A$3:$F$532,6,), "0")</f>
        <v>0.3</v>
      </c>
      <c r="D455">
        <v>113</v>
      </c>
      <c r="E455">
        <f>IFERROR(VLOOKUP(D455,Capacity!$A$3:$D$532,4,), "0")</f>
        <v>25.446900060000001</v>
      </c>
      <c r="F455" s="4">
        <f>IFERROR(VLOOKUP(D455,Capacity!$A$3:$F$532,6,), "0")</f>
        <v>0.3</v>
      </c>
      <c r="H455" t="str">
        <f>IFERROR(VLOOKUP(G455,Capacity!$A$3:$D$532,4,), "0")</f>
        <v>0</v>
      </c>
      <c r="I455" s="4" t="str">
        <f>IFERROR(VLOOKUP(G455,Capacity!$A$3:$F$532,6,), "0")</f>
        <v>0</v>
      </c>
      <c r="K455" t="str">
        <f>IFERROR(VLOOKUP(J455,Capacity!$A$3:$D$532,4,), "0")</f>
        <v>0</v>
      </c>
      <c r="L455" s="4" t="str">
        <f>IFERROR(VLOOKUP(J455,Capacity!$A$3:$F$532,6,), "0")</f>
        <v>0</v>
      </c>
      <c r="M455" s="5">
        <f t="shared" si="63"/>
        <v>25.446900060000001</v>
      </c>
      <c r="N455" s="5">
        <f t="shared" si="64"/>
        <v>0.3</v>
      </c>
      <c r="O455">
        <v>282</v>
      </c>
      <c r="P455">
        <f>IFERROR(VLOOKUP(O455,Capacity!$A$3:$D$532,4,), "0")</f>
        <v>84.823000199999996</v>
      </c>
      <c r="Q455" s="4">
        <f>IFERROR(VLOOKUP(O455,Capacity!$A$3:$F$532,6,), "0")</f>
        <v>0.6</v>
      </c>
      <c r="R455" s="5">
        <f t="shared" si="65"/>
        <v>84.823000199999996</v>
      </c>
      <c r="S455" s="5">
        <f t="shared" si="69"/>
        <v>0.6</v>
      </c>
      <c r="U455">
        <v>281</v>
      </c>
      <c r="V455">
        <v>2</v>
      </c>
      <c r="W455">
        <v>2</v>
      </c>
      <c r="X455">
        <v>1</v>
      </c>
      <c r="AB455">
        <f t="shared" si="66"/>
        <v>0.30000000000000004</v>
      </c>
      <c r="AC455">
        <f t="shared" si="67"/>
        <v>0.60000000000000009</v>
      </c>
      <c r="AD455">
        <f t="shared" si="68"/>
        <v>0.5</v>
      </c>
      <c r="AE455">
        <f t="shared" si="70"/>
        <v>1</v>
      </c>
      <c r="AG455">
        <f t="shared" si="71"/>
        <v>0.2</v>
      </c>
    </row>
    <row r="456" spans="1:33" x14ac:dyDescent="0.25">
      <c r="A456">
        <v>499</v>
      </c>
      <c r="B456">
        <f>IFERROR(VLOOKUP(A456,Capacity!$A$3:$D$532,4,), "0")</f>
        <v>7.6969018699999987</v>
      </c>
      <c r="C456" s="4">
        <f>IFERROR(VLOOKUP(A456,Capacity!$A$3:$F$532,6,), "0")</f>
        <v>0.17499999999999999</v>
      </c>
      <c r="E456" t="str">
        <f>IFERROR(VLOOKUP(D456,Capacity!$A$3:$D$532,4,), "0")</f>
        <v>0</v>
      </c>
      <c r="F456" s="4" t="str">
        <f>IFERROR(VLOOKUP(D456,Capacity!$A$3:$F$532,6,), "0")</f>
        <v>0</v>
      </c>
      <c r="H456" t="str">
        <f>IFERROR(VLOOKUP(G456,Capacity!$A$3:$D$532,4,), "0")</f>
        <v>0</v>
      </c>
      <c r="I456" s="4" t="str">
        <f>IFERROR(VLOOKUP(G456,Capacity!$A$3:$F$532,6,), "0")</f>
        <v>0</v>
      </c>
      <c r="K456" t="str">
        <f>IFERROR(VLOOKUP(J456,Capacity!$A$3:$D$532,4,), "0")</f>
        <v>0</v>
      </c>
      <c r="L456" s="4" t="str">
        <f>IFERROR(VLOOKUP(J456,Capacity!$A$3:$F$532,6,), "0")</f>
        <v>0</v>
      </c>
      <c r="M456" s="5">
        <f t="shared" si="63"/>
        <v>0</v>
      </c>
      <c r="N456" s="5">
        <f t="shared" si="64"/>
        <v>0</v>
      </c>
      <c r="O456">
        <v>301</v>
      </c>
      <c r="P456">
        <f>IFERROR(VLOOKUP(O456,Capacity!$A$3:$D$532,4,), "0")</f>
        <v>7.6969018699999987</v>
      </c>
      <c r="Q456" s="4">
        <f>IFERROR(VLOOKUP(O456,Capacity!$A$3:$F$532,6,), "0")</f>
        <v>0.17499999999999999</v>
      </c>
      <c r="R456" s="5">
        <f t="shared" si="65"/>
        <v>7.6969018699999987</v>
      </c>
      <c r="S456" s="5">
        <f t="shared" si="69"/>
        <v>0.17499999999999999</v>
      </c>
      <c r="U456">
        <v>499</v>
      </c>
      <c r="V456">
        <v>0</v>
      </c>
      <c r="W456">
        <v>0</v>
      </c>
      <c r="X456">
        <v>1</v>
      </c>
      <c r="AB456">
        <f t="shared" si="66"/>
        <v>0</v>
      </c>
      <c r="AC456">
        <f t="shared" si="67"/>
        <v>0</v>
      </c>
      <c r="AD456">
        <f t="shared" si="68"/>
        <v>0</v>
      </c>
      <c r="AE456">
        <f t="shared" si="70"/>
        <v>0</v>
      </c>
      <c r="AG456">
        <f t="shared" si="71"/>
        <v>0</v>
      </c>
    </row>
    <row r="457" spans="1:33" x14ac:dyDescent="0.25">
      <c r="A457">
        <v>296</v>
      </c>
      <c r="B457">
        <f>IFERROR(VLOOKUP(A457,Capacity!$A$3:$D$532,4,), "0")</f>
        <v>22.619466720000005</v>
      </c>
      <c r="C457" s="4">
        <f>IFERROR(VLOOKUP(A457,Capacity!$A$3:$F$532,6,), "0")</f>
        <v>0.2</v>
      </c>
      <c r="D457">
        <v>494</v>
      </c>
      <c r="E457">
        <f>IFERROR(VLOOKUP(D457,Capacity!$A$3:$D$532,4,), "0")</f>
        <v>15.393803739999997</v>
      </c>
      <c r="F457" s="4">
        <f>IFERROR(VLOOKUP(D457,Capacity!$A$3:$F$532,6,), "0")</f>
        <v>0.17499999999999999</v>
      </c>
      <c r="G457">
        <v>489</v>
      </c>
      <c r="H457">
        <f>IFERROR(VLOOKUP(G457,Capacity!$A$3:$D$532,4,), "0")</f>
        <v>14.431691006249999</v>
      </c>
      <c r="I457" s="4">
        <f>IFERROR(VLOOKUP(G457,Capacity!$A$3:$F$532,6,), "0")</f>
        <v>0.17499999999999999</v>
      </c>
      <c r="K457" t="str">
        <f>IFERROR(VLOOKUP(J457,Capacity!$A$3:$D$532,4,), "0")</f>
        <v>0</v>
      </c>
      <c r="L457" s="4" t="str">
        <f>IFERROR(VLOOKUP(J457,Capacity!$A$3:$F$532,6,), "0")</f>
        <v>0</v>
      </c>
      <c r="M457" s="5">
        <f t="shared" si="63"/>
        <v>29.825494746249994</v>
      </c>
      <c r="N457" s="5">
        <f t="shared" si="64"/>
        <v>0.35</v>
      </c>
      <c r="O457">
        <v>304</v>
      </c>
      <c r="P457">
        <f>IFERROR(VLOOKUP(O457,Capacity!$A$3:$D$532,4,), "0")</f>
        <v>192.26546711999998</v>
      </c>
      <c r="Q457" s="4">
        <f>IFERROR(VLOOKUP(O457,Capacity!$A$3:$F$532,6,), "0")</f>
        <v>0.6</v>
      </c>
      <c r="R457" s="5">
        <f t="shared" si="65"/>
        <v>192.26546711999998</v>
      </c>
      <c r="S457" s="5">
        <f t="shared" si="69"/>
        <v>0.6</v>
      </c>
      <c r="U457">
        <v>296</v>
      </c>
      <c r="V457">
        <v>3</v>
      </c>
      <c r="W457">
        <v>3</v>
      </c>
      <c r="X457">
        <v>1</v>
      </c>
      <c r="AB457">
        <f t="shared" si="66"/>
        <v>0.15512663398692808</v>
      </c>
      <c r="AC457">
        <f t="shared" si="67"/>
        <v>1.3185763888888884</v>
      </c>
      <c r="AD457">
        <f t="shared" si="68"/>
        <v>0.58333333333333337</v>
      </c>
      <c r="AE457">
        <f t="shared" si="70"/>
        <v>1.7499999999999998</v>
      </c>
      <c r="AG457">
        <f t="shared" si="71"/>
        <v>0.13879751461988304</v>
      </c>
    </row>
    <row r="458" spans="1:33" x14ac:dyDescent="0.25">
      <c r="A458">
        <v>305</v>
      </c>
      <c r="B458">
        <f>IFERROR(VLOOKUP(A458,Capacity!$A$3:$D$532,4,), "0")</f>
        <v>203.57520048000001</v>
      </c>
      <c r="C458" s="4">
        <f>IFERROR(VLOOKUP(A458,Capacity!$A$3:$F$532,6,), "0")</f>
        <v>0.6</v>
      </c>
      <c r="D458">
        <v>293</v>
      </c>
      <c r="E458">
        <f>IFERROR(VLOOKUP(D458,Capacity!$A$3:$D$532,4,), "0")</f>
        <v>70.685833500000001</v>
      </c>
      <c r="F458" s="4">
        <f>IFERROR(VLOOKUP(D458,Capacity!$A$3:$F$532,6,), "0")</f>
        <v>0.5</v>
      </c>
      <c r="G458">
        <v>294</v>
      </c>
      <c r="H458">
        <f>IFERROR(VLOOKUP(G458,Capacity!$A$3:$D$532,4,), "0")</f>
        <v>7.6969018699999987</v>
      </c>
      <c r="I458" s="4">
        <f>IFERROR(VLOOKUP(G458,Capacity!$A$3:$F$532,6,), "0")</f>
        <v>0.17499999999999999</v>
      </c>
      <c r="K458" t="str">
        <f>IFERROR(VLOOKUP(J458,Capacity!$A$3:$D$532,4,), "0")</f>
        <v>0</v>
      </c>
      <c r="L458" s="4" t="str">
        <f>IFERROR(VLOOKUP(J458,Capacity!$A$3:$F$532,6,), "0")</f>
        <v>0</v>
      </c>
      <c r="M458" s="5">
        <f t="shared" si="63"/>
        <v>78.382735370000006</v>
      </c>
      <c r="N458" s="5">
        <f t="shared" si="64"/>
        <v>0.67500000000000004</v>
      </c>
      <c r="O458">
        <v>304</v>
      </c>
      <c r="P458">
        <f>IFERROR(VLOOKUP(O458,Capacity!$A$3:$D$532,4,), "0")</f>
        <v>192.26546711999998</v>
      </c>
      <c r="Q458" s="4">
        <f>IFERROR(VLOOKUP(O458,Capacity!$A$3:$F$532,6,), "0")</f>
        <v>0.6</v>
      </c>
      <c r="R458" s="5">
        <f t="shared" si="65"/>
        <v>192.26546711999998</v>
      </c>
      <c r="S458" s="5">
        <f t="shared" si="69"/>
        <v>0.6</v>
      </c>
      <c r="U458">
        <v>305</v>
      </c>
      <c r="V458">
        <v>3</v>
      </c>
      <c r="W458">
        <v>3</v>
      </c>
      <c r="X458">
        <v>1</v>
      </c>
      <c r="AB458">
        <f t="shared" si="66"/>
        <v>0.40767973856209155</v>
      </c>
      <c r="AC458">
        <f t="shared" si="67"/>
        <v>0.38503086419753091</v>
      </c>
      <c r="AD458">
        <f t="shared" si="68"/>
        <v>1.1250000000000002</v>
      </c>
      <c r="AE458">
        <f t="shared" si="70"/>
        <v>1.1250000000000002</v>
      </c>
      <c r="AG458">
        <f t="shared" si="71"/>
        <v>0.19801587301587306</v>
      </c>
    </row>
    <row r="459" spans="1:33" x14ac:dyDescent="0.25">
      <c r="A459">
        <v>113</v>
      </c>
      <c r="B459">
        <f>IFERROR(VLOOKUP(A459,Capacity!$A$3:$D$532,4,), "0")</f>
        <v>25.446900060000001</v>
      </c>
      <c r="C459" s="4">
        <f>IFERROR(VLOOKUP(A459,Capacity!$A$3:$F$532,6,), "0")</f>
        <v>0.3</v>
      </c>
      <c r="D459">
        <v>101</v>
      </c>
      <c r="E459">
        <f>IFERROR(VLOOKUP(D459,Capacity!$A$3:$D$532,4,), "0")</f>
        <v>19.855650630150002</v>
      </c>
      <c r="F459" s="4">
        <f>IFERROR(VLOOKUP(D459,Capacity!$A$3:$F$532,6,), "0")</f>
        <v>0.26500000000000001</v>
      </c>
      <c r="H459" t="str">
        <f>IFERROR(VLOOKUP(G459,Capacity!$A$3:$D$532,4,), "0")</f>
        <v>0</v>
      </c>
      <c r="I459" s="4" t="str">
        <f>IFERROR(VLOOKUP(G459,Capacity!$A$3:$F$532,6,), "0")</f>
        <v>0</v>
      </c>
      <c r="K459" t="str">
        <f>IFERROR(VLOOKUP(J459,Capacity!$A$3:$D$532,4,), "0")</f>
        <v>0</v>
      </c>
      <c r="L459" s="4" t="str">
        <f>IFERROR(VLOOKUP(J459,Capacity!$A$3:$F$532,6,), "0")</f>
        <v>0</v>
      </c>
      <c r="M459" s="5">
        <f t="shared" si="63"/>
        <v>19.855650630150002</v>
      </c>
      <c r="N459" s="5">
        <f t="shared" si="64"/>
        <v>0.26500000000000001</v>
      </c>
      <c r="O459">
        <v>281</v>
      </c>
      <c r="P459">
        <f>IFERROR(VLOOKUP(O459,Capacity!$A$3:$D$532,4,), "0")</f>
        <v>42.411500099999998</v>
      </c>
      <c r="Q459" s="4">
        <f>IFERROR(VLOOKUP(O459,Capacity!$A$3:$F$532,6,), "0")</f>
        <v>0.3</v>
      </c>
      <c r="R459" s="5">
        <f t="shared" si="65"/>
        <v>42.411500099999998</v>
      </c>
      <c r="S459" s="5">
        <f t="shared" si="69"/>
        <v>0.3</v>
      </c>
      <c r="U459">
        <v>113</v>
      </c>
      <c r="V459">
        <v>2</v>
      </c>
      <c r="W459">
        <v>2</v>
      </c>
      <c r="X459">
        <v>1</v>
      </c>
      <c r="AB459">
        <f t="shared" si="66"/>
        <v>0.46816666666666673</v>
      </c>
      <c r="AC459">
        <f t="shared" si="67"/>
        <v>0.78027777777777785</v>
      </c>
      <c r="AD459">
        <f t="shared" si="68"/>
        <v>0.88333333333333341</v>
      </c>
      <c r="AE459">
        <f t="shared" si="70"/>
        <v>0.88333333333333341</v>
      </c>
      <c r="AG459">
        <f t="shared" si="71"/>
        <v>0.29260416666666667</v>
      </c>
    </row>
    <row r="460" spans="1:33" x14ac:dyDescent="0.25">
      <c r="A460">
        <v>285</v>
      </c>
      <c r="B460">
        <f>IFERROR(VLOOKUP(A460,Capacity!$A$3:$D$532,4,), "0")</f>
        <v>58.904861250000003</v>
      </c>
      <c r="C460" s="4">
        <f>IFERROR(VLOOKUP(A460,Capacity!$A$3:$F$532,6,), "0")</f>
        <v>0.5</v>
      </c>
      <c r="D460">
        <v>280</v>
      </c>
      <c r="E460">
        <f>IFERROR(VLOOKUP(D460,Capacity!$A$3:$D$532,4,), "0")</f>
        <v>14.431691006249999</v>
      </c>
      <c r="F460" s="4">
        <f>IFERROR(VLOOKUP(D460,Capacity!$A$3:$F$532,6,), "0")</f>
        <v>0.17499999999999999</v>
      </c>
      <c r="G460">
        <v>286</v>
      </c>
      <c r="H460">
        <f>IFERROR(VLOOKUP(G460,Capacity!$A$3:$D$532,4,), "0")</f>
        <v>77.911496480000025</v>
      </c>
      <c r="I460" s="4">
        <f>IFERROR(VLOOKUP(G460,Capacity!$A$3:$F$532,6,), "0")</f>
        <v>0.4</v>
      </c>
      <c r="K460" t="str">
        <f>IFERROR(VLOOKUP(J460,Capacity!$A$3:$D$532,4,), "0")</f>
        <v>0</v>
      </c>
      <c r="L460" s="4" t="str">
        <f>IFERROR(VLOOKUP(J460,Capacity!$A$3:$F$532,6,), "0")</f>
        <v>0</v>
      </c>
      <c r="M460" s="5">
        <f t="shared" si="63"/>
        <v>92.343187486250031</v>
      </c>
      <c r="N460" s="5">
        <f t="shared" si="64"/>
        <v>0.57499999999999996</v>
      </c>
      <c r="O460">
        <v>283</v>
      </c>
      <c r="P460">
        <f>IFERROR(VLOOKUP(O460,Capacity!$A$3:$D$532,4,), "0")</f>
        <v>62.831851999999998</v>
      </c>
      <c r="Q460" s="4">
        <f>IFERROR(VLOOKUP(O460,Capacity!$A$3:$F$532,6,), "0")</f>
        <v>0.5</v>
      </c>
      <c r="R460" s="5">
        <f t="shared" si="65"/>
        <v>62.831851999999998</v>
      </c>
      <c r="S460" s="5">
        <f t="shared" si="69"/>
        <v>0.5</v>
      </c>
      <c r="U460">
        <v>285</v>
      </c>
      <c r="V460">
        <v>2</v>
      </c>
      <c r="W460">
        <v>2</v>
      </c>
      <c r="X460">
        <v>1</v>
      </c>
      <c r="AB460">
        <f t="shared" si="66"/>
        <v>1.4696875000000005</v>
      </c>
      <c r="AC460">
        <f t="shared" si="67"/>
        <v>1.5676666666666672</v>
      </c>
      <c r="AD460">
        <f t="shared" si="68"/>
        <v>1.1499999999999999</v>
      </c>
      <c r="AE460">
        <f t="shared" si="70"/>
        <v>1.1499999999999999</v>
      </c>
      <c r="AG460">
        <f t="shared" si="71"/>
        <v>0.75854838709677441</v>
      </c>
    </row>
    <row r="461" spans="1:33" x14ac:dyDescent="0.25">
      <c r="A461">
        <v>293</v>
      </c>
      <c r="B461">
        <f>IFERROR(VLOOKUP(A461,Capacity!$A$3:$D$532,4,), "0")</f>
        <v>70.685833500000001</v>
      </c>
      <c r="C461" s="4">
        <f>IFERROR(VLOOKUP(A461,Capacity!$A$3:$F$532,6,), "0")</f>
        <v>0.5</v>
      </c>
      <c r="D461">
        <v>292</v>
      </c>
      <c r="E461">
        <f>IFERROR(VLOOKUP(D461,Capacity!$A$3:$D$532,4,), "0")</f>
        <v>121.73671325000001</v>
      </c>
      <c r="F461" s="4">
        <f>IFERROR(VLOOKUP(D461,Capacity!$A$3:$F$532,6,), "0")</f>
        <v>0.5</v>
      </c>
      <c r="G461">
        <v>288</v>
      </c>
      <c r="H461">
        <f>IFERROR(VLOOKUP(G461,Capacity!$A$3:$D$532,4,), "0")</f>
        <v>22.619466720000005</v>
      </c>
      <c r="I461" s="4">
        <f>IFERROR(VLOOKUP(G461,Capacity!$A$3:$F$532,6,), "0")</f>
        <v>0.2</v>
      </c>
      <c r="K461" t="str">
        <f>IFERROR(VLOOKUP(J461,Capacity!$A$3:$D$532,4,), "0")</f>
        <v>0</v>
      </c>
      <c r="L461" s="4" t="str">
        <f>IFERROR(VLOOKUP(J461,Capacity!$A$3:$F$532,6,), "0")</f>
        <v>0</v>
      </c>
      <c r="M461" s="5">
        <f t="shared" si="63"/>
        <v>144.35617997000003</v>
      </c>
      <c r="N461" s="5">
        <f t="shared" si="64"/>
        <v>0.7</v>
      </c>
      <c r="O461">
        <v>305</v>
      </c>
      <c r="P461">
        <f>IFERROR(VLOOKUP(O461,Capacity!$A$3:$D$532,4,), "0")</f>
        <v>203.57520048000001</v>
      </c>
      <c r="Q461" s="4">
        <f>IFERROR(VLOOKUP(O461,Capacity!$A$3:$F$532,6,), "0")</f>
        <v>0.6</v>
      </c>
      <c r="R461" s="5">
        <f t="shared" si="65"/>
        <v>203.57520048000001</v>
      </c>
      <c r="S461" s="5">
        <f t="shared" si="69"/>
        <v>0.6</v>
      </c>
      <c r="U461">
        <v>293</v>
      </c>
      <c r="V461">
        <v>2</v>
      </c>
      <c r="W461">
        <v>2</v>
      </c>
      <c r="X461">
        <v>1</v>
      </c>
      <c r="AB461">
        <f t="shared" si="66"/>
        <v>0.70910493827160503</v>
      </c>
      <c r="AC461">
        <f t="shared" si="67"/>
        <v>2.0422222222222226</v>
      </c>
      <c r="AD461">
        <f t="shared" si="68"/>
        <v>1.1666666666666667</v>
      </c>
      <c r="AE461">
        <f t="shared" si="70"/>
        <v>1.4</v>
      </c>
      <c r="AG461">
        <f t="shared" si="71"/>
        <v>0.52634593356242854</v>
      </c>
    </row>
    <row r="462" spans="1:33" x14ac:dyDescent="0.25">
      <c r="A462">
        <v>294</v>
      </c>
      <c r="B462">
        <f>IFERROR(VLOOKUP(A462,Capacity!$A$3:$D$532,4,), "0")</f>
        <v>7.6969018699999987</v>
      </c>
      <c r="C462" s="4">
        <f>IFERROR(VLOOKUP(A462,Capacity!$A$3:$F$532,6,), "0")</f>
        <v>0.17499999999999999</v>
      </c>
      <c r="D462">
        <v>493</v>
      </c>
      <c r="E462">
        <f>IFERROR(VLOOKUP(D462,Capacity!$A$3:$D$532,4,), "0")</f>
        <v>14.431691006249999</v>
      </c>
      <c r="F462" s="4">
        <f>IFERROR(VLOOKUP(D462,Capacity!$A$3:$F$532,6,), "0")</f>
        <v>0.17499999999999999</v>
      </c>
      <c r="G462">
        <v>287</v>
      </c>
      <c r="H462">
        <f>IFERROR(VLOOKUP(G462,Capacity!$A$3:$D$532,4,), "0")</f>
        <v>14.431691006249999</v>
      </c>
      <c r="I462" s="4">
        <f>IFERROR(VLOOKUP(G462,Capacity!$A$3:$F$532,6,), "0")</f>
        <v>0.17499999999999999</v>
      </c>
      <c r="K462" t="str">
        <f>IFERROR(VLOOKUP(J462,Capacity!$A$3:$D$532,4,), "0")</f>
        <v>0</v>
      </c>
      <c r="L462" s="4" t="str">
        <f>IFERROR(VLOOKUP(J462,Capacity!$A$3:$F$532,6,), "0")</f>
        <v>0</v>
      </c>
      <c r="M462" s="5">
        <f t="shared" si="63"/>
        <v>28.863382012499997</v>
      </c>
      <c r="N462" s="5">
        <f t="shared" si="64"/>
        <v>0.35</v>
      </c>
      <c r="O462">
        <v>305</v>
      </c>
      <c r="P462">
        <f>IFERROR(VLOOKUP(O462,Capacity!$A$3:$D$532,4,), "0")</f>
        <v>203.57520048000001</v>
      </c>
      <c r="Q462" s="4">
        <f>IFERROR(VLOOKUP(O462,Capacity!$A$3:$F$532,6,), "0")</f>
        <v>0.6</v>
      </c>
      <c r="R462" s="5">
        <f t="shared" si="65"/>
        <v>203.57520048000001</v>
      </c>
      <c r="S462" s="5">
        <f t="shared" si="69"/>
        <v>0.6</v>
      </c>
      <c r="U462">
        <v>294</v>
      </c>
      <c r="V462">
        <v>2</v>
      </c>
      <c r="W462">
        <v>2</v>
      </c>
      <c r="X462">
        <v>1</v>
      </c>
      <c r="AB462">
        <f t="shared" si="66"/>
        <v>0.14178240740740738</v>
      </c>
      <c r="AC462">
        <f t="shared" si="67"/>
        <v>3.7500000000000004</v>
      </c>
      <c r="AD462">
        <f t="shared" si="68"/>
        <v>0.58333333333333337</v>
      </c>
      <c r="AE462">
        <f t="shared" si="70"/>
        <v>2</v>
      </c>
      <c r="AG462">
        <f t="shared" si="71"/>
        <v>0.13661710037174718</v>
      </c>
    </row>
    <row r="463" spans="1:33" x14ac:dyDescent="0.25">
      <c r="A463">
        <v>494</v>
      </c>
      <c r="B463">
        <f>IFERROR(VLOOKUP(A463,Capacity!$A$3:$D$532,4,), "0")</f>
        <v>15.393803739999997</v>
      </c>
      <c r="C463" s="4">
        <f>IFERROR(VLOOKUP(A463,Capacity!$A$3:$F$532,6,), "0")</f>
        <v>0.17499999999999999</v>
      </c>
      <c r="E463" t="str">
        <f>IFERROR(VLOOKUP(D463,Capacity!$A$3:$D$532,4,), "0")</f>
        <v>0</v>
      </c>
      <c r="F463" s="4" t="str">
        <f>IFERROR(VLOOKUP(D463,Capacity!$A$3:$F$532,6,), "0")</f>
        <v>0</v>
      </c>
      <c r="H463" t="str">
        <f>IFERROR(VLOOKUP(G463,Capacity!$A$3:$D$532,4,), "0")</f>
        <v>0</v>
      </c>
      <c r="I463" s="4" t="str">
        <f>IFERROR(VLOOKUP(G463,Capacity!$A$3:$F$532,6,), "0")</f>
        <v>0</v>
      </c>
      <c r="K463" t="str">
        <f>IFERROR(VLOOKUP(J463,Capacity!$A$3:$D$532,4,), "0")</f>
        <v>0</v>
      </c>
      <c r="L463" s="4" t="str">
        <f>IFERROR(VLOOKUP(J463,Capacity!$A$3:$F$532,6,), "0")</f>
        <v>0</v>
      </c>
      <c r="M463" s="5">
        <f t="shared" si="63"/>
        <v>0</v>
      </c>
      <c r="N463" s="5">
        <f t="shared" si="64"/>
        <v>0</v>
      </c>
      <c r="O463">
        <v>296</v>
      </c>
      <c r="P463">
        <f>IFERROR(VLOOKUP(O463,Capacity!$A$3:$D$532,4,), "0")</f>
        <v>22.619466720000005</v>
      </c>
      <c r="Q463" s="4">
        <f>IFERROR(VLOOKUP(O463,Capacity!$A$3:$F$532,6,), "0")</f>
        <v>0.2</v>
      </c>
      <c r="R463" s="5">
        <f t="shared" si="65"/>
        <v>22.619466720000005</v>
      </c>
      <c r="S463" s="5">
        <f t="shared" si="69"/>
        <v>0.2</v>
      </c>
      <c r="U463">
        <v>494</v>
      </c>
      <c r="V463">
        <v>0</v>
      </c>
      <c r="W463">
        <v>0</v>
      </c>
      <c r="X463">
        <v>1</v>
      </c>
      <c r="AB463">
        <f t="shared" si="66"/>
        <v>0</v>
      </c>
      <c r="AC463">
        <f t="shared" si="67"/>
        <v>0</v>
      </c>
      <c r="AD463">
        <f t="shared" si="68"/>
        <v>0</v>
      </c>
      <c r="AE463">
        <f t="shared" si="70"/>
        <v>0</v>
      </c>
      <c r="AG463">
        <f t="shared" si="71"/>
        <v>0</v>
      </c>
    </row>
    <row r="464" spans="1:33" x14ac:dyDescent="0.25">
      <c r="A464">
        <v>489</v>
      </c>
      <c r="B464">
        <f>IFERROR(VLOOKUP(A464,Capacity!$A$3:$D$532,4,), "0")</f>
        <v>14.431691006249999</v>
      </c>
      <c r="C464" s="4">
        <f>IFERROR(VLOOKUP(A464,Capacity!$A$3:$F$532,6,), "0")</f>
        <v>0.17499999999999999</v>
      </c>
      <c r="E464" t="str">
        <f>IFERROR(VLOOKUP(D464,Capacity!$A$3:$D$532,4,), "0")</f>
        <v>0</v>
      </c>
      <c r="F464" s="4" t="str">
        <f>IFERROR(VLOOKUP(D464,Capacity!$A$3:$F$532,6,), "0")</f>
        <v>0</v>
      </c>
      <c r="H464" t="str">
        <f>IFERROR(VLOOKUP(G464,Capacity!$A$3:$D$532,4,), "0")</f>
        <v>0</v>
      </c>
      <c r="I464" s="4" t="str">
        <f>IFERROR(VLOOKUP(G464,Capacity!$A$3:$F$532,6,), "0")</f>
        <v>0</v>
      </c>
      <c r="K464" t="str">
        <f>IFERROR(VLOOKUP(J464,Capacity!$A$3:$D$532,4,), "0")</f>
        <v>0</v>
      </c>
      <c r="L464" s="4" t="str">
        <f>IFERROR(VLOOKUP(J464,Capacity!$A$3:$F$532,6,), "0")</f>
        <v>0</v>
      </c>
      <c r="M464" s="5">
        <f t="shared" si="63"/>
        <v>0</v>
      </c>
      <c r="N464" s="5">
        <f t="shared" si="64"/>
        <v>0</v>
      </c>
      <c r="O464">
        <v>296</v>
      </c>
      <c r="P464">
        <f>IFERROR(VLOOKUP(O464,Capacity!$A$3:$D$532,4,), "0")</f>
        <v>22.619466720000005</v>
      </c>
      <c r="Q464" s="4">
        <f>IFERROR(VLOOKUP(O464,Capacity!$A$3:$F$532,6,), "0")</f>
        <v>0.2</v>
      </c>
      <c r="R464" s="5">
        <f t="shared" si="65"/>
        <v>22.619466720000005</v>
      </c>
      <c r="S464" s="5">
        <f t="shared" si="69"/>
        <v>0.2</v>
      </c>
      <c r="U464">
        <v>489</v>
      </c>
      <c r="V464">
        <v>0</v>
      </c>
      <c r="W464">
        <v>0</v>
      </c>
      <c r="X464">
        <v>1</v>
      </c>
      <c r="AB464">
        <f t="shared" si="66"/>
        <v>0</v>
      </c>
      <c r="AC464">
        <f t="shared" si="67"/>
        <v>0</v>
      </c>
      <c r="AD464">
        <f t="shared" si="68"/>
        <v>0</v>
      </c>
      <c r="AE464">
        <f t="shared" si="70"/>
        <v>0</v>
      </c>
      <c r="AG464">
        <f t="shared" si="71"/>
        <v>0</v>
      </c>
    </row>
    <row r="465" spans="1:33" x14ac:dyDescent="0.25">
      <c r="A465">
        <v>101</v>
      </c>
      <c r="B465">
        <f>IFERROR(VLOOKUP(A465,Capacity!$A$3:$D$532,4,), "0")</f>
        <v>19.855650630150002</v>
      </c>
      <c r="C465" s="4">
        <f>IFERROR(VLOOKUP(A465,Capacity!$A$3:$F$532,6,), "0")</f>
        <v>0.26500000000000001</v>
      </c>
      <c r="D465">
        <v>90</v>
      </c>
      <c r="E465">
        <f>IFERROR(VLOOKUP(D465,Capacity!$A$3:$D$532,4,), "0")</f>
        <v>35.298934453600005</v>
      </c>
      <c r="F465" s="4">
        <f>IFERROR(VLOOKUP(D465,Capacity!$A$3:$F$532,6,), "0")</f>
        <v>0.26500000000000001</v>
      </c>
      <c r="H465" t="str">
        <f>IFERROR(VLOOKUP(G465,Capacity!$A$3:$D$532,4,), "0")</f>
        <v>0</v>
      </c>
      <c r="I465" s="4" t="str">
        <f>IFERROR(VLOOKUP(G465,Capacity!$A$3:$F$532,6,), "0")</f>
        <v>0</v>
      </c>
      <c r="K465" t="str">
        <f>IFERROR(VLOOKUP(J465,Capacity!$A$3:$D$532,4,), "0")</f>
        <v>0</v>
      </c>
      <c r="L465" s="4" t="str">
        <f>IFERROR(VLOOKUP(J465,Capacity!$A$3:$F$532,6,), "0")</f>
        <v>0</v>
      </c>
      <c r="M465" s="5">
        <f t="shared" si="63"/>
        <v>35.298934453600005</v>
      </c>
      <c r="N465" s="5">
        <f t="shared" si="64"/>
        <v>0.26500000000000001</v>
      </c>
      <c r="O465">
        <v>113</v>
      </c>
      <c r="P465">
        <f>IFERROR(VLOOKUP(O465,Capacity!$A$3:$D$532,4,), "0")</f>
        <v>25.446900060000001</v>
      </c>
      <c r="Q465" s="4">
        <f>IFERROR(VLOOKUP(O465,Capacity!$A$3:$F$532,6,), "0")</f>
        <v>0.3</v>
      </c>
      <c r="R465" s="5">
        <f t="shared" si="65"/>
        <v>25.446900060000001</v>
      </c>
      <c r="S465" s="5">
        <f t="shared" si="69"/>
        <v>0.3</v>
      </c>
      <c r="U465">
        <v>101</v>
      </c>
      <c r="V465">
        <v>1</v>
      </c>
      <c r="W465">
        <v>1</v>
      </c>
      <c r="X465">
        <v>1</v>
      </c>
      <c r="AB465">
        <f t="shared" si="66"/>
        <v>1.3871604938271607</v>
      </c>
      <c r="AC465">
        <f t="shared" si="67"/>
        <v>1.7777777777777779</v>
      </c>
      <c r="AD465">
        <f t="shared" si="68"/>
        <v>0.88333333333333341</v>
      </c>
      <c r="AE465">
        <f t="shared" si="70"/>
        <v>1</v>
      </c>
      <c r="AG465">
        <f t="shared" si="71"/>
        <v>0.77918205301572452</v>
      </c>
    </row>
    <row r="466" spans="1:33" x14ac:dyDescent="0.25">
      <c r="A466">
        <v>286</v>
      </c>
      <c r="B466">
        <f>IFERROR(VLOOKUP(A466,Capacity!$A$3:$D$532,4,), "0")</f>
        <v>77.911496480000025</v>
      </c>
      <c r="C466" s="4">
        <f>IFERROR(VLOOKUP(A466,Capacity!$A$3:$F$532,6,), "0")</f>
        <v>0.4</v>
      </c>
      <c r="D466">
        <v>490</v>
      </c>
      <c r="E466">
        <f>IFERROR(VLOOKUP(D466,Capacity!$A$3:$D$532,4,), "0")</f>
        <v>14.912747373124999</v>
      </c>
      <c r="F466" s="4">
        <f>IFERROR(VLOOKUP(D466,Capacity!$A$3:$F$532,6,), "0")</f>
        <v>0.17499999999999999</v>
      </c>
      <c r="G466">
        <v>278</v>
      </c>
      <c r="H466">
        <f>IFERROR(VLOOKUP(G466,Capacity!$A$3:$D$532,4,), "0")</f>
        <v>75.398222400000023</v>
      </c>
      <c r="I466" s="4">
        <f>IFERROR(VLOOKUP(G466,Capacity!$A$3:$F$532,6,), "0")</f>
        <v>0.4</v>
      </c>
      <c r="K466" t="str">
        <f>IFERROR(VLOOKUP(J466,Capacity!$A$3:$D$532,4,), "0")</f>
        <v>0</v>
      </c>
      <c r="L466" s="4" t="str">
        <f>IFERROR(VLOOKUP(J466,Capacity!$A$3:$F$532,6,), "0")</f>
        <v>0</v>
      </c>
      <c r="M466" s="5">
        <f t="shared" si="63"/>
        <v>90.310969773125024</v>
      </c>
      <c r="N466" s="5">
        <f t="shared" si="64"/>
        <v>0.57499999999999996</v>
      </c>
      <c r="O466">
        <v>285</v>
      </c>
      <c r="P466">
        <f>IFERROR(VLOOKUP(O466,Capacity!$A$3:$D$532,4,), "0")</f>
        <v>58.904861250000003</v>
      </c>
      <c r="Q466" s="4">
        <f>IFERROR(VLOOKUP(O466,Capacity!$A$3:$F$532,6,), "0")</f>
        <v>0.5</v>
      </c>
      <c r="R466" s="5">
        <f t="shared" si="65"/>
        <v>58.904861250000003</v>
      </c>
      <c r="S466" s="5">
        <f t="shared" si="69"/>
        <v>0.5</v>
      </c>
      <c r="U466">
        <v>286</v>
      </c>
      <c r="V466">
        <v>3</v>
      </c>
      <c r="W466">
        <v>3</v>
      </c>
      <c r="X466">
        <v>1</v>
      </c>
      <c r="AB466">
        <f t="shared" si="66"/>
        <v>1.533166666666667</v>
      </c>
      <c r="AC466">
        <f t="shared" si="67"/>
        <v>1.159148185483871</v>
      </c>
      <c r="AD466">
        <f t="shared" si="68"/>
        <v>1.1499999999999999</v>
      </c>
      <c r="AE466">
        <f t="shared" si="70"/>
        <v>1.4374999999999998</v>
      </c>
      <c r="AG466">
        <f t="shared" si="71"/>
        <v>0.66008897818599321</v>
      </c>
    </row>
    <row r="467" spans="1:33" x14ac:dyDescent="0.25">
      <c r="A467">
        <v>280</v>
      </c>
      <c r="B467">
        <f>IFERROR(VLOOKUP(A467,Capacity!$A$3:$D$532,4,), "0")</f>
        <v>14.431691006249999</v>
      </c>
      <c r="C467" s="4">
        <f>IFERROR(VLOOKUP(A467,Capacity!$A$3:$F$532,6,), "0")</f>
        <v>0.17499999999999999</v>
      </c>
      <c r="D467">
        <v>485</v>
      </c>
      <c r="E467">
        <f>IFERROR(VLOOKUP(D467,Capacity!$A$3:$D$532,4,), "0")</f>
        <v>15.393803739999997</v>
      </c>
      <c r="F467" s="4">
        <f>IFERROR(VLOOKUP(D467,Capacity!$A$3:$F$532,6,), "0")</f>
        <v>0.17499999999999999</v>
      </c>
      <c r="G467">
        <v>484</v>
      </c>
      <c r="H467">
        <f>IFERROR(VLOOKUP(G467,Capacity!$A$3:$D$532,4,), "0")</f>
        <v>15.393803739999997</v>
      </c>
      <c r="I467" s="4">
        <f>IFERROR(VLOOKUP(G467,Capacity!$A$3:$F$532,6,), "0")</f>
        <v>0.17499999999999999</v>
      </c>
      <c r="J467">
        <v>124</v>
      </c>
      <c r="K467">
        <f>IFERROR(VLOOKUP(J467,Capacity!$A$3:$D$532,4,), "0")</f>
        <v>9.1400709706249987</v>
      </c>
      <c r="L467" s="4">
        <f>IFERROR(VLOOKUP(J467,Capacity!$A$3:$F$532,6,), "0")</f>
        <v>0.17499999999999999</v>
      </c>
      <c r="M467" s="5">
        <f t="shared" si="63"/>
        <v>39.927678450624995</v>
      </c>
      <c r="N467" s="5">
        <f t="shared" si="64"/>
        <v>0.52499999999999991</v>
      </c>
      <c r="O467">
        <v>285</v>
      </c>
      <c r="P467">
        <f>IFERROR(VLOOKUP(O467,Capacity!$A$3:$D$532,4,), "0")</f>
        <v>58.904861250000003</v>
      </c>
      <c r="Q467" s="4">
        <f>IFERROR(VLOOKUP(O467,Capacity!$A$3:$F$532,6,), "0")</f>
        <v>0.5</v>
      </c>
      <c r="R467" s="5">
        <f t="shared" si="65"/>
        <v>58.904861250000003</v>
      </c>
      <c r="S467" s="5">
        <f t="shared" si="69"/>
        <v>0.5</v>
      </c>
      <c r="U467">
        <v>280</v>
      </c>
      <c r="V467">
        <v>3</v>
      </c>
      <c r="W467">
        <v>3</v>
      </c>
      <c r="X467">
        <v>1</v>
      </c>
      <c r="AB467">
        <f t="shared" si="66"/>
        <v>0.67783333333333318</v>
      </c>
      <c r="AC467">
        <f t="shared" si="67"/>
        <v>2.7666666666666666</v>
      </c>
      <c r="AD467">
        <f t="shared" si="68"/>
        <v>1.0499999999999998</v>
      </c>
      <c r="AE467">
        <f t="shared" si="70"/>
        <v>2.9999999999999996</v>
      </c>
      <c r="AG467">
        <f t="shared" si="71"/>
        <v>0.5444444444444444</v>
      </c>
    </row>
    <row r="468" spans="1:33" x14ac:dyDescent="0.25">
      <c r="A468">
        <v>493</v>
      </c>
      <c r="B468">
        <f>IFERROR(VLOOKUP(A468,Capacity!$A$3:$D$532,4,), "0")</f>
        <v>14.431691006249999</v>
      </c>
      <c r="C468" s="4">
        <f>IFERROR(VLOOKUP(A468,Capacity!$A$3:$F$532,6,), "0")</f>
        <v>0.17499999999999999</v>
      </c>
      <c r="E468" t="str">
        <f>IFERROR(VLOOKUP(D468,Capacity!$A$3:$D$532,4,), "0")</f>
        <v>0</v>
      </c>
      <c r="F468" s="4" t="str">
        <f>IFERROR(VLOOKUP(D468,Capacity!$A$3:$F$532,6,), "0")</f>
        <v>0</v>
      </c>
      <c r="H468" t="str">
        <f>IFERROR(VLOOKUP(G468,Capacity!$A$3:$D$532,4,), "0")</f>
        <v>0</v>
      </c>
      <c r="I468" s="4" t="str">
        <f>IFERROR(VLOOKUP(G468,Capacity!$A$3:$F$532,6,), "0")</f>
        <v>0</v>
      </c>
      <c r="K468" t="str">
        <f>IFERROR(VLOOKUP(J468,Capacity!$A$3:$D$532,4,), "0")</f>
        <v>0</v>
      </c>
      <c r="L468" s="4" t="str">
        <f>IFERROR(VLOOKUP(J468,Capacity!$A$3:$F$532,6,), "0")</f>
        <v>0</v>
      </c>
      <c r="M468" s="5">
        <f t="shared" si="63"/>
        <v>0</v>
      </c>
      <c r="N468" s="5">
        <f t="shared" si="64"/>
        <v>0</v>
      </c>
      <c r="O468">
        <v>294</v>
      </c>
      <c r="P468">
        <f>IFERROR(VLOOKUP(O468,Capacity!$A$3:$D$532,4,), "0")</f>
        <v>7.6969018699999987</v>
      </c>
      <c r="Q468" s="4">
        <f>IFERROR(VLOOKUP(O468,Capacity!$A$3:$F$532,6,), "0")</f>
        <v>0.17499999999999999</v>
      </c>
      <c r="R468" s="5">
        <f t="shared" si="65"/>
        <v>7.6969018699999987</v>
      </c>
      <c r="S468" s="5">
        <f t="shared" si="69"/>
        <v>0.17499999999999999</v>
      </c>
      <c r="U468">
        <v>493</v>
      </c>
      <c r="V468">
        <v>0</v>
      </c>
      <c r="W468">
        <v>0</v>
      </c>
      <c r="X468">
        <v>1</v>
      </c>
      <c r="AB468">
        <f t="shared" si="66"/>
        <v>0</v>
      </c>
      <c r="AC468">
        <f t="shared" si="67"/>
        <v>0</v>
      </c>
      <c r="AD468">
        <f t="shared" si="68"/>
        <v>0</v>
      </c>
      <c r="AE468">
        <f t="shared" si="70"/>
        <v>0</v>
      </c>
      <c r="AG468">
        <f t="shared" si="71"/>
        <v>0</v>
      </c>
    </row>
    <row r="469" spans="1:33" x14ac:dyDescent="0.25">
      <c r="A469">
        <v>287</v>
      </c>
      <c r="B469">
        <f>IFERROR(VLOOKUP(A469,Capacity!$A$3:$D$532,4,), "0")</f>
        <v>14.431691006249999</v>
      </c>
      <c r="C469" s="4">
        <f>IFERROR(VLOOKUP(A469,Capacity!$A$3:$F$532,6,), "0")</f>
        <v>0.17499999999999999</v>
      </c>
      <c r="D469">
        <v>491</v>
      </c>
      <c r="E469">
        <f>IFERROR(VLOOKUP(D469,Capacity!$A$3:$D$532,4,), "0")</f>
        <v>7.2158455031249993</v>
      </c>
      <c r="F469" s="4">
        <f>IFERROR(VLOOKUP(D469,Capacity!$A$3:$F$532,6,), "0")</f>
        <v>0.17499999999999999</v>
      </c>
      <c r="H469" t="str">
        <f>IFERROR(VLOOKUP(G469,Capacity!$A$3:$D$532,4,), "0")</f>
        <v>0</v>
      </c>
      <c r="I469" s="4" t="str">
        <f>IFERROR(VLOOKUP(G469,Capacity!$A$3:$F$532,6,), "0")</f>
        <v>0</v>
      </c>
      <c r="K469" t="str">
        <f>IFERROR(VLOOKUP(J469,Capacity!$A$3:$D$532,4,), "0")</f>
        <v>0</v>
      </c>
      <c r="L469" s="4" t="str">
        <f>IFERROR(VLOOKUP(J469,Capacity!$A$3:$F$532,6,), "0")</f>
        <v>0</v>
      </c>
      <c r="M469" s="5">
        <f t="shared" si="63"/>
        <v>7.2158455031249993</v>
      </c>
      <c r="N469" s="5">
        <f t="shared" si="64"/>
        <v>0.17499999999999999</v>
      </c>
      <c r="O469">
        <v>294</v>
      </c>
      <c r="P469">
        <f>IFERROR(VLOOKUP(O469,Capacity!$A$3:$D$532,4,), "0")</f>
        <v>7.6969018699999987</v>
      </c>
      <c r="Q469" s="4">
        <f>IFERROR(VLOOKUP(O469,Capacity!$A$3:$F$532,6,), "0")</f>
        <v>0.17499999999999999</v>
      </c>
      <c r="R469" s="5">
        <f t="shared" si="65"/>
        <v>7.6969018699999987</v>
      </c>
      <c r="S469" s="5">
        <f t="shared" si="69"/>
        <v>0.17499999999999999</v>
      </c>
      <c r="U469">
        <v>287</v>
      </c>
      <c r="V469">
        <v>2</v>
      </c>
      <c r="W469">
        <v>2</v>
      </c>
      <c r="X469">
        <v>1</v>
      </c>
      <c r="AB469">
        <f t="shared" si="66"/>
        <v>0.93750000000000011</v>
      </c>
      <c r="AC469">
        <f t="shared" si="67"/>
        <v>0.5</v>
      </c>
      <c r="AD469">
        <f t="shared" si="68"/>
        <v>1</v>
      </c>
      <c r="AE469">
        <f t="shared" si="70"/>
        <v>1</v>
      </c>
      <c r="AG469">
        <f t="shared" si="71"/>
        <v>0.32608695652173914</v>
      </c>
    </row>
    <row r="470" spans="1:33" x14ac:dyDescent="0.25">
      <c r="A470">
        <v>288</v>
      </c>
      <c r="B470">
        <f>IFERROR(VLOOKUP(A470,Capacity!$A$3:$D$532,4,), "0")</f>
        <v>22.619466720000005</v>
      </c>
      <c r="C470" s="4">
        <f>IFERROR(VLOOKUP(A470,Capacity!$A$3:$F$532,6,), "0")</f>
        <v>0.2</v>
      </c>
      <c r="D470">
        <v>492</v>
      </c>
      <c r="E470">
        <f>IFERROR(VLOOKUP(D470,Capacity!$A$3:$D$532,4,), "0")</f>
        <v>14.912747373124999</v>
      </c>
      <c r="F470" s="4">
        <f>IFERROR(VLOOKUP(D470,Capacity!$A$3:$F$532,6,), "0")</f>
        <v>0.17499999999999999</v>
      </c>
      <c r="H470" t="str">
        <f>IFERROR(VLOOKUP(G470,Capacity!$A$3:$D$532,4,), "0")</f>
        <v>0</v>
      </c>
      <c r="I470" s="4" t="str">
        <f>IFERROR(VLOOKUP(G470,Capacity!$A$3:$F$532,6,), "0")</f>
        <v>0</v>
      </c>
      <c r="K470" t="str">
        <f>IFERROR(VLOOKUP(J470,Capacity!$A$3:$D$532,4,), "0")</f>
        <v>0</v>
      </c>
      <c r="L470" s="4" t="str">
        <f>IFERROR(VLOOKUP(J470,Capacity!$A$3:$F$532,6,), "0")</f>
        <v>0</v>
      </c>
      <c r="M470" s="5">
        <f t="shared" si="63"/>
        <v>14.912747373124999</v>
      </c>
      <c r="N470" s="5">
        <f t="shared" si="64"/>
        <v>0.17499999999999999</v>
      </c>
      <c r="O470">
        <v>293</v>
      </c>
      <c r="P470">
        <f>IFERROR(VLOOKUP(O470,Capacity!$A$3:$D$532,4,), "0")</f>
        <v>70.685833500000001</v>
      </c>
      <c r="Q470" s="4">
        <f>IFERROR(VLOOKUP(O470,Capacity!$A$3:$F$532,6,), "0")</f>
        <v>0.5</v>
      </c>
      <c r="R470" s="5">
        <f t="shared" si="65"/>
        <v>70.685833500000001</v>
      </c>
      <c r="S470" s="5">
        <f t="shared" si="69"/>
        <v>0.5</v>
      </c>
      <c r="U470">
        <v>288</v>
      </c>
      <c r="V470">
        <v>2</v>
      </c>
      <c r="W470">
        <v>2</v>
      </c>
      <c r="X470">
        <v>1</v>
      </c>
      <c r="AB470">
        <f t="shared" si="66"/>
        <v>0.2109722222222222</v>
      </c>
      <c r="AC470">
        <f t="shared" si="67"/>
        <v>0.6592881944444442</v>
      </c>
      <c r="AD470">
        <f t="shared" si="68"/>
        <v>0.35</v>
      </c>
      <c r="AE470">
        <f t="shared" si="70"/>
        <v>0.87499999999999989</v>
      </c>
      <c r="AG470">
        <f t="shared" si="71"/>
        <v>0.15982744107744104</v>
      </c>
    </row>
    <row r="471" spans="1:33" x14ac:dyDescent="0.25">
      <c r="A471">
        <v>292</v>
      </c>
      <c r="B471">
        <f>IFERROR(VLOOKUP(A471,Capacity!$A$3:$D$532,4,), "0")</f>
        <v>121.73671325000001</v>
      </c>
      <c r="C471" s="4">
        <f>IFERROR(VLOOKUP(A471,Capacity!$A$3:$F$532,6,), "0")</f>
        <v>0.5</v>
      </c>
      <c r="D471">
        <v>290</v>
      </c>
      <c r="E471">
        <f>IFERROR(VLOOKUP(D471,Capacity!$A$3:$D$532,4,), "0")</f>
        <v>125.663704</v>
      </c>
      <c r="F471" s="4">
        <f>IFERROR(VLOOKUP(D471,Capacity!$A$3:$F$532,6,), "0")</f>
        <v>0.5</v>
      </c>
      <c r="G471">
        <v>289</v>
      </c>
      <c r="H471">
        <f>IFERROR(VLOOKUP(G471,Capacity!$A$3:$D$532,4,), "0")</f>
        <v>24.268017436850005</v>
      </c>
      <c r="I471" s="4">
        <f>IFERROR(VLOOKUP(G471,Capacity!$A$3:$F$532,6,), "0")</f>
        <v>0.26500000000000001</v>
      </c>
      <c r="J471">
        <v>271</v>
      </c>
      <c r="K471">
        <f>IFERROR(VLOOKUP(J471,Capacity!$A$3:$D$532,4,), "0")</f>
        <v>24.052818343749998</v>
      </c>
      <c r="L471" s="4">
        <f>IFERROR(VLOOKUP(J471,Capacity!$A$3:$F$532,6,), "0")</f>
        <v>0.17499999999999999</v>
      </c>
      <c r="M471" s="5">
        <f t="shared" si="63"/>
        <v>173.98453978060002</v>
      </c>
      <c r="N471" s="5">
        <f t="shared" si="64"/>
        <v>0.94</v>
      </c>
      <c r="O471">
        <v>293</v>
      </c>
      <c r="P471">
        <f>IFERROR(VLOOKUP(O471,Capacity!$A$3:$D$532,4,), "0")</f>
        <v>70.685833500000001</v>
      </c>
      <c r="Q471" s="4">
        <f>IFERROR(VLOOKUP(O471,Capacity!$A$3:$F$532,6,), "0")</f>
        <v>0.5</v>
      </c>
      <c r="R471" s="5">
        <f t="shared" si="65"/>
        <v>70.685833500000001</v>
      </c>
      <c r="S471" s="5">
        <f t="shared" si="69"/>
        <v>0.5</v>
      </c>
      <c r="U471">
        <v>292</v>
      </c>
      <c r="V471">
        <v>4</v>
      </c>
      <c r="W471">
        <v>4</v>
      </c>
      <c r="X471">
        <v>1</v>
      </c>
      <c r="AB471">
        <f t="shared" si="66"/>
        <v>2.4613777777777779</v>
      </c>
      <c r="AC471">
        <f t="shared" si="67"/>
        <v>1.4291870967741935</v>
      </c>
      <c r="AD471">
        <f t="shared" si="68"/>
        <v>1.88</v>
      </c>
      <c r="AE471">
        <f t="shared" si="70"/>
        <v>1.88</v>
      </c>
      <c r="AG471">
        <f t="shared" si="71"/>
        <v>0.90417959183673469</v>
      </c>
    </row>
    <row r="472" spans="1:33" x14ac:dyDescent="0.25">
      <c r="A472">
        <v>90</v>
      </c>
      <c r="B472">
        <f>IFERROR(VLOOKUP(A472,Capacity!$A$3:$D$532,4,), "0")</f>
        <v>35.298934453600005</v>
      </c>
      <c r="C472" s="4">
        <f>IFERROR(VLOOKUP(A472,Capacity!$A$3:$F$532,6,), "0")</f>
        <v>0.26500000000000001</v>
      </c>
      <c r="D472">
        <v>440</v>
      </c>
      <c r="E472">
        <f>IFERROR(VLOOKUP(D472,Capacity!$A$3:$D$532,4,), "0")</f>
        <v>10.58324007125</v>
      </c>
      <c r="F472" s="4">
        <f>IFERROR(VLOOKUP(D472,Capacity!$A$3:$F$532,6,), "0")</f>
        <v>0.17499999999999999</v>
      </c>
      <c r="G472">
        <v>79</v>
      </c>
      <c r="H472">
        <f>IFERROR(VLOOKUP(G472,Capacity!$A$3:$D$532,4,), "0")</f>
        <v>33.092751050250008</v>
      </c>
      <c r="I472" s="4">
        <f>IFERROR(VLOOKUP(G472,Capacity!$A$3:$F$532,6,), "0")</f>
        <v>0.26500000000000001</v>
      </c>
      <c r="K472" t="str">
        <f>IFERROR(VLOOKUP(J472,Capacity!$A$3:$D$532,4,), "0")</f>
        <v>0</v>
      </c>
      <c r="L472" s="4" t="str">
        <f>IFERROR(VLOOKUP(J472,Capacity!$A$3:$F$532,6,), "0")</f>
        <v>0</v>
      </c>
      <c r="M472" s="5">
        <f t="shared" si="63"/>
        <v>43.675991121500005</v>
      </c>
      <c r="N472" s="5">
        <f t="shared" si="64"/>
        <v>0.44</v>
      </c>
      <c r="O472">
        <v>101</v>
      </c>
      <c r="P472">
        <f>IFERROR(VLOOKUP(O472,Capacity!$A$3:$D$532,4,), "0")</f>
        <v>19.855650630150002</v>
      </c>
      <c r="Q472" s="4">
        <f>IFERROR(VLOOKUP(O472,Capacity!$A$3:$F$532,6,), "0")</f>
        <v>0.26500000000000001</v>
      </c>
      <c r="R472" s="5">
        <f t="shared" si="65"/>
        <v>19.855650630150002</v>
      </c>
      <c r="S472" s="5">
        <f t="shared" si="69"/>
        <v>0.26500000000000001</v>
      </c>
      <c r="U472">
        <v>90</v>
      </c>
      <c r="V472">
        <v>3</v>
      </c>
      <c r="W472">
        <v>3</v>
      </c>
      <c r="X472">
        <v>1</v>
      </c>
      <c r="AB472">
        <f t="shared" si="66"/>
        <v>2.1996756457418614</v>
      </c>
      <c r="AC472">
        <f t="shared" si="67"/>
        <v>1.2373175507297971</v>
      </c>
      <c r="AD472">
        <f t="shared" si="68"/>
        <v>1.6603773584905659</v>
      </c>
      <c r="AE472">
        <f t="shared" si="70"/>
        <v>1.6603773584905659</v>
      </c>
      <c r="AG472">
        <f t="shared" si="71"/>
        <v>0.79188323246707015</v>
      </c>
    </row>
    <row r="473" spans="1:33" x14ac:dyDescent="0.25">
      <c r="A473">
        <v>485</v>
      </c>
      <c r="B473">
        <f>IFERROR(VLOOKUP(A473,Capacity!$A$3:$D$532,4,), "0")</f>
        <v>15.393803739999997</v>
      </c>
      <c r="C473" s="4">
        <f>IFERROR(VLOOKUP(A473,Capacity!$A$3:$F$532,6,), "0")</f>
        <v>0.17499999999999999</v>
      </c>
      <c r="E473" t="str">
        <f>IFERROR(VLOOKUP(D473,Capacity!$A$3:$D$532,4,), "0")</f>
        <v>0</v>
      </c>
      <c r="F473" s="4" t="str">
        <f>IFERROR(VLOOKUP(D473,Capacity!$A$3:$F$532,6,), "0")</f>
        <v>0</v>
      </c>
      <c r="H473" t="str">
        <f>IFERROR(VLOOKUP(G473,Capacity!$A$3:$D$532,4,), "0")</f>
        <v>0</v>
      </c>
      <c r="I473" s="4" t="str">
        <f>IFERROR(VLOOKUP(G473,Capacity!$A$3:$F$532,6,), "0")</f>
        <v>0</v>
      </c>
      <c r="K473" t="str">
        <f>IFERROR(VLOOKUP(J473,Capacity!$A$3:$D$532,4,), "0")</f>
        <v>0</v>
      </c>
      <c r="L473" s="4" t="str">
        <f>IFERROR(VLOOKUP(J473,Capacity!$A$3:$F$532,6,), "0")</f>
        <v>0</v>
      </c>
      <c r="M473" s="5">
        <f t="shared" si="63"/>
        <v>0</v>
      </c>
      <c r="N473" s="5">
        <f t="shared" si="64"/>
        <v>0</v>
      </c>
      <c r="O473">
        <v>280</v>
      </c>
      <c r="P473">
        <f>IFERROR(VLOOKUP(O473,Capacity!$A$3:$D$532,4,), "0")</f>
        <v>14.431691006249999</v>
      </c>
      <c r="Q473" s="4">
        <f>IFERROR(VLOOKUP(O473,Capacity!$A$3:$F$532,6,), "0")</f>
        <v>0.17499999999999999</v>
      </c>
      <c r="R473" s="5">
        <f t="shared" si="65"/>
        <v>14.431691006249999</v>
      </c>
      <c r="S473" s="5">
        <f t="shared" si="69"/>
        <v>0.17499999999999999</v>
      </c>
      <c r="U473">
        <v>485</v>
      </c>
      <c r="V473">
        <v>0</v>
      </c>
      <c r="W473">
        <v>0</v>
      </c>
      <c r="X473">
        <v>1</v>
      </c>
      <c r="AB473">
        <f t="shared" si="66"/>
        <v>0</v>
      </c>
      <c r="AC473">
        <f t="shared" si="67"/>
        <v>0</v>
      </c>
      <c r="AD473">
        <f t="shared" si="68"/>
        <v>0</v>
      </c>
      <c r="AE473">
        <f t="shared" si="70"/>
        <v>0</v>
      </c>
      <c r="AG473">
        <f t="shared" si="71"/>
        <v>0</v>
      </c>
    </row>
    <row r="474" spans="1:33" x14ac:dyDescent="0.25">
      <c r="A474">
        <v>484</v>
      </c>
      <c r="B474">
        <f>IFERROR(VLOOKUP(A474,Capacity!$A$3:$D$532,4,), "0")</f>
        <v>15.393803739999997</v>
      </c>
      <c r="C474" s="4">
        <f>IFERROR(VLOOKUP(A474,Capacity!$A$3:$F$532,6,), "0")</f>
        <v>0.17499999999999999</v>
      </c>
      <c r="E474" t="str">
        <f>IFERROR(VLOOKUP(D474,Capacity!$A$3:$D$532,4,), "0")</f>
        <v>0</v>
      </c>
      <c r="F474" s="4" t="str">
        <f>IFERROR(VLOOKUP(D474,Capacity!$A$3:$F$532,6,), "0")</f>
        <v>0</v>
      </c>
      <c r="H474" t="str">
        <f>IFERROR(VLOOKUP(G474,Capacity!$A$3:$D$532,4,), "0")</f>
        <v>0</v>
      </c>
      <c r="I474" s="4" t="str">
        <f>IFERROR(VLOOKUP(G474,Capacity!$A$3:$F$532,6,), "0")</f>
        <v>0</v>
      </c>
      <c r="K474" t="str">
        <f>IFERROR(VLOOKUP(J474,Capacity!$A$3:$D$532,4,), "0")</f>
        <v>0</v>
      </c>
      <c r="L474" s="4" t="str">
        <f>IFERROR(VLOOKUP(J474,Capacity!$A$3:$F$532,6,), "0")</f>
        <v>0</v>
      </c>
      <c r="M474" s="5">
        <f t="shared" si="63"/>
        <v>0</v>
      </c>
      <c r="N474" s="5">
        <f t="shared" si="64"/>
        <v>0</v>
      </c>
      <c r="O474">
        <v>280</v>
      </c>
      <c r="P474">
        <f>IFERROR(VLOOKUP(O474,Capacity!$A$3:$D$532,4,), "0")</f>
        <v>14.431691006249999</v>
      </c>
      <c r="Q474" s="4">
        <f>IFERROR(VLOOKUP(O474,Capacity!$A$3:$F$532,6,), "0")</f>
        <v>0.17499999999999999</v>
      </c>
      <c r="R474" s="5">
        <f t="shared" si="65"/>
        <v>14.431691006249999</v>
      </c>
      <c r="S474" s="5">
        <f t="shared" si="69"/>
        <v>0.17499999999999999</v>
      </c>
      <c r="U474">
        <v>484</v>
      </c>
      <c r="V474">
        <v>0</v>
      </c>
      <c r="W474">
        <v>0</v>
      </c>
      <c r="X474">
        <v>1</v>
      </c>
      <c r="AB474">
        <f t="shared" si="66"/>
        <v>0</v>
      </c>
      <c r="AC474">
        <f t="shared" si="67"/>
        <v>0</v>
      </c>
      <c r="AD474">
        <f t="shared" si="68"/>
        <v>0</v>
      </c>
      <c r="AE474">
        <f t="shared" si="70"/>
        <v>0</v>
      </c>
      <c r="AG474">
        <f t="shared" si="71"/>
        <v>0</v>
      </c>
    </row>
    <row r="475" spans="1:33" x14ac:dyDescent="0.25">
      <c r="A475">
        <v>124</v>
      </c>
      <c r="B475">
        <f>IFERROR(VLOOKUP(A475,Capacity!$A$3:$D$532,4,), "0")</f>
        <v>9.1400709706249987</v>
      </c>
      <c r="C475" s="4">
        <f>IFERROR(VLOOKUP(A475,Capacity!$A$3:$F$532,6,), "0")</f>
        <v>0.17499999999999999</v>
      </c>
      <c r="E475" t="str">
        <f>IFERROR(VLOOKUP(D475,Capacity!$A$3:$D$532,4,), "0")</f>
        <v>0</v>
      </c>
      <c r="F475" s="4" t="str">
        <f>IFERROR(VLOOKUP(D475,Capacity!$A$3:$F$532,6,), "0")</f>
        <v>0</v>
      </c>
      <c r="H475" t="str">
        <f>IFERROR(VLOOKUP(G475,Capacity!$A$3:$D$532,4,), "0")</f>
        <v>0</v>
      </c>
      <c r="I475" s="4" t="str">
        <f>IFERROR(VLOOKUP(G475,Capacity!$A$3:$F$532,6,), "0")</f>
        <v>0</v>
      </c>
      <c r="K475" t="str">
        <f>IFERROR(VLOOKUP(J475,Capacity!$A$3:$D$532,4,), "0")</f>
        <v>0</v>
      </c>
      <c r="L475" s="4" t="str">
        <f>IFERROR(VLOOKUP(J475,Capacity!$A$3:$F$532,6,), "0")</f>
        <v>0</v>
      </c>
      <c r="M475" s="5">
        <f t="shared" si="63"/>
        <v>0</v>
      </c>
      <c r="N475" s="5">
        <f t="shared" si="64"/>
        <v>0</v>
      </c>
      <c r="O475">
        <v>280</v>
      </c>
      <c r="P475">
        <f>IFERROR(VLOOKUP(O475,Capacity!$A$3:$D$532,4,), "0")</f>
        <v>14.431691006249999</v>
      </c>
      <c r="Q475" s="4">
        <f>IFERROR(VLOOKUP(O475,Capacity!$A$3:$F$532,6,), "0")</f>
        <v>0.17499999999999999</v>
      </c>
      <c r="R475" s="5">
        <f t="shared" si="65"/>
        <v>14.431691006249999</v>
      </c>
      <c r="S475" s="5">
        <f t="shared" si="69"/>
        <v>0.17499999999999999</v>
      </c>
      <c r="U475">
        <v>124</v>
      </c>
      <c r="V475">
        <v>1</v>
      </c>
      <c r="W475">
        <v>1</v>
      </c>
      <c r="X475">
        <v>1</v>
      </c>
      <c r="AB475">
        <f t="shared" si="66"/>
        <v>0</v>
      </c>
      <c r="AC475">
        <f t="shared" si="67"/>
        <v>0</v>
      </c>
      <c r="AD475">
        <f t="shared" si="68"/>
        <v>0</v>
      </c>
      <c r="AE475">
        <f t="shared" si="70"/>
        <v>0</v>
      </c>
      <c r="AG475">
        <f t="shared" si="71"/>
        <v>0</v>
      </c>
    </row>
    <row r="476" spans="1:33" x14ac:dyDescent="0.25">
      <c r="A476">
        <v>490</v>
      </c>
      <c r="B476">
        <f>IFERROR(VLOOKUP(A476,Capacity!$A$3:$D$532,4,), "0")</f>
        <v>14.912747373124999</v>
      </c>
      <c r="C476" s="4">
        <f>IFERROR(VLOOKUP(A476,Capacity!$A$3:$F$532,6,), "0")</f>
        <v>0.17499999999999999</v>
      </c>
      <c r="E476" t="str">
        <f>IFERROR(VLOOKUP(D476,Capacity!$A$3:$D$532,4,), "0")</f>
        <v>0</v>
      </c>
      <c r="F476" s="4" t="str">
        <f>IFERROR(VLOOKUP(D476,Capacity!$A$3:$F$532,6,), "0")</f>
        <v>0</v>
      </c>
      <c r="H476" t="str">
        <f>IFERROR(VLOOKUP(G476,Capacity!$A$3:$D$532,4,), "0")</f>
        <v>0</v>
      </c>
      <c r="I476" s="4" t="str">
        <f>IFERROR(VLOOKUP(G476,Capacity!$A$3:$F$532,6,), "0")</f>
        <v>0</v>
      </c>
      <c r="K476" t="str">
        <f>IFERROR(VLOOKUP(J476,Capacity!$A$3:$D$532,4,), "0")</f>
        <v>0</v>
      </c>
      <c r="L476" s="4" t="str">
        <f>IFERROR(VLOOKUP(J476,Capacity!$A$3:$F$532,6,), "0")</f>
        <v>0</v>
      </c>
      <c r="M476" s="5">
        <f t="shared" si="63"/>
        <v>0</v>
      </c>
      <c r="N476" s="5">
        <f t="shared" si="64"/>
        <v>0</v>
      </c>
      <c r="O476">
        <v>286</v>
      </c>
      <c r="P476">
        <f>IFERROR(VLOOKUP(O476,Capacity!$A$3:$D$532,4,), "0")</f>
        <v>77.911496480000025</v>
      </c>
      <c r="Q476" s="4">
        <f>IFERROR(VLOOKUP(O476,Capacity!$A$3:$F$532,6,), "0")</f>
        <v>0.4</v>
      </c>
      <c r="R476" s="5">
        <f t="shared" si="65"/>
        <v>77.911496480000025</v>
      </c>
      <c r="S476" s="5">
        <f t="shared" si="69"/>
        <v>0.4</v>
      </c>
      <c r="U476">
        <v>490</v>
      </c>
      <c r="V476">
        <v>0</v>
      </c>
      <c r="W476">
        <v>0</v>
      </c>
      <c r="X476">
        <v>1</v>
      </c>
      <c r="AB476">
        <f t="shared" si="66"/>
        <v>0</v>
      </c>
      <c r="AC476">
        <f t="shared" si="67"/>
        <v>0</v>
      </c>
      <c r="AD476">
        <f t="shared" si="68"/>
        <v>0</v>
      </c>
      <c r="AE476">
        <f t="shared" si="70"/>
        <v>0</v>
      </c>
      <c r="AG476">
        <f t="shared" si="71"/>
        <v>0</v>
      </c>
    </row>
    <row r="477" spans="1:33" x14ac:dyDescent="0.25">
      <c r="A477">
        <v>278</v>
      </c>
      <c r="B477">
        <f>IFERROR(VLOOKUP(A477,Capacity!$A$3:$D$532,4,), "0")</f>
        <v>75.398222400000023</v>
      </c>
      <c r="C477" s="4">
        <f>IFERROR(VLOOKUP(A477,Capacity!$A$3:$F$532,6,), "0")</f>
        <v>0.4</v>
      </c>
      <c r="D477">
        <v>268</v>
      </c>
      <c r="E477">
        <f>IFERROR(VLOOKUP(D477,Capacity!$A$3:$D$532,4,), "0")</f>
        <v>40.212385280000007</v>
      </c>
      <c r="F477" s="4">
        <f>IFERROR(VLOOKUP(D477,Capacity!$A$3:$F$532,6,), "0")</f>
        <v>0.4</v>
      </c>
      <c r="G477">
        <v>135</v>
      </c>
      <c r="H477">
        <f>IFERROR(VLOOKUP(G477,Capacity!$A$3:$D$532,4,), "0")</f>
        <v>11.545352804999998</v>
      </c>
      <c r="I477" s="4">
        <f>IFERROR(VLOOKUP(G477,Capacity!$A$3:$F$532,6,), "0")</f>
        <v>0.17499999999999999</v>
      </c>
      <c r="K477" t="str">
        <f>IFERROR(VLOOKUP(J477,Capacity!$A$3:$D$532,4,), "0")</f>
        <v>0</v>
      </c>
      <c r="L477" s="4" t="str">
        <f>IFERROR(VLOOKUP(J477,Capacity!$A$3:$F$532,6,), "0")</f>
        <v>0</v>
      </c>
      <c r="M477" s="5">
        <f t="shared" si="63"/>
        <v>51.757738085000007</v>
      </c>
      <c r="N477" s="5">
        <f t="shared" si="64"/>
        <v>0.57499999999999996</v>
      </c>
      <c r="O477">
        <v>286</v>
      </c>
      <c r="P477">
        <f>IFERROR(VLOOKUP(O477,Capacity!$A$3:$D$532,4,), "0")</f>
        <v>77.911496480000025</v>
      </c>
      <c r="Q477" s="4">
        <f>IFERROR(VLOOKUP(O477,Capacity!$A$3:$F$532,6,), "0")</f>
        <v>0.4</v>
      </c>
      <c r="R477" s="5">
        <f t="shared" si="65"/>
        <v>77.911496480000025</v>
      </c>
      <c r="S477" s="5">
        <f t="shared" si="69"/>
        <v>0.4</v>
      </c>
      <c r="U477">
        <v>278</v>
      </c>
      <c r="V477">
        <v>2</v>
      </c>
      <c r="W477">
        <v>2</v>
      </c>
      <c r="X477">
        <v>1</v>
      </c>
      <c r="AB477">
        <f t="shared" si="66"/>
        <v>0.66431451612903214</v>
      </c>
      <c r="AC477">
        <f t="shared" si="67"/>
        <v>0.68645833333333317</v>
      </c>
      <c r="AD477">
        <f t="shared" si="68"/>
        <v>1.4374999999999998</v>
      </c>
      <c r="AE477">
        <f t="shared" si="70"/>
        <v>1.4374999999999998</v>
      </c>
      <c r="AG477">
        <f t="shared" si="71"/>
        <v>0.33760245901639341</v>
      </c>
    </row>
    <row r="478" spans="1:33" x14ac:dyDescent="0.25">
      <c r="A478">
        <v>491</v>
      </c>
      <c r="B478">
        <f>IFERROR(VLOOKUP(A478,Capacity!$A$3:$D$532,4,), "0")</f>
        <v>7.2158455031249993</v>
      </c>
      <c r="C478" s="4">
        <f>IFERROR(VLOOKUP(A478,Capacity!$A$3:$F$532,6,), "0")</f>
        <v>0.17499999999999999</v>
      </c>
      <c r="E478" t="str">
        <f>IFERROR(VLOOKUP(D478,Capacity!$A$3:$D$532,4,), "0")</f>
        <v>0</v>
      </c>
      <c r="F478" s="4" t="str">
        <f>IFERROR(VLOOKUP(D478,Capacity!$A$3:$F$532,6,), "0")</f>
        <v>0</v>
      </c>
      <c r="H478" t="str">
        <f>IFERROR(VLOOKUP(G478,Capacity!$A$3:$D$532,4,), "0")</f>
        <v>0</v>
      </c>
      <c r="I478" s="4" t="str">
        <f>IFERROR(VLOOKUP(G478,Capacity!$A$3:$F$532,6,), "0")</f>
        <v>0</v>
      </c>
      <c r="K478" t="str">
        <f>IFERROR(VLOOKUP(J478,Capacity!$A$3:$D$532,4,), "0")</f>
        <v>0</v>
      </c>
      <c r="L478" s="4" t="str">
        <f>IFERROR(VLOOKUP(J478,Capacity!$A$3:$F$532,6,), "0")</f>
        <v>0</v>
      </c>
      <c r="M478" s="5">
        <f t="shared" si="63"/>
        <v>0</v>
      </c>
      <c r="N478" s="5">
        <f t="shared" si="64"/>
        <v>0</v>
      </c>
      <c r="O478">
        <v>287</v>
      </c>
      <c r="P478">
        <f>IFERROR(VLOOKUP(O478,Capacity!$A$3:$D$532,4,), "0")</f>
        <v>14.431691006249999</v>
      </c>
      <c r="Q478" s="4">
        <f>IFERROR(VLOOKUP(O478,Capacity!$A$3:$F$532,6,), "0")</f>
        <v>0.17499999999999999</v>
      </c>
      <c r="R478" s="5">
        <f t="shared" si="65"/>
        <v>14.431691006249999</v>
      </c>
      <c r="S478" s="5">
        <f t="shared" si="69"/>
        <v>0.17499999999999999</v>
      </c>
      <c r="U478">
        <v>491</v>
      </c>
      <c r="V478">
        <v>0</v>
      </c>
      <c r="W478">
        <v>0</v>
      </c>
      <c r="X478">
        <v>1</v>
      </c>
      <c r="AB478">
        <f t="shared" si="66"/>
        <v>0</v>
      </c>
      <c r="AC478">
        <f t="shared" si="67"/>
        <v>0</v>
      </c>
      <c r="AD478">
        <f t="shared" si="68"/>
        <v>0</v>
      </c>
      <c r="AE478">
        <f t="shared" si="70"/>
        <v>0</v>
      </c>
      <c r="AG478">
        <f t="shared" si="71"/>
        <v>0</v>
      </c>
    </row>
    <row r="479" spans="1:33" x14ac:dyDescent="0.25">
      <c r="A479">
        <v>290</v>
      </c>
      <c r="B479">
        <f>IFERROR(VLOOKUP(A479,Capacity!$A$3:$D$532,4,), "0")</f>
        <v>125.663704</v>
      </c>
      <c r="C479" s="4">
        <f>IFERROR(VLOOKUP(A479,Capacity!$A$3:$F$532,6,), "0")</f>
        <v>0.5</v>
      </c>
      <c r="D479">
        <v>291</v>
      </c>
      <c r="E479">
        <f>IFERROR(VLOOKUP(D479,Capacity!$A$3:$D$532,4,), "0")</f>
        <v>65.345126080000014</v>
      </c>
      <c r="F479" s="4">
        <f>IFERROR(VLOOKUP(D479,Capacity!$A$3:$F$532,6,), "0")</f>
        <v>0.4</v>
      </c>
      <c r="G479">
        <v>317</v>
      </c>
      <c r="H479">
        <f>IFERROR(VLOOKUP(G479,Capacity!$A$3:$D$532,4,), "0")</f>
        <v>85.451318720000017</v>
      </c>
      <c r="I479" s="4">
        <f>IFERROR(VLOOKUP(G479,Capacity!$A$3:$F$532,6,), "0")</f>
        <v>0.4</v>
      </c>
      <c r="K479" t="str">
        <f>IFERROR(VLOOKUP(J479,Capacity!$A$3:$D$532,4,), "0")</f>
        <v>0</v>
      </c>
      <c r="L479" s="4" t="str">
        <f>IFERROR(VLOOKUP(J479,Capacity!$A$3:$F$532,6,), "0")</f>
        <v>0</v>
      </c>
      <c r="M479" s="5">
        <f t="shared" si="63"/>
        <v>150.79644480000002</v>
      </c>
      <c r="N479" s="5">
        <f t="shared" si="64"/>
        <v>0.8</v>
      </c>
      <c r="O479">
        <v>292</v>
      </c>
      <c r="P479">
        <f>IFERROR(VLOOKUP(O479,Capacity!$A$3:$D$532,4,), "0")</f>
        <v>121.73671325000001</v>
      </c>
      <c r="Q479" s="4">
        <f>IFERROR(VLOOKUP(O479,Capacity!$A$3:$F$532,6,), "0")</f>
        <v>0.5</v>
      </c>
      <c r="R479" s="5">
        <f t="shared" si="65"/>
        <v>121.73671325000001</v>
      </c>
      <c r="S479" s="5">
        <f t="shared" si="69"/>
        <v>0.5</v>
      </c>
      <c r="U479">
        <v>290</v>
      </c>
      <c r="V479">
        <v>2</v>
      </c>
      <c r="W479">
        <v>2</v>
      </c>
      <c r="X479">
        <v>1</v>
      </c>
      <c r="AB479">
        <f t="shared" si="66"/>
        <v>1.2387096774193549</v>
      </c>
      <c r="AC479">
        <f t="shared" si="67"/>
        <v>1.2000000000000002</v>
      </c>
      <c r="AD479">
        <f t="shared" si="68"/>
        <v>1.6</v>
      </c>
      <c r="AE479">
        <f t="shared" si="70"/>
        <v>1.6</v>
      </c>
      <c r="AG479">
        <f t="shared" si="71"/>
        <v>0.60952380952380958</v>
      </c>
    </row>
    <row r="480" spans="1:33" x14ac:dyDescent="0.25">
      <c r="A480">
        <v>271</v>
      </c>
      <c r="B480">
        <f>IFERROR(VLOOKUP(A480,Capacity!$A$3:$D$532,4,), "0")</f>
        <v>24.052818343749998</v>
      </c>
      <c r="C480" s="4">
        <f>IFERROR(VLOOKUP(A480,Capacity!$A$3:$F$532,6,), "0")</f>
        <v>0.17499999999999999</v>
      </c>
      <c r="E480" t="str">
        <f>IFERROR(VLOOKUP(D480,Capacity!$A$3:$D$532,4,), "0")</f>
        <v>0</v>
      </c>
      <c r="F480" s="4" t="str">
        <f>IFERROR(VLOOKUP(D480,Capacity!$A$3:$F$532,6,), "0")</f>
        <v>0</v>
      </c>
      <c r="H480" t="str">
        <f>IFERROR(VLOOKUP(G480,Capacity!$A$3:$D$532,4,), "0")</f>
        <v>0</v>
      </c>
      <c r="I480" s="4" t="str">
        <f>IFERROR(VLOOKUP(G480,Capacity!$A$3:$F$532,6,), "0")</f>
        <v>0</v>
      </c>
      <c r="K480" t="str">
        <f>IFERROR(VLOOKUP(J480,Capacity!$A$3:$D$532,4,), "0")</f>
        <v>0</v>
      </c>
      <c r="L480" s="4" t="str">
        <f>IFERROR(VLOOKUP(J480,Capacity!$A$3:$F$532,6,), "0")</f>
        <v>0</v>
      </c>
      <c r="M480" s="5">
        <f t="shared" si="63"/>
        <v>0</v>
      </c>
      <c r="N480" s="5">
        <f t="shared" si="64"/>
        <v>0</v>
      </c>
      <c r="O480">
        <v>292</v>
      </c>
      <c r="P480">
        <f>IFERROR(VLOOKUP(O480,Capacity!$A$3:$D$532,4,), "0")</f>
        <v>121.73671325000001</v>
      </c>
      <c r="Q480" s="4">
        <f>IFERROR(VLOOKUP(O480,Capacity!$A$3:$F$532,6,), "0")</f>
        <v>0.5</v>
      </c>
      <c r="R480" s="5">
        <f t="shared" si="65"/>
        <v>121.73671325000001</v>
      </c>
      <c r="S480" s="5">
        <f t="shared" si="69"/>
        <v>0.5</v>
      </c>
      <c r="U480">
        <v>271</v>
      </c>
      <c r="V480">
        <v>0</v>
      </c>
      <c r="W480">
        <v>0</v>
      </c>
      <c r="X480">
        <v>1</v>
      </c>
      <c r="AB480">
        <f t="shared" si="66"/>
        <v>0</v>
      </c>
      <c r="AC480">
        <f t="shared" si="67"/>
        <v>0</v>
      </c>
      <c r="AD480">
        <f t="shared" si="68"/>
        <v>0</v>
      </c>
      <c r="AE480">
        <f t="shared" si="70"/>
        <v>0</v>
      </c>
      <c r="AG480">
        <f t="shared" si="71"/>
        <v>0</v>
      </c>
    </row>
    <row r="481" spans="1:33" x14ac:dyDescent="0.25">
      <c r="A481">
        <v>289</v>
      </c>
      <c r="B481">
        <f>IFERROR(VLOOKUP(A481,Capacity!$A$3:$D$532,4,), "0")</f>
        <v>24.268017436850005</v>
      </c>
      <c r="C481" s="4">
        <f>IFERROR(VLOOKUP(A481,Capacity!$A$3:$F$532,6,), "0")</f>
        <v>0.26500000000000001</v>
      </c>
      <c r="D481">
        <v>224</v>
      </c>
      <c r="E481">
        <f>IFERROR(VLOOKUP(D481,Capacity!$A$3:$D$532,4,), "0")</f>
        <v>33.092751050250008</v>
      </c>
      <c r="F481" s="4">
        <f>IFERROR(VLOOKUP(D481,Capacity!$A$3:$F$532,6,), "0")</f>
        <v>0.26500000000000001</v>
      </c>
      <c r="H481" t="str">
        <f>IFERROR(VLOOKUP(G481,Capacity!$A$3:$D$532,4,), "0")</f>
        <v>0</v>
      </c>
      <c r="I481" s="4" t="str">
        <f>IFERROR(VLOOKUP(G481,Capacity!$A$3:$F$532,6,), "0")</f>
        <v>0</v>
      </c>
      <c r="K481" t="str">
        <f>IFERROR(VLOOKUP(J481,Capacity!$A$3:$D$532,4,), "0")</f>
        <v>0</v>
      </c>
      <c r="L481" s="4" t="str">
        <f>IFERROR(VLOOKUP(J481,Capacity!$A$3:$F$532,6,), "0")</f>
        <v>0</v>
      </c>
      <c r="M481" s="5">
        <f t="shared" si="63"/>
        <v>33.092751050250008</v>
      </c>
      <c r="N481" s="5">
        <f t="shared" si="64"/>
        <v>0.26500000000000001</v>
      </c>
      <c r="O481">
        <v>292</v>
      </c>
      <c r="P481">
        <f>IFERROR(VLOOKUP(O481,Capacity!$A$3:$D$532,4,), "0")</f>
        <v>121.73671325000001</v>
      </c>
      <c r="Q481" s="4">
        <f>IFERROR(VLOOKUP(O481,Capacity!$A$3:$F$532,6,), "0")</f>
        <v>0.5</v>
      </c>
      <c r="R481" s="5">
        <f t="shared" si="65"/>
        <v>121.73671325000001</v>
      </c>
      <c r="S481" s="5">
        <f t="shared" si="69"/>
        <v>0.5</v>
      </c>
      <c r="U481">
        <v>289</v>
      </c>
      <c r="V481">
        <v>2</v>
      </c>
      <c r="W481">
        <v>2</v>
      </c>
      <c r="X481">
        <v>1</v>
      </c>
      <c r="AB481">
        <f t="shared" si="66"/>
        <v>0.27183870967741941</v>
      </c>
      <c r="AC481">
        <f t="shared" si="67"/>
        <v>1.3636363636363638</v>
      </c>
      <c r="AD481">
        <f t="shared" si="68"/>
        <v>0.53</v>
      </c>
      <c r="AE481">
        <f t="shared" si="70"/>
        <v>1</v>
      </c>
      <c r="AG481">
        <f t="shared" si="71"/>
        <v>0.22665533434822135</v>
      </c>
    </row>
    <row r="482" spans="1:33" x14ac:dyDescent="0.25">
      <c r="A482">
        <v>492</v>
      </c>
      <c r="B482">
        <f>IFERROR(VLOOKUP(A482,Capacity!$A$3:$D$532,4,), "0")</f>
        <v>14.912747373124999</v>
      </c>
      <c r="C482" s="4">
        <f>IFERROR(VLOOKUP(A482,Capacity!$A$3:$F$532,6,), "0")</f>
        <v>0.17499999999999999</v>
      </c>
      <c r="E482" t="str">
        <f>IFERROR(VLOOKUP(D482,Capacity!$A$3:$D$532,4,), "0")</f>
        <v>0</v>
      </c>
      <c r="F482" s="4" t="str">
        <f>IFERROR(VLOOKUP(D482,Capacity!$A$3:$F$532,6,), "0")</f>
        <v>0</v>
      </c>
      <c r="H482" t="str">
        <f>IFERROR(VLOOKUP(G482,Capacity!$A$3:$D$532,4,), "0")</f>
        <v>0</v>
      </c>
      <c r="I482" s="4" t="str">
        <f>IFERROR(VLOOKUP(G482,Capacity!$A$3:$F$532,6,), "0")</f>
        <v>0</v>
      </c>
      <c r="K482" t="str">
        <f>IFERROR(VLOOKUP(J482,Capacity!$A$3:$D$532,4,), "0")</f>
        <v>0</v>
      </c>
      <c r="L482" s="4" t="str">
        <f>IFERROR(VLOOKUP(J482,Capacity!$A$3:$F$532,6,), "0")</f>
        <v>0</v>
      </c>
      <c r="M482" s="5">
        <f t="shared" si="63"/>
        <v>0</v>
      </c>
      <c r="N482" s="5">
        <f t="shared" si="64"/>
        <v>0</v>
      </c>
      <c r="O482">
        <v>288</v>
      </c>
      <c r="P482">
        <f>IFERROR(VLOOKUP(O482,Capacity!$A$3:$D$532,4,), "0")</f>
        <v>22.619466720000005</v>
      </c>
      <c r="Q482" s="4">
        <f>IFERROR(VLOOKUP(O482,Capacity!$A$3:$F$532,6,), "0")</f>
        <v>0.2</v>
      </c>
      <c r="R482" s="5">
        <f t="shared" si="65"/>
        <v>22.619466720000005</v>
      </c>
      <c r="S482" s="5">
        <f t="shared" si="69"/>
        <v>0.2</v>
      </c>
      <c r="U482">
        <v>492</v>
      </c>
      <c r="V482">
        <v>0</v>
      </c>
      <c r="W482">
        <v>0</v>
      </c>
      <c r="X482">
        <v>1</v>
      </c>
      <c r="AB482">
        <f t="shared" si="66"/>
        <v>0</v>
      </c>
      <c r="AC482">
        <f t="shared" si="67"/>
        <v>0</v>
      </c>
      <c r="AD482">
        <f t="shared" si="68"/>
        <v>0</v>
      </c>
      <c r="AE482">
        <f t="shared" si="70"/>
        <v>0</v>
      </c>
      <c r="AG482">
        <f t="shared" si="71"/>
        <v>0</v>
      </c>
    </row>
    <row r="483" spans="1:33" x14ac:dyDescent="0.25">
      <c r="A483">
        <v>440</v>
      </c>
      <c r="B483">
        <f>IFERROR(VLOOKUP(A483,Capacity!$A$3:$D$532,4,), "0")</f>
        <v>10.58324007125</v>
      </c>
      <c r="C483" s="4">
        <f>IFERROR(VLOOKUP(A483,Capacity!$A$3:$F$532,6,), "0")</f>
        <v>0.17499999999999999</v>
      </c>
      <c r="E483" t="str">
        <f>IFERROR(VLOOKUP(D483,Capacity!$A$3:$D$532,4,), "0")</f>
        <v>0</v>
      </c>
      <c r="F483" s="4" t="str">
        <f>IFERROR(VLOOKUP(D483,Capacity!$A$3:$F$532,6,), "0")</f>
        <v>0</v>
      </c>
      <c r="H483" t="str">
        <f>IFERROR(VLOOKUP(G483,Capacity!$A$3:$D$532,4,), "0")</f>
        <v>0</v>
      </c>
      <c r="I483" s="4" t="str">
        <f>IFERROR(VLOOKUP(G483,Capacity!$A$3:$F$532,6,), "0")</f>
        <v>0</v>
      </c>
      <c r="K483" t="str">
        <f>IFERROR(VLOOKUP(J483,Capacity!$A$3:$D$532,4,), "0")</f>
        <v>0</v>
      </c>
      <c r="L483" s="4" t="str">
        <f>IFERROR(VLOOKUP(J483,Capacity!$A$3:$F$532,6,), "0")</f>
        <v>0</v>
      </c>
      <c r="M483" s="5">
        <f t="shared" si="63"/>
        <v>0</v>
      </c>
      <c r="N483" s="5">
        <f t="shared" si="64"/>
        <v>0</v>
      </c>
      <c r="O483">
        <v>90</v>
      </c>
      <c r="P483">
        <f>IFERROR(VLOOKUP(O483,Capacity!$A$3:$D$532,4,), "0")</f>
        <v>35.298934453600005</v>
      </c>
      <c r="Q483" s="4">
        <f>IFERROR(VLOOKUP(O483,Capacity!$A$3:$F$532,6,), "0")</f>
        <v>0.26500000000000001</v>
      </c>
      <c r="R483" s="5">
        <f t="shared" si="65"/>
        <v>35.298934453600005</v>
      </c>
      <c r="S483" s="5">
        <f t="shared" si="69"/>
        <v>0.26500000000000001</v>
      </c>
      <c r="U483">
        <v>440</v>
      </c>
      <c r="V483">
        <v>0</v>
      </c>
      <c r="W483">
        <v>0</v>
      </c>
      <c r="X483">
        <v>1</v>
      </c>
      <c r="AB483">
        <f t="shared" si="66"/>
        <v>0</v>
      </c>
      <c r="AC483">
        <f t="shared" si="67"/>
        <v>0</v>
      </c>
      <c r="AD483">
        <f t="shared" si="68"/>
        <v>0</v>
      </c>
      <c r="AE483">
        <f t="shared" si="70"/>
        <v>0</v>
      </c>
      <c r="AG483">
        <f t="shared" si="71"/>
        <v>0</v>
      </c>
    </row>
    <row r="484" spans="1:33" x14ac:dyDescent="0.25">
      <c r="A484">
        <v>79</v>
      </c>
      <c r="B484">
        <f>IFERROR(VLOOKUP(A484,Capacity!$A$3:$D$532,4,), "0")</f>
        <v>33.092751050250008</v>
      </c>
      <c r="C484" s="4">
        <f>IFERROR(VLOOKUP(A484,Capacity!$A$3:$F$532,6,), "0")</f>
        <v>0.26500000000000001</v>
      </c>
      <c r="D484">
        <v>68</v>
      </c>
      <c r="E484">
        <f>IFERROR(VLOOKUP(D484,Capacity!$A$3:$D$532,4,), "0")</f>
        <v>17.649467226800002</v>
      </c>
      <c r="F484" s="4">
        <f>IFERROR(VLOOKUP(D484,Capacity!$A$3:$F$532,6,), "0")</f>
        <v>0.26500000000000001</v>
      </c>
      <c r="H484" t="str">
        <f>IFERROR(VLOOKUP(G484,Capacity!$A$3:$D$532,4,), "0")</f>
        <v>0</v>
      </c>
      <c r="I484" s="4" t="str">
        <f>IFERROR(VLOOKUP(G484,Capacity!$A$3:$F$532,6,), "0")</f>
        <v>0</v>
      </c>
      <c r="K484" t="str">
        <f>IFERROR(VLOOKUP(J484,Capacity!$A$3:$D$532,4,), "0")</f>
        <v>0</v>
      </c>
      <c r="L484" s="4" t="str">
        <f>IFERROR(VLOOKUP(J484,Capacity!$A$3:$F$532,6,), "0")</f>
        <v>0</v>
      </c>
      <c r="M484" s="5">
        <f t="shared" si="63"/>
        <v>17.649467226800002</v>
      </c>
      <c r="N484" s="5">
        <f t="shared" si="64"/>
        <v>0.26500000000000001</v>
      </c>
      <c r="O484">
        <v>90</v>
      </c>
      <c r="P484">
        <f>IFERROR(VLOOKUP(O484,Capacity!$A$3:$D$532,4,), "0")</f>
        <v>35.298934453600005</v>
      </c>
      <c r="Q484" s="4">
        <f>IFERROR(VLOOKUP(O484,Capacity!$A$3:$F$532,6,), "0")</f>
        <v>0.26500000000000001</v>
      </c>
      <c r="R484" s="5">
        <f t="shared" si="65"/>
        <v>35.298934453600005</v>
      </c>
      <c r="S484" s="5">
        <f t="shared" si="69"/>
        <v>0.26500000000000001</v>
      </c>
      <c r="U484">
        <v>79</v>
      </c>
      <c r="V484">
        <v>1</v>
      </c>
      <c r="W484">
        <v>1</v>
      </c>
      <c r="X484">
        <v>1</v>
      </c>
      <c r="AB484">
        <f t="shared" si="66"/>
        <v>0.5</v>
      </c>
      <c r="AC484">
        <f t="shared" si="67"/>
        <v>0.53333333333333321</v>
      </c>
      <c r="AD484">
        <f t="shared" si="68"/>
        <v>1</v>
      </c>
      <c r="AE484">
        <f t="shared" si="70"/>
        <v>1</v>
      </c>
      <c r="AG484">
        <f t="shared" si="71"/>
        <v>0.25806451612903225</v>
      </c>
    </row>
    <row r="485" spans="1:33" x14ac:dyDescent="0.25">
      <c r="A485">
        <v>268</v>
      </c>
      <c r="B485">
        <f>IFERROR(VLOOKUP(A485,Capacity!$A$3:$D$532,4,), "0")</f>
        <v>40.212385280000007</v>
      </c>
      <c r="C485" s="4">
        <f>IFERROR(VLOOKUP(A485,Capacity!$A$3:$F$532,6,), "0")</f>
        <v>0.4</v>
      </c>
      <c r="D485">
        <v>257</v>
      </c>
      <c r="E485">
        <f>IFERROR(VLOOKUP(D485,Capacity!$A$3:$D$532,4,), "0")</f>
        <v>17.649467226800002</v>
      </c>
      <c r="F485" s="4">
        <f>IFERROR(VLOOKUP(D485,Capacity!$A$3:$F$532,6,), "0")</f>
        <v>0.26500000000000001</v>
      </c>
      <c r="G485">
        <v>146</v>
      </c>
      <c r="H485">
        <f>IFERROR(VLOOKUP(G485,Capacity!$A$3:$D$532,4,), "0")</f>
        <v>12.026409171874999</v>
      </c>
      <c r="I485" s="4">
        <f>IFERROR(VLOOKUP(G485,Capacity!$A$3:$F$532,6,), "0")</f>
        <v>0.17499999999999999</v>
      </c>
      <c r="K485" t="str">
        <f>IFERROR(VLOOKUP(J485,Capacity!$A$3:$D$532,4,), "0")</f>
        <v>0</v>
      </c>
      <c r="L485" s="4" t="str">
        <f>IFERROR(VLOOKUP(J485,Capacity!$A$3:$F$532,6,), "0")</f>
        <v>0</v>
      </c>
      <c r="M485" s="5">
        <f t="shared" si="63"/>
        <v>29.675876398675001</v>
      </c>
      <c r="N485" s="5">
        <f t="shared" si="64"/>
        <v>0.44</v>
      </c>
      <c r="O485">
        <v>278</v>
      </c>
      <c r="P485">
        <f>IFERROR(VLOOKUP(O485,Capacity!$A$3:$D$532,4,), "0")</f>
        <v>75.398222400000023</v>
      </c>
      <c r="Q485" s="4">
        <f>IFERROR(VLOOKUP(O485,Capacity!$A$3:$F$532,6,), "0")</f>
        <v>0.4</v>
      </c>
      <c r="R485" s="5">
        <f t="shared" si="65"/>
        <v>75.398222400000023</v>
      </c>
      <c r="S485" s="5">
        <f t="shared" si="69"/>
        <v>0.4</v>
      </c>
      <c r="U485">
        <v>268</v>
      </c>
      <c r="V485">
        <v>2</v>
      </c>
      <c r="W485">
        <v>2</v>
      </c>
      <c r="X485">
        <v>1</v>
      </c>
      <c r="AB485">
        <f t="shared" si="66"/>
        <v>0.39358854166666657</v>
      </c>
      <c r="AC485">
        <f t="shared" si="67"/>
        <v>0.73797851562499994</v>
      </c>
      <c r="AD485">
        <f t="shared" si="68"/>
        <v>1.0999999999999999</v>
      </c>
      <c r="AE485">
        <f t="shared" si="70"/>
        <v>1.0999999999999999</v>
      </c>
      <c r="AG485">
        <f t="shared" si="71"/>
        <v>0.25668817934782601</v>
      </c>
    </row>
    <row r="486" spans="1:33" x14ac:dyDescent="0.25">
      <c r="A486">
        <v>135</v>
      </c>
      <c r="B486">
        <f>IFERROR(VLOOKUP(A486,Capacity!$A$3:$D$532,4,), "0")</f>
        <v>11.545352804999998</v>
      </c>
      <c r="C486" s="4">
        <f>IFERROR(VLOOKUP(A486,Capacity!$A$3:$F$532,6,), "0")</f>
        <v>0.17499999999999999</v>
      </c>
      <c r="D486">
        <v>410</v>
      </c>
      <c r="E486">
        <f>IFERROR(VLOOKUP(D486,Capacity!$A$3:$D$532,4,), "0")</f>
        <v>9.621127337499999</v>
      </c>
      <c r="F486" s="4">
        <f>IFERROR(VLOOKUP(D486,Capacity!$A$3:$F$532,6,), "0")</f>
        <v>0.17499999999999999</v>
      </c>
      <c r="H486" t="str">
        <f>IFERROR(VLOOKUP(G486,Capacity!$A$3:$D$532,4,), "0")</f>
        <v>0</v>
      </c>
      <c r="I486" s="4" t="str">
        <f>IFERROR(VLOOKUP(G486,Capacity!$A$3:$F$532,6,), "0")</f>
        <v>0</v>
      </c>
      <c r="K486" t="str">
        <f>IFERROR(VLOOKUP(J486,Capacity!$A$3:$D$532,4,), "0")</f>
        <v>0</v>
      </c>
      <c r="L486" s="4" t="str">
        <f>IFERROR(VLOOKUP(J486,Capacity!$A$3:$F$532,6,), "0")</f>
        <v>0</v>
      </c>
      <c r="M486" s="5">
        <f t="shared" si="63"/>
        <v>9.621127337499999</v>
      </c>
      <c r="N486" s="5">
        <f t="shared" si="64"/>
        <v>0.17499999999999999</v>
      </c>
      <c r="O486">
        <v>278</v>
      </c>
      <c r="P486">
        <f>IFERROR(VLOOKUP(O486,Capacity!$A$3:$D$532,4,), "0")</f>
        <v>75.398222400000023</v>
      </c>
      <c r="Q486" s="4">
        <f>IFERROR(VLOOKUP(O486,Capacity!$A$3:$F$532,6,), "0")</f>
        <v>0.4</v>
      </c>
      <c r="R486" s="5">
        <f t="shared" si="65"/>
        <v>75.398222400000023</v>
      </c>
      <c r="S486" s="5">
        <f t="shared" si="69"/>
        <v>0.4</v>
      </c>
      <c r="U486">
        <v>135</v>
      </c>
      <c r="V486">
        <v>2</v>
      </c>
      <c r="W486">
        <v>2</v>
      </c>
      <c r="X486">
        <v>1</v>
      </c>
      <c r="AB486">
        <f t="shared" si="66"/>
        <v>0.1276041666666666</v>
      </c>
      <c r="AC486">
        <f t="shared" si="67"/>
        <v>0.83333333333333337</v>
      </c>
      <c r="AD486">
        <f t="shared" si="68"/>
        <v>0.43749999999999994</v>
      </c>
      <c r="AE486">
        <f t="shared" si="70"/>
        <v>1</v>
      </c>
      <c r="AG486">
        <f t="shared" si="71"/>
        <v>0.11065943992773258</v>
      </c>
    </row>
    <row r="487" spans="1:33" x14ac:dyDescent="0.25">
      <c r="A487">
        <v>224</v>
      </c>
      <c r="B487">
        <f>IFERROR(VLOOKUP(A487,Capacity!$A$3:$D$532,4,), "0")</f>
        <v>33.092751050250008</v>
      </c>
      <c r="C487" s="4">
        <f>IFERROR(VLOOKUP(A487,Capacity!$A$3:$F$532,6,), "0")</f>
        <v>0.26500000000000001</v>
      </c>
      <c r="D487">
        <v>482</v>
      </c>
      <c r="E487">
        <f>IFERROR(VLOOKUP(D487,Capacity!$A$3:$D$532,4,), "0")</f>
        <v>7.6969018699999987</v>
      </c>
      <c r="F487" s="4">
        <f>IFERROR(VLOOKUP(D487,Capacity!$A$3:$F$532,6,), "0")</f>
        <v>0.17499999999999999</v>
      </c>
      <c r="G487">
        <v>212</v>
      </c>
      <c r="H487">
        <f>IFERROR(VLOOKUP(G487,Capacity!$A$3:$D$532,4,), "0")</f>
        <v>5.7726764024999992</v>
      </c>
      <c r="I487" s="4">
        <f>IFERROR(VLOOKUP(G487,Capacity!$A$3:$F$532,6,), "0")</f>
        <v>0.17499999999999999</v>
      </c>
      <c r="J487">
        <v>190</v>
      </c>
      <c r="K487">
        <f>IFERROR(VLOOKUP(J487,Capacity!$A$3:$D$532,4,), "0")</f>
        <v>35.298934453600005</v>
      </c>
      <c r="L487" s="4">
        <f>IFERROR(VLOOKUP(J487,Capacity!$A$3:$F$532,6,), "0")</f>
        <v>0.26500000000000001</v>
      </c>
      <c r="M487" s="5">
        <f t="shared" si="63"/>
        <v>48.768512726099999</v>
      </c>
      <c r="N487" s="5">
        <f t="shared" si="64"/>
        <v>0.61499999999999999</v>
      </c>
      <c r="O487">
        <v>289</v>
      </c>
      <c r="P487">
        <f>IFERROR(VLOOKUP(O487,Capacity!$A$3:$D$532,4,), "0")</f>
        <v>24.268017436850005</v>
      </c>
      <c r="Q487" s="4">
        <f>IFERROR(VLOOKUP(O487,Capacity!$A$3:$F$532,6,), "0")</f>
        <v>0.26500000000000001</v>
      </c>
      <c r="R487" s="5">
        <f t="shared" si="65"/>
        <v>24.268017436850005</v>
      </c>
      <c r="S487" s="5">
        <f t="shared" si="69"/>
        <v>0.26500000000000001</v>
      </c>
      <c r="U487">
        <v>224</v>
      </c>
      <c r="V487">
        <v>3</v>
      </c>
      <c r="W487">
        <v>3</v>
      </c>
      <c r="X487">
        <v>1</v>
      </c>
      <c r="AB487">
        <f t="shared" si="66"/>
        <v>2.0095795980452436</v>
      </c>
      <c r="AC487">
        <f t="shared" si="67"/>
        <v>1.4736917052331786</v>
      </c>
      <c r="AD487">
        <f t="shared" si="68"/>
        <v>2.3207547169811318</v>
      </c>
      <c r="AE487">
        <f t="shared" si="70"/>
        <v>2.3207547169811318</v>
      </c>
      <c r="AG487">
        <f t="shared" si="71"/>
        <v>0.8502067530191415</v>
      </c>
    </row>
    <row r="488" spans="1:33" x14ac:dyDescent="0.25">
      <c r="A488">
        <v>317</v>
      </c>
      <c r="B488">
        <f>IFERROR(VLOOKUP(A488,Capacity!$A$3:$D$532,4,), "0")</f>
        <v>85.451318720000017</v>
      </c>
      <c r="C488" s="4">
        <f>IFERROR(VLOOKUP(A488,Capacity!$A$3:$F$532,6,), "0")</f>
        <v>0.4</v>
      </c>
      <c r="D488">
        <v>519</v>
      </c>
      <c r="E488">
        <f>IFERROR(VLOOKUP(D488,Capacity!$A$3:$D$532,4,), "0")</f>
        <v>10.679451344624999</v>
      </c>
      <c r="F488" s="4">
        <f>IFERROR(VLOOKUP(D488,Capacity!$A$3:$F$532,6,), "0")</f>
        <v>0.17499999999999999</v>
      </c>
      <c r="G488">
        <v>477</v>
      </c>
      <c r="H488">
        <f>IFERROR(VLOOKUP(G488,Capacity!$A$3:$D$532,4,), "0")</f>
        <v>5.2916200356249998</v>
      </c>
      <c r="I488" s="4">
        <f>IFERROR(VLOOKUP(G488,Capacity!$A$3:$F$532,6,), "0")</f>
        <v>0.17499999999999999</v>
      </c>
      <c r="J488">
        <v>306</v>
      </c>
      <c r="K488">
        <f>IFERROR(VLOOKUP(J488,Capacity!$A$3:$D$532,4,), "0")</f>
        <v>75.398222400000023</v>
      </c>
      <c r="L488" s="4">
        <f>IFERROR(VLOOKUP(J488,Capacity!$A$3:$F$532,6,), "0")</f>
        <v>0.4</v>
      </c>
      <c r="M488" s="5">
        <f t="shared" si="63"/>
        <v>91.369293780250018</v>
      </c>
      <c r="N488" s="5">
        <f t="shared" si="64"/>
        <v>0.75</v>
      </c>
      <c r="O488">
        <v>290</v>
      </c>
      <c r="P488">
        <f>IFERROR(VLOOKUP(O488,Capacity!$A$3:$D$532,4,), "0")</f>
        <v>125.663704</v>
      </c>
      <c r="Q488" s="4">
        <f>IFERROR(VLOOKUP(O488,Capacity!$A$3:$F$532,6,), "0")</f>
        <v>0.5</v>
      </c>
      <c r="R488" s="5">
        <f t="shared" si="65"/>
        <v>125.663704</v>
      </c>
      <c r="S488" s="5">
        <f t="shared" si="69"/>
        <v>0.5</v>
      </c>
      <c r="U488">
        <v>317</v>
      </c>
      <c r="V488">
        <v>4</v>
      </c>
      <c r="W488">
        <v>4</v>
      </c>
      <c r="X488">
        <v>1</v>
      </c>
      <c r="AB488">
        <f t="shared" si="66"/>
        <v>0.72709375000000021</v>
      </c>
      <c r="AC488">
        <f t="shared" si="67"/>
        <v>1.0692555147058824</v>
      </c>
      <c r="AD488">
        <f t="shared" si="68"/>
        <v>1.5</v>
      </c>
      <c r="AE488">
        <f t="shared" si="70"/>
        <v>1.875</v>
      </c>
      <c r="AG488">
        <f t="shared" si="71"/>
        <v>0.43279389880952385</v>
      </c>
    </row>
    <row r="489" spans="1:33" x14ac:dyDescent="0.25">
      <c r="A489">
        <v>291</v>
      </c>
      <c r="B489">
        <f>IFERROR(VLOOKUP(A489,Capacity!$A$3:$D$532,4,), "0")</f>
        <v>65.345126080000014</v>
      </c>
      <c r="C489" s="4">
        <f>IFERROR(VLOOKUP(A489,Capacity!$A$3:$F$532,6,), "0")</f>
        <v>0.4</v>
      </c>
      <c r="D489">
        <v>328</v>
      </c>
      <c r="E489">
        <f>IFERROR(VLOOKUP(D489,Capacity!$A$3:$D$532,4,), "0")</f>
        <v>55.292029760000013</v>
      </c>
      <c r="F489" s="4">
        <f>IFERROR(VLOOKUP(D489,Capacity!$A$3:$F$532,6,), "0")</f>
        <v>0.4</v>
      </c>
      <c r="H489" t="str">
        <f>IFERROR(VLOOKUP(G489,Capacity!$A$3:$D$532,4,), "0")</f>
        <v>0</v>
      </c>
      <c r="I489" s="4" t="str">
        <f>IFERROR(VLOOKUP(G489,Capacity!$A$3:$F$532,6,), "0")</f>
        <v>0</v>
      </c>
      <c r="K489" t="str">
        <f>IFERROR(VLOOKUP(J489,Capacity!$A$3:$D$532,4,), "0")</f>
        <v>0</v>
      </c>
      <c r="L489" s="4" t="str">
        <f>IFERROR(VLOOKUP(J489,Capacity!$A$3:$F$532,6,), "0")</f>
        <v>0</v>
      </c>
      <c r="M489" s="5">
        <f t="shared" si="63"/>
        <v>55.292029760000013</v>
      </c>
      <c r="N489" s="5">
        <f t="shared" si="64"/>
        <v>0.4</v>
      </c>
      <c r="O489">
        <v>290</v>
      </c>
      <c r="P489">
        <f>IFERROR(VLOOKUP(O489,Capacity!$A$3:$D$532,4,), "0")</f>
        <v>125.663704</v>
      </c>
      <c r="Q489" s="4">
        <f>IFERROR(VLOOKUP(O489,Capacity!$A$3:$F$532,6,), "0")</f>
        <v>0.5</v>
      </c>
      <c r="R489" s="5">
        <f t="shared" si="65"/>
        <v>125.663704</v>
      </c>
      <c r="S489" s="5">
        <f t="shared" si="69"/>
        <v>0.5</v>
      </c>
      <c r="U489">
        <v>291</v>
      </c>
      <c r="V489">
        <v>2</v>
      </c>
      <c r="W489">
        <v>2</v>
      </c>
      <c r="X489">
        <v>1</v>
      </c>
      <c r="AB489">
        <f t="shared" si="66"/>
        <v>0.44000000000000011</v>
      </c>
      <c r="AC489">
        <f t="shared" si="67"/>
        <v>0.84615384615384615</v>
      </c>
      <c r="AD489">
        <f t="shared" si="68"/>
        <v>0.8</v>
      </c>
      <c r="AE489">
        <f t="shared" si="70"/>
        <v>1</v>
      </c>
      <c r="AG489">
        <f t="shared" si="71"/>
        <v>0.28947368421052638</v>
      </c>
    </row>
    <row r="490" spans="1:33" x14ac:dyDescent="0.25">
      <c r="A490">
        <v>68</v>
      </c>
      <c r="B490">
        <f>IFERROR(VLOOKUP(A490,Capacity!$A$3:$D$532,4,), "0")</f>
        <v>17.649467226800002</v>
      </c>
      <c r="C490" s="4">
        <f>IFERROR(VLOOKUP(A490,Capacity!$A$3:$F$532,6,), "0")</f>
        <v>0.26500000000000001</v>
      </c>
      <c r="D490">
        <v>447</v>
      </c>
      <c r="E490">
        <f>IFERROR(VLOOKUP(D490,Capacity!$A$3:$D$532,4,), "0")</f>
        <v>9.621127337499999</v>
      </c>
      <c r="F490" s="4">
        <f>IFERROR(VLOOKUP(D490,Capacity!$A$3:$F$532,6,), "0")</f>
        <v>0.17499999999999999</v>
      </c>
      <c r="G490">
        <v>57</v>
      </c>
      <c r="H490">
        <f>IFERROR(VLOOKUP(G490,Capacity!$A$3:$D$532,4,), "0")</f>
        <v>17.649467226800002</v>
      </c>
      <c r="I490" s="4">
        <f>IFERROR(VLOOKUP(G490,Capacity!$A$3:$F$532,6,), "0")</f>
        <v>0.26500000000000001</v>
      </c>
      <c r="K490" t="str">
        <f>IFERROR(VLOOKUP(J490,Capacity!$A$3:$D$532,4,), "0")</f>
        <v>0</v>
      </c>
      <c r="L490" s="4" t="str">
        <f>IFERROR(VLOOKUP(J490,Capacity!$A$3:$F$532,6,), "0")</f>
        <v>0</v>
      </c>
      <c r="M490" s="5">
        <f t="shared" si="63"/>
        <v>27.270594564300001</v>
      </c>
      <c r="N490" s="5">
        <f t="shared" si="64"/>
        <v>0.44</v>
      </c>
      <c r="O490">
        <v>79</v>
      </c>
      <c r="P490">
        <f>IFERROR(VLOOKUP(O490,Capacity!$A$3:$D$532,4,), "0")</f>
        <v>33.092751050250008</v>
      </c>
      <c r="Q490" s="4">
        <f>IFERROR(VLOOKUP(O490,Capacity!$A$3:$F$532,6,), "0")</f>
        <v>0.26500000000000001</v>
      </c>
      <c r="R490" s="5">
        <f t="shared" si="65"/>
        <v>33.092751050250008</v>
      </c>
      <c r="S490" s="5">
        <f t="shared" si="69"/>
        <v>0.26500000000000001</v>
      </c>
      <c r="U490">
        <v>68</v>
      </c>
      <c r="V490">
        <v>3</v>
      </c>
      <c r="W490">
        <v>3</v>
      </c>
      <c r="X490">
        <v>1</v>
      </c>
      <c r="AB490">
        <f t="shared" si="66"/>
        <v>0.82406550373798493</v>
      </c>
      <c r="AC490">
        <f t="shared" si="67"/>
        <v>1.5451228195087219</v>
      </c>
      <c r="AD490">
        <f t="shared" si="68"/>
        <v>1.6603773584905659</v>
      </c>
      <c r="AE490">
        <f t="shared" si="70"/>
        <v>1.6603773584905659</v>
      </c>
      <c r="AG490">
        <f t="shared" si="71"/>
        <v>0.53743402417694663</v>
      </c>
    </row>
    <row r="491" spans="1:33" x14ac:dyDescent="0.25">
      <c r="A491">
        <v>410</v>
      </c>
      <c r="B491">
        <f>IFERROR(VLOOKUP(A491,Capacity!$A$3:$D$532,4,), "0")</f>
        <v>9.621127337499999</v>
      </c>
      <c r="C491" s="4">
        <f>IFERROR(VLOOKUP(A491,Capacity!$A$3:$F$532,6,), "0")</f>
        <v>0.17499999999999999</v>
      </c>
      <c r="E491" t="str">
        <f>IFERROR(VLOOKUP(D491,Capacity!$A$3:$D$532,4,), "0")</f>
        <v>0</v>
      </c>
      <c r="F491" s="4" t="str">
        <f>IFERROR(VLOOKUP(D491,Capacity!$A$3:$F$532,6,), "0")</f>
        <v>0</v>
      </c>
      <c r="H491" t="str">
        <f>IFERROR(VLOOKUP(G491,Capacity!$A$3:$D$532,4,), "0")</f>
        <v>0</v>
      </c>
      <c r="I491" s="4" t="str">
        <f>IFERROR(VLOOKUP(G491,Capacity!$A$3:$F$532,6,), "0")</f>
        <v>0</v>
      </c>
      <c r="K491" t="str">
        <f>IFERROR(VLOOKUP(J491,Capacity!$A$3:$D$532,4,), "0")</f>
        <v>0</v>
      </c>
      <c r="L491" s="4" t="str">
        <f>IFERROR(VLOOKUP(J491,Capacity!$A$3:$F$532,6,), "0")</f>
        <v>0</v>
      </c>
      <c r="M491" s="5">
        <f t="shared" si="63"/>
        <v>0</v>
      </c>
      <c r="N491" s="5">
        <f t="shared" si="64"/>
        <v>0</v>
      </c>
      <c r="O491">
        <v>135</v>
      </c>
      <c r="P491">
        <f>IFERROR(VLOOKUP(O491,Capacity!$A$3:$D$532,4,), "0")</f>
        <v>11.545352804999998</v>
      </c>
      <c r="Q491" s="4">
        <f>IFERROR(VLOOKUP(O491,Capacity!$A$3:$F$532,6,), "0")</f>
        <v>0.17499999999999999</v>
      </c>
      <c r="R491" s="5">
        <f t="shared" si="65"/>
        <v>11.545352804999998</v>
      </c>
      <c r="S491" s="5">
        <f t="shared" si="69"/>
        <v>0.17499999999999999</v>
      </c>
      <c r="U491">
        <v>410</v>
      </c>
      <c r="V491">
        <v>0</v>
      </c>
      <c r="W491">
        <v>0</v>
      </c>
      <c r="X491">
        <v>1</v>
      </c>
      <c r="AB491">
        <f t="shared" si="66"/>
        <v>0</v>
      </c>
      <c r="AC491">
        <f t="shared" si="67"/>
        <v>0</v>
      </c>
      <c r="AD491">
        <f t="shared" si="68"/>
        <v>0</v>
      </c>
      <c r="AE491">
        <f t="shared" si="70"/>
        <v>0</v>
      </c>
      <c r="AG491">
        <f t="shared" si="71"/>
        <v>0</v>
      </c>
    </row>
    <row r="492" spans="1:33" x14ac:dyDescent="0.25">
      <c r="A492">
        <v>257</v>
      </c>
      <c r="B492">
        <f>IFERROR(VLOOKUP(A492,Capacity!$A$3:$D$532,4,), "0")</f>
        <v>17.649467226800002</v>
      </c>
      <c r="C492" s="4">
        <f>IFERROR(VLOOKUP(A492,Capacity!$A$3:$F$532,6,), "0")</f>
        <v>0.26500000000000001</v>
      </c>
      <c r="D492">
        <v>246</v>
      </c>
      <c r="E492">
        <f>IFERROR(VLOOKUP(D492,Capacity!$A$3:$D$532,4,), "0")</f>
        <v>10.053096320000002</v>
      </c>
      <c r="F492" s="4">
        <f>IFERROR(VLOOKUP(D492,Capacity!$A$3:$F$532,6,), "0")</f>
        <v>0.2</v>
      </c>
      <c r="G492">
        <v>157</v>
      </c>
      <c r="H492">
        <f>IFERROR(VLOOKUP(G492,Capacity!$A$3:$D$532,4,), "0")</f>
        <v>12.988521905624998</v>
      </c>
      <c r="I492" s="4">
        <f>IFERROR(VLOOKUP(G492,Capacity!$A$3:$F$532,6,), "0")</f>
        <v>0.17499999999999999</v>
      </c>
      <c r="K492" t="str">
        <f>IFERROR(VLOOKUP(J492,Capacity!$A$3:$D$532,4,), "0")</f>
        <v>0</v>
      </c>
      <c r="L492" s="4" t="str">
        <f>IFERROR(VLOOKUP(J492,Capacity!$A$3:$F$532,6,), "0")</f>
        <v>0</v>
      </c>
      <c r="M492" s="5">
        <f t="shared" si="63"/>
        <v>23.041618225625001</v>
      </c>
      <c r="N492" s="5">
        <f t="shared" si="64"/>
        <v>0.375</v>
      </c>
      <c r="O492">
        <v>268</v>
      </c>
      <c r="P492">
        <f>IFERROR(VLOOKUP(O492,Capacity!$A$3:$D$532,4,), "0")</f>
        <v>40.212385280000007</v>
      </c>
      <c r="Q492" s="4">
        <f>IFERROR(VLOOKUP(O492,Capacity!$A$3:$F$532,6,), "0")</f>
        <v>0.4</v>
      </c>
      <c r="R492" s="5">
        <f t="shared" si="65"/>
        <v>40.212385280000007</v>
      </c>
      <c r="S492" s="5">
        <f t="shared" si="69"/>
        <v>0.4</v>
      </c>
      <c r="U492">
        <v>257</v>
      </c>
      <c r="V492">
        <v>3</v>
      </c>
      <c r="W492">
        <v>3</v>
      </c>
      <c r="X492">
        <v>1</v>
      </c>
      <c r="AB492">
        <f t="shared" si="66"/>
        <v>0.57299804687499989</v>
      </c>
      <c r="AC492">
        <f t="shared" si="67"/>
        <v>1.305513527945888</v>
      </c>
      <c r="AD492">
        <f t="shared" si="68"/>
        <v>0.9375</v>
      </c>
      <c r="AE492">
        <f t="shared" si="70"/>
        <v>1.4150943396226414</v>
      </c>
      <c r="AG492">
        <f t="shared" si="71"/>
        <v>0.39821777608860898</v>
      </c>
    </row>
    <row r="493" spans="1:33" x14ac:dyDescent="0.25">
      <c r="A493">
        <v>146</v>
      </c>
      <c r="B493">
        <f>IFERROR(VLOOKUP(A493,Capacity!$A$3:$D$532,4,), "0")</f>
        <v>12.026409171874999</v>
      </c>
      <c r="C493" s="4">
        <f>IFERROR(VLOOKUP(A493,Capacity!$A$3:$F$532,6,), "0")</f>
        <v>0.17499999999999999</v>
      </c>
      <c r="E493" t="str">
        <f>IFERROR(VLOOKUP(D493,Capacity!$A$3:$D$532,4,), "0")</f>
        <v>0</v>
      </c>
      <c r="F493" s="4" t="str">
        <f>IFERROR(VLOOKUP(D493,Capacity!$A$3:$F$532,6,), "0")</f>
        <v>0</v>
      </c>
      <c r="H493" t="str">
        <f>IFERROR(VLOOKUP(G493,Capacity!$A$3:$D$532,4,), "0")</f>
        <v>0</v>
      </c>
      <c r="I493" s="4" t="str">
        <f>IFERROR(VLOOKUP(G493,Capacity!$A$3:$F$532,6,), "0")</f>
        <v>0</v>
      </c>
      <c r="K493" t="str">
        <f>IFERROR(VLOOKUP(J493,Capacity!$A$3:$D$532,4,), "0")</f>
        <v>0</v>
      </c>
      <c r="L493" s="4" t="str">
        <f>IFERROR(VLOOKUP(J493,Capacity!$A$3:$F$532,6,), "0")</f>
        <v>0</v>
      </c>
      <c r="M493" s="5">
        <f t="shared" si="63"/>
        <v>0</v>
      </c>
      <c r="N493" s="5">
        <f t="shared" si="64"/>
        <v>0</v>
      </c>
      <c r="O493">
        <v>268</v>
      </c>
      <c r="P493">
        <f>IFERROR(VLOOKUP(O493,Capacity!$A$3:$D$532,4,), "0")</f>
        <v>40.212385280000007</v>
      </c>
      <c r="Q493" s="4">
        <f>IFERROR(VLOOKUP(O493,Capacity!$A$3:$F$532,6,), "0")</f>
        <v>0.4</v>
      </c>
      <c r="R493" s="5">
        <f t="shared" si="65"/>
        <v>40.212385280000007</v>
      </c>
      <c r="S493" s="5">
        <f t="shared" si="69"/>
        <v>0.4</v>
      </c>
      <c r="U493">
        <v>146</v>
      </c>
      <c r="V493">
        <v>0</v>
      </c>
      <c r="W493">
        <v>0</v>
      </c>
      <c r="X493">
        <v>1</v>
      </c>
      <c r="AB493">
        <f t="shared" si="66"/>
        <v>0</v>
      </c>
      <c r="AC493">
        <f t="shared" si="67"/>
        <v>0</v>
      </c>
      <c r="AD493">
        <f t="shared" si="68"/>
        <v>0</v>
      </c>
      <c r="AE493">
        <f t="shared" si="70"/>
        <v>0</v>
      </c>
      <c r="AG493">
        <f t="shared" si="71"/>
        <v>0</v>
      </c>
    </row>
    <row r="494" spans="1:33" x14ac:dyDescent="0.25">
      <c r="A494">
        <v>482</v>
      </c>
      <c r="B494">
        <f>IFERROR(VLOOKUP(A494,Capacity!$A$3:$D$532,4,), "0")</f>
        <v>7.6969018699999987</v>
      </c>
      <c r="C494" s="4">
        <f>IFERROR(VLOOKUP(A494,Capacity!$A$3:$F$532,6,), "0")</f>
        <v>0.17499999999999999</v>
      </c>
      <c r="E494" t="str">
        <f>IFERROR(VLOOKUP(D494,Capacity!$A$3:$D$532,4,), "0")</f>
        <v>0</v>
      </c>
      <c r="F494" s="4" t="str">
        <f>IFERROR(VLOOKUP(D494,Capacity!$A$3:$F$532,6,), "0")</f>
        <v>0</v>
      </c>
      <c r="H494" t="str">
        <f>IFERROR(VLOOKUP(G494,Capacity!$A$3:$D$532,4,), "0")</f>
        <v>0</v>
      </c>
      <c r="I494" s="4" t="str">
        <f>IFERROR(VLOOKUP(G494,Capacity!$A$3:$F$532,6,), "0")</f>
        <v>0</v>
      </c>
      <c r="K494" t="str">
        <f>IFERROR(VLOOKUP(J494,Capacity!$A$3:$D$532,4,), "0")</f>
        <v>0</v>
      </c>
      <c r="L494" s="4" t="str">
        <f>IFERROR(VLOOKUP(J494,Capacity!$A$3:$F$532,6,), "0")</f>
        <v>0</v>
      </c>
      <c r="M494" s="5">
        <f t="shared" si="63"/>
        <v>0</v>
      </c>
      <c r="N494" s="5">
        <f t="shared" si="64"/>
        <v>0</v>
      </c>
      <c r="O494">
        <v>224</v>
      </c>
      <c r="P494">
        <f>IFERROR(VLOOKUP(O494,Capacity!$A$3:$D$532,4,), "0")</f>
        <v>33.092751050250008</v>
      </c>
      <c r="Q494" s="4">
        <f>IFERROR(VLOOKUP(O494,Capacity!$A$3:$F$532,6,), "0")</f>
        <v>0.26500000000000001</v>
      </c>
      <c r="R494" s="5">
        <f t="shared" si="65"/>
        <v>33.092751050250008</v>
      </c>
      <c r="S494" s="5">
        <f t="shared" si="69"/>
        <v>0.26500000000000001</v>
      </c>
      <c r="U494">
        <v>482</v>
      </c>
      <c r="V494">
        <v>0</v>
      </c>
      <c r="W494">
        <v>0</v>
      </c>
      <c r="X494">
        <v>1</v>
      </c>
      <c r="AB494">
        <f t="shared" si="66"/>
        <v>0</v>
      </c>
      <c r="AC494">
        <f t="shared" si="67"/>
        <v>0</v>
      </c>
      <c r="AD494">
        <f t="shared" si="68"/>
        <v>0</v>
      </c>
      <c r="AE494">
        <f t="shared" si="70"/>
        <v>0</v>
      </c>
      <c r="AG494">
        <f t="shared" si="71"/>
        <v>0</v>
      </c>
    </row>
    <row r="495" spans="1:33" x14ac:dyDescent="0.25">
      <c r="A495">
        <v>212</v>
      </c>
      <c r="B495">
        <f>IFERROR(VLOOKUP(A495,Capacity!$A$3:$D$532,4,), "0")</f>
        <v>5.7726764024999992</v>
      </c>
      <c r="C495" s="4">
        <f>IFERROR(VLOOKUP(A495,Capacity!$A$3:$F$532,6,), "0")</f>
        <v>0.17499999999999999</v>
      </c>
      <c r="D495">
        <v>201</v>
      </c>
      <c r="E495">
        <f>IFERROR(VLOOKUP(D495,Capacity!$A$3:$D$532,4,), "0")</f>
        <v>16.355916473749996</v>
      </c>
      <c r="F495" s="4">
        <f>IFERROR(VLOOKUP(D495,Capacity!$A$3:$F$532,6,), "0")</f>
        <v>0.17499999999999999</v>
      </c>
      <c r="H495" t="str">
        <f>IFERROR(VLOOKUP(G495,Capacity!$A$3:$D$532,4,), "0")</f>
        <v>0</v>
      </c>
      <c r="I495" s="4" t="str">
        <f>IFERROR(VLOOKUP(G495,Capacity!$A$3:$F$532,6,), "0")</f>
        <v>0</v>
      </c>
      <c r="K495" t="str">
        <f>IFERROR(VLOOKUP(J495,Capacity!$A$3:$D$532,4,), "0")</f>
        <v>0</v>
      </c>
      <c r="L495" s="4" t="str">
        <f>IFERROR(VLOOKUP(J495,Capacity!$A$3:$F$532,6,), "0")</f>
        <v>0</v>
      </c>
      <c r="M495" s="5">
        <f t="shared" si="63"/>
        <v>16.355916473749996</v>
      </c>
      <c r="N495" s="5">
        <f t="shared" si="64"/>
        <v>0.17499999999999999</v>
      </c>
      <c r="O495">
        <v>224</v>
      </c>
      <c r="P495">
        <f>IFERROR(VLOOKUP(O495,Capacity!$A$3:$D$532,4,), "0")</f>
        <v>33.092751050250008</v>
      </c>
      <c r="Q495" s="4">
        <f>IFERROR(VLOOKUP(O495,Capacity!$A$3:$F$532,6,), "0")</f>
        <v>0.26500000000000001</v>
      </c>
      <c r="R495" s="5">
        <f t="shared" si="65"/>
        <v>33.092751050250008</v>
      </c>
      <c r="S495" s="5">
        <f t="shared" si="69"/>
        <v>0.26500000000000001</v>
      </c>
      <c r="U495">
        <v>212</v>
      </c>
      <c r="V495">
        <v>2</v>
      </c>
      <c r="W495">
        <v>2</v>
      </c>
      <c r="X495">
        <v>1</v>
      </c>
      <c r="AB495">
        <f t="shared" si="66"/>
        <v>0.49424468968790769</v>
      </c>
      <c r="AC495">
        <f t="shared" si="67"/>
        <v>2.833333333333333</v>
      </c>
      <c r="AD495">
        <f t="shared" si="68"/>
        <v>0.660377358490566</v>
      </c>
      <c r="AE495">
        <f t="shared" si="70"/>
        <v>1</v>
      </c>
      <c r="AG495">
        <f t="shared" si="71"/>
        <v>0.42083459634232578</v>
      </c>
    </row>
    <row r="496" spans="1:33" x14ac:dyDescent="0.25">
      <c r="A496">
        <v>190</v>
      </c>
      <c r="B496">
        <f>IFERROR(VLOOKUP(A496,Capacity!$A$3:$D$532,4,), "0")</f>
        <v>35.298934453600005</v>
      </c>
      <c r="C496" s="4">
        <f>IFERROR(VLOOKUP(A496,Capacity!$A$3:$F$532,6,), "0")</f>
        <v>0.26500000000000001</v>
      </c>
      <c r="D496">
        <v>24</v>
      </c>
      <c r="E496">
        <f>IFERROR(VLOOKUP(D496,Capacity!$A$3:$D$532,4,), "0")</f>
        <v>9.621127337499999</v>
      </c>
      <c r="F496" s="4">
        <f>IFERROR(VLOOKUP(D496,Capacity!$A$3:$F$532,6,), "0")</f>
        <v>0.17499999999999999</v>
      </c>
      <c r="H496" t="str">
        <f>IFERROR(VLOOKUP(G496,Capacity!$A$3:$D$532,4,), "0")</f>
        <v>0</v>
      </c>
      <c r="I496" s="4" t="str">
        <f>IFERROR(VLOOKUP(G496,Capacity!$A$3:$F$532,6,), "0")</f>
        <v>0</v>
      </c>
      <c r="K496" t="str">
        <f>IFERROR(VLOOKUP(J496,Capacity!$A$3:$D$532,4,), "0")</f>
        <v>0</v>
      </c>
      <c r="L496" s="4" t="str">
        <f>IFERROR(VLOOKUP(J496,Capacity!$A$3:$F$532,6,), "0")</f>
        <v>0</v>
      </c>
      <c r="M496" s="5">
        <f t="shared" si="63"/>
        <v>9.621127337499999</v>
      </c>
      <c r="N496" s="5">
        <f t="shared" si="64"/>
        <v>0.17499999999999999</v>
      </c>
      <c r="O496">
        <v>224</v>
      </c>
      <c r="P496">
        <f>IFERROR(VLOOKUP(O496,Capacity!$A$3:$D$532,4,), "0")</f>
        <v>33.092751050250008</v>
      </c>
      <c r="Q496" s="4">
        <f>IFERROR(VLOOKUP(O496,Capacity!$A$3:$F$532,6,), "0")</f>
        <v>0.26500000000000001</v>
      </c>
      <c r="R496" s="5">
        <f t="shared" si="65"/>
        <v>33.092751050250008</v>
      </c>
      <c r="S496" s="5">
        <f t="shared" si="69"/>
        <v>0.26500000000000001</v>
      </c>
      <c r="U496">
        <v>190</v>
      </c>
      <c r="V496">
        <v>2</v>
      </c>
      <c r="W496">
        <v>2</v>
      </c>
      <c r="X496">
        <v>1</v>
      </c>
      <c r="AB496">
        <f t="shared" si="66"/>
        <v>0.2907321704046516</v>
      </c>
      <c r="AC496">
        <f t="shared" si="67"/>
        <v>0.27256140975436094</v>
      </c>
      <c r="AD496">
        <f t="shared" si="68"/>
        <v>0.660377358490566</v>
      </c>
      <c r="AE496">
        <f t="shared" si="70"/>
        <v>0.660377358490566</v>
      </c>
      <c r="AG496">
        <f t="shared" si="71"/>
        <v>0.14067685664741209</v>
      </c>
    </row>
    <row r="497" spans="1:33" x14ac:dyDescent="0.25">
      <c r="A497">
        <v>328</v>
      </c>
      <c r="B497">
        <f>IFERROR(VLOOKUP(A497,Capacity!$A$3:$D$532,4,), "0")</f>
        <v>55.292029760000013</v>
      </c>
      <c r="C497" s="4">
        <f>IFERROR(VLOOKUP(A497,Capacity!$A$3:$F$532,6,), "0")</f>
        <v>0.4</v>
      </c>
      <c r="D497">
        <v>339</v>
      </c>
      <c r="E497">
        <f>IFERROR(VLOOKUP(D497,Capacity!$A$3:$D$532,4,), "0")</f>
        <v>25.132740800000008</v>
      </c>
      <c r="F497" s="4">
        <f>IFERROR(VLOOKUP(D497,Capacity!$A$3:$F$532,6,), "0")</f>
        <v>0.4</v>
      </c>
      <c r="H497" t="str">
        <f>IFERROR(VLOOKUP(G497,Capacity!$A$3:$D$532,4,), "0")</f>
        <v>0</v>
      </c>
      <c r="I497" s="4" t="str">
        <f>IFERROR(VLOOKUP(G497,Capacity!$A$3:$F$532,6,), "0")</f>
        <v>0</v>
      </c>
      <c r="K497" t="str">
        <f>IFERROR(VLOOKUP(J497,Capacity!$A$3:$D$532,4,), "0")</f>
        <v>0</v>
      </c>
      <c r="L497" s="4" t="str">
        <f>IFERROR(VLOOKUP(J497,Capacity!$A$3:$F$532,6,), "0")</f>
        <v>0</v>
      </c>
      <c r="M497" s="5">
        <f t="shared" si="63"/>
        <v>25.132740800000008</v>
      </c>
      <c r="N497" s="5">
        <f t="shared" si="64"/>
        <v>0.4</v>
      </c>
      <c r="O497">
        <v>291</v>
      </c>
      <c r="P497">
        <f>IFERROR(VLOOKUP(O497,Capacity!$A$3:$D$532,4,), "0")</f>
        <v>65.345126080000014</v>
      </c>
      <c r="Q497" s="4">
        <f>IFERROR(VLOOKUP(O497,Capacity!$A$3:$F$532,6,), "0")</f>
        <v>0.4</v>
      </c>
      <c r="R497" s="5">
        <f t="shared" si="65"/>
        <v>65.345126080000014</v>
      </c>
      <c r="S497" s="5">
        <f t="shared" si="69"/>
        <v>0.4</v>
      </c>
      <c r="U497">
        <v>328</v>
      </c>
      <c r="V497">
        <v>2</v>
      </c>
      <c r="W497">
        <v>2</v>
      </c>
      <c r="X497">
        <v>1</v>
      </c>
      <c r="AB497">
        <f t="shared" si="66"/>
        <v>0.38461538461538464</v>
      </c>
      <c r="AC497">
        <f t="shared" si="67"/>
        <v>0.45454545454545459</v>
      </c>
      <c r="AD497">
        <f t="shared" si="68"/>
        <v>1</v>
      </c>
      <c r="AE497">
        <f t="shared" si="70"/>
        <v>1</v>
      </c>
      <c r="AG497">
        <f t="shared" si="71"/>
        <v>0.20833333333333337</v>
      </c>
    </row>
    <row r="498" spans="1:33" x14ac:dyDescent="0.25">
      <c r="A498">
        <v>519</v>
      </c>
      <c r="B498">
        <f>IFERROR(VLOOKUP(A498,Capacity!$A$3:$D$532,4,), "0")</f>
        <v>10.679451344624999</v>
      </c>
      <c r="C498" s="4">
        <f>IFERROR(VLOOKUP(A498,Capacity!$A$3:$F$532,6,), "0")</f>
        <v>0.17499999999999999</v>
      </c>
      <c r="E498" t="str">
        <f>IFERROR(VLOOKUP(D498,Capacity!$A$3:$D$532,4,), "0")</f>
        <v>0</v>
      </c>
      <c r="F498" s="4" t="str">
        <f>IFERROR(VLOOKUP(D498,Capacity!$A$3:$F$532,6,), "0")</f>
        <v>0</v>
      </c>
      <c r="H498" t="str">
        <f>IFERROR(VLOOKUP(G498,Capacity!$A$3:$D$532,4,), "0")</f>
        <v>0</v>
      </c>
      <c r="I498" s="4" t="str">
        <f>IFERROR(VLOOKUP(G498,Capacity!$A$3:$F$532,6,), "0")</f>
        <v>0</v>
      </c>
      <c r="K498" t="str">
        <f>IFERROR(VLOOKUP(J498,Capacity!$A$3:$D$532,4,), "0")</f>
        <v>0</v>
      </c>
      <c r="L498" s="4" t="str">
        <f>IFERROR(VLOOKUP(J498,Capacity!$A$3:$F$532,6,), "0")</f>
        <v>0</v>
      </c>
      <c r="M498" s="5">
        <f t="shared" si="63"/>
        <v>0</v>
      </c>
      <c r="N498" s="5">
        <f t="shared" si="64"/>
        <v>0</v>
      </c>
      <c r="O498">
        <v>317</v>
      </c>
      <c r="P498">
        <f>IFERROR(VLOOKUP(O498,Capacity!$A$3:$D$532,4,), "0")</f>
        <v>85.451318720000017</v>
      </c>
      <c r="Q498" s="4">
        <f>IFERROR(VLOOKUP(O498,Capacity!$A$3:$F$532,6,), "0")</f>
        <v>0.4</v>
      </c>
      <c r="R498" s="5">
        <f t="shared" si="65"/>
        <v>85.451318720000017</v>
      </c>
      <c r="S498" s="5">
        <f t="shared" si="69"/>
        <v>0.4</v>
      </c>
      <c r="U498">
        <v>519</v>
      </c>
      <c r="V498">
        <v>0</v>
      </c>
      <c r="W498">
        <v>0</v>
      </c>
      <c r="X498">
        <v>1</v>
      </c>
      <c r="AB498">
        <f t="shared" si="66"/>
        <v>0</v>
      </c>
      <c r="AC498">
        <f t="shared" si="67"/>
        <v>0</v>
      </c>
      <c r="AD498">
        <f t="shared" si="68"/>
        <v>0</v>
      </c>
      <c r="AE498">
        <f t="shared" si="70"/>
        <v>0</v>
      </c>
      <c r="AG498">
        <f t="shared" si="71"/>
        <v>0</v>
      </c>
    </row>
    <row r="499" spans="1:33" x14ac:dyDescent="0.25">
      <c r="A499">
        <v>477</v>
      </c>
      <c r="B499">
        <f>IFERROR(VLOOKUP(A499,Capacity!$A$3:$D$532,4,), "0")</f>
        <v>5.2916200356249998</v>
      </c>
      <c r="C499" s="4">
        <f>IFERROR(VLOOKUP(A499,Capacity!$A$3:$F$532,6,), "0")</f>
        <v>0.17499999999999999</v>
      </c>
      <c r="E499" t="str">
        <f>IFERROR(VLOOKUP(D499,Capacity!$A$3:$D$532,4,), "0")</f>
        <v>0</v>
      </c>
      <c r="F499" s="4" t="str">
        <f>IFERROR(VLOOKUP(D499,Capacity!$A$3:$F$532,6,), "0")</f>
        <v>0</v>
      </c>
      <c r="H499" t="str">
        <f>IFERROR(VLOOKUP(G499,Capacity!$A$3:$D$532,4,), "0")</f>
        <v>0</v>
      </c>
      <c r="I499" s="4" t="str">
        <f>IFERROR(VLOOKUP(G499,Capacity!$A$3:$F$532,6,), "0")</f>
        <v>0</v>
      </c>
      <c r="K499" t="str">
        <f>IFERROR(VLOOKUP(J499,Capacity!$A$3:$D$532,4,), "0")</f>
        <v>0</v>
      </c>
      <c r="L499" s="4" t="str">
        <f>IFERROR(VLOOKUP(J499,Capacity!$A$3:$F$532,6,), "0")</f>
        <v>0</v>
      </c>
      <c r="M499" s="5">
        <f t="shared" si="63"/>
        <v>0</v>
      </c>
      <c r="N499" s="5">
        <f t="shared" si="64"/>
        <v>0</v>
      </c>
      <c r="O499">
        <v>317</v>
      </c>
      <c r="P499">
        <f>IFERROR(VLOOKUP(O499,Capacity!$A$3:$D$532,4,), "0")</f>
        <v>85.451318720000017</v>
      </c>
      <c r="Q499" s="4">
        <f>IFERROR(VLOOKUP(O499,Capacity!$A$3:$F$532,6,), "0")</f>
        <v>0.4</v>
      </c>
      <c r="R499" s="5">
        <f t="shared" si="65"/>
        <v>85.451318720000017</v>
      </c>
      <c r="S499" s="5">
        <f t="shared" si="69"/>
        <v>0.4</v>
      </c>
      <c r="U499">
        <v>477</v>
      </c>
      <c r="V499">
        <v>0</v>
      </c>
      <c r="W499">
        <v>0</v>
      </c>
      <c r="X499">
        <v>1</v>
      </c>
      <c r="AB499">
        <f t="shared" si="66"/>
        <v>0</v>
      </c>
      <c r="AC499">
        <f t="shared" si="67"/>
        <v>0</v>
      </c>
      <c r="AD499">
        <f t="shared" si="68"/>
        <v>0</v>
      </c>
      <c r="AE499">
        <f t="shared" si="70"/>
        <v>0</v>
      </c>
      <c r="AG499">
        <f t="shared" si="71"/>
        <v>0</v>
      </c>
    </row>
    <row r="500" spans="1:33" x14ac:dyDescent="0.25">
      <c r="A500">
        <v>306</v>
      </c>
      <c r="B500">
        <f>IFERROR(VLOOKUP(A500,Capacity!$A$3:$D$532,4,), "0")</f>
        <v>75.398222400000023</v>
      </c>
      <c r="C500" s="4">
        <f>IFERROR(VLOOKUP(A500,Capacity!$A$3:$F$532,6,), "0")</f>
        <v>0.4</v>
      </c>
      <c r="D500">
        <v>295</v>
      </c>
      <c r="E500">
        <f>IFERROR(VLOOKUP(D500,Capacity!$A$3:$D$532,4,), "0")</f>
        <v>16.964600040000001</v>
      </c>
      <c r="F500" s="4">
        <f>IFERROR(VLOOKUP(D500,Capacity!$A$3:$F$532,6,), "0")</f>
        <v>0.3</v>
      </c>
      <c r="G500">
        <v>2</v>
      </c>
      <c r="H500">
        <f>IFERROR(VLOOKUP(G500,Capacity!$A$3:$D$532,4,), "0")</f>
        <v>11.545352804999998</v>
      </c>
      <c r="I500" s="4">
        <f>IFERROR(VLOOKUP(G500,Capacity!$A$3:$F$532,6,), "0")</f>
        <v>0.17499999999999999</v>
      </c>
      <c r="K500" t="str">
        <f>IFERROR(VLOOKUP(J500,Capacity!$A$3:$D$532,4,), "0")</f>
        <v>0</v>
      </c>
      <c r="L500" s="4" t="str">
        <f>IFERROR(VLOOKUP(J500,Capacity!$A$3:$F$532,6,), "0")</f>
        <v>0</v>
      </c>
      <c r="M500" s="5">
        <f t="shared" si="63"/>
        <v>28.509952845000001</v>
      </c>
      <c r="N500" s="5">
        <f t="shared" si="64"/>
        <v>0.47499999999999998</v>
      </c>
      <c r="O500">
        <v>317</v>
      </c>
      <c r="P500">
        <f>IFERROR(VLOOKUP(O500,Capacity!$A$3:$D$532,4,), "0")</f>
        <v>85.451318720000017</v>
      </c>
      <c r="Q500" s="4">
        <f>IFERROR(VLOOKUP(O500,Capacity!$A$3:$F$532,6,), "0")</f>
        <v>0.4</v>
      </c>
      <c r="R500" s="5">
        <f t="shared" si="65"/>
        <v>85.451318720000017</v>
      </c>
      <c r="S500" s="5">
        <f t="shared" si="69"/>
        <v>0.4</v>
      </c>
      <c r="U500">
        <v>306</v>
      </c>
      <c r="V500">
        <v>2</v>
      </c>
      <c r="W500">
        <v>2</v>
      </c>
      <c r="X500">
        <v>1</v>
      </c>
      <c r="AB500">
        <f t="shared" si="66"/>
        <v>0.33363970588235287</v>
      </c>
      <c r="AC500">
        <f t="shared" si="67"/>
        <v>0.37812499999999988</v>
      </c>
      <c r="AD500">
        <f t="shared" si="68"/>
        <v>1.1874999999999998</v>
      </c>
      <c r="AE500">
        <f t="shared" si="70"/>
        <v>1.1874999999999998</v>
      </c>
      <c r="AG500">
        <f t="shared" si="71"/>
        <v>0.17724609374999997</v>
      </c>
    </row>
    <row r="501" spans="1:33" x14ac:dyDescent="0.25">
      <c r="A501">
        <v>447</v>
      </c>
      <c r="B501">
        <f>IFERROR(VLOOKUP(A501,Capacity!$A$3:$D$532,4,), "0")</f>
        <v>9.621127337499999</v>
      </c>
      <c r="C501" s="4">
        <f>IFERROR(VLOOKUP(A501,Capacity!$A$3:$F$532,6,), "0")</f>
        <v>0.17499999999999999</v>
      </c>
      <c r="E501" t="str">
        <f>IFERROR(VLOOKUP(D501,Capacity!$A$3:$D$532,4,), "0")</f>
        <v>0</v>
      </c>
      <c r="F501" s="4" t="str">
        <f>IFERROR(VLOOKUP(D501,Capacity!$A$3:$F$532,6,), "0")</f>
        <v>0</v>
      </c>
      <c r="H501" t="str">
        <f>IFERROR(VLOOKUP(G501,Capacity!$A$3:$D$532,4,), "0")</f>
        <v>0</v>
      </c>
      <c r="I501" s="4" t="str">
        <f>IFERROR(VLOOKUP(G501,Capacity!$A$3:$F$532,6,), "0")</f>
        <v>0</v>
      </c>
      <c r="K501" t="str">
        <f>IFERROR(VLOOKUP(J501,Capacity!$A$3:$D$532,4,), "0")</f>
        <v>0</v>
      </c>
      <c r="L501" s="4" t="str">
        <f>IFERROR(VLOOKUP(J501,Capacity!$A$3:$F$532,6,), "0")</f>
        <v>0</v>
      </c>
      <c r="M501" s="5">
        <f t="shared" si="63"/>
        <v>0</v>
      </c>
      <c r="N501" s="5">
        <f t="shared" si="64"/>
        <v>0</v>
      </c>
      <c r="O501">
        <v>68</v>
      </c>
      <c r="P501">
        <f>IFERROR(VLOOKUP(O501,Capacity!$A$3:$D$532,4,), "0")</f>
        <v>17.649467226800002</v>
      </c>
      <c r="Q501" s="4">
        <f>IFERROR(VLOOKUP(O501,Capacity!$A$3:$F$532,6,), "0")</f>
        <v>0.26500000000000001</v>
      </c>
      <c r="R501" s="5">
        <f t="shared" si="65"/>
        <v>17.649467226800002</v>
      </c>
      <c r="S501" s="5">
        <f t="shared" si="69"/>
        <v>0.26500000000000001</v>
      </c>
      <c r="U501">
        <v>447</v>
      </c>
      <c r="V501">
        <v>0</v>
      </c>
      <c r="W501">
        <v>0</v>
      </c>
      <c r="X501">
        <v>1</v>
      </c>
      <c r="AB501">
        <f t="shared" si="66"/>
        <v>0</v>
      </c>
      <c r="AC501">
        <f t="shared" si="67"/>
        <v>0</v>
      </c>
      <c r="AD501">
        <f t="shared" si="68"/>
        <v>0</v>
      </c>
      <c r="AE501">
        <f t="shared" si="70"/>
        <v>0</v>
      </c>
      <c r="AG501">
        <f t="shared" si="71"/>
        <v>0</v>
      </c>
    </row>
    <row r="502" spans="1:33" x14ac:dyDescent="0.25">
      <c r="A502">
        <v>57</v>
      </c>
      <c r="B502">
        <f>IFERROR(VLOOKUP(A502,Capacity!$A$3:$D$532,4,), "0")</f>
        <v>17.649467226800002</v>
      </c>
      <c r="C502" s="4">
        <f>IFERROR(VLOOKUP(A502,Capacity!$A$3:$F$532,6,), "0")</f>
        <v>0.26500000000000001</v>
      </c>
      <c r="D502">
        <v>46</v>
      </c>
      <c r="E502">
        <f>IFERROR(VLOOKUP(D502,Capacity!$A$3:$D$532,4,), "0")</f>
        <v>10.053096320000002</v>
      </c>
      <c r="F502" s="4">
        <f>IFERROR(VLOOKUP(D502,Capacity!$A$3:$F$532,6,), "0")</f>
        <v>0.2</v>
      </c>
      <c r="H502" t="str">
        <f>IFERROR(VLOOKUP(G502,Capacity!$A$3:$D$532,4,), "0")</f>
        <v>0</v>
      </c>
      <c r="I502" s="4" t="str">
        <f>IFERROR(VLOOKUP(G502,Capacity!$A$3:$F$532,6,), "0")</f>
        <v>0</v>
      </c>
      <c r="K502" t="str">
        <f>IFERROR(VLOOKUP(J502,Capacity!$A$3:$D$532,4,), "0")</f>
        <v>0</v>
      </c>
      <c r="L502" s="4" t="str">
        <f>IFERROR(VLOOKUP(J502,Capacity!$A$3:$F$532,6,), "0")</f>
        <v>0</v>
      </c>
      <c r="M502" s="5">
        <f t="shared" si="63"/>
        <v>10.053096320000002</v>
      </c>
      <c r="N502" s="5">
        <f t="shared" si="64"/>
        <v>0.2</v>
      </c>
      <c r="O502">
        <v>68</v>
      </c>
      <c r="P502">
        <f>IFERROR(VLOOKUP(O502,Capacity!$A$3:$D$532,4,), "0")</f>
        <v>17.649467226800002</v>
      </c>
      <c r="Q502" s="4">
        <f>IFERROR(VLOOKUP(O502,Capacity!$A$3:$F$532,6,), "0")</f>
        <v>0.26500000000000001</v>
      </c>
      <c r="R502" s="5">
        <f t="shared" si="65"/>
        <v>17.649467226800002</v>
      </c>
      <c r="S502" s="5">
        <f t="shared" si="69"/>
        <v>0.26500000000000001</v>
      </c>
      <c r="U502">
        <v>57</v>
      </c>
      <c r="V502">
        <v>1</v>
      </c>
      <c r="W502">
        <v>1</v>
      </c>
      <c r="X502">
        <v>1</v>
      </c>
      <c r="AB502">
        <f t="shared" si="66"/>
        <v>0.56959772160911359</v>
      </c>
      <c r="AC502">
        <f t="shared" si="67"/>
        <v>0.56959772160911359</v>
      </c>
      <c r="AD502">
        <f t="shared" si="68"/>
        <v>0.75471698113207553</v>
      </c>
      <c r="AE502">
        <f t="shared" si="70"/>
        <v>0.75471698113207553</v>
      </c>
      <c r="AG502">
        <f t="shared" si="71"/>
        <v>0.2847988608045568</v>
      </c>
    </row>
    <row r="503" spans="1:33" x14ac:dyDescent="0.25">
      <c r="A503">
        <v>246</v>
      </c>
      <c r="B503">
        <f>IFERROR(VLOOKUP(A503,Capacity!$A$3:$D$532,4,), "0")</f>
        <v>10.053096320000002</v>
      </c>
      <c r="C503" s="4">
        <f>IFERROR(VLOOKUP(A503,Capacity!$A$3:$F$532,6,), "0")</f>
        <v>0.2</v>
      </c>
      <c r="D503">
        <v>235</v>
      </c>
      <c r="E503">
        <f>IFERROR(VLOOKUP(D503,Capacity!$A$3:$D$532,4,), "0")</f>
        <v>10.053096320000002</v>
      </c>
      <c r="F503" s="4">
        <f>IFERROR(VLOOKUP(D503,Capacity!$A$3:$F$532,6,), "0")</f>
        <v>0.2</v>
      </c>
      <c r="G503">
        <v>168</v>
      </c>
      <c r="H503">
        <f>IFERROR(VLOOKUP(G503,Capacity!$A$3:$D$532,4,), "0")</f>
        <v>13.950634639374998</v>
      </c>
      <c r="I503" s="4">
        <f>IFERROR(VLOOKUP(G503,Capacity!$A$3:$F$532,6,), "0")</f>
        <v>0.17499999999999999</v>
      </c>
      <c r="K503" t="str">
        <f>IFERROR(VLOOKUP(J503,Capacity!$A$3:$D$532,4,), "0")</f>
        <v>0</v>
      </c>
      <c r="L503" s="4" t="str">
        <f>IFERROR(VLOOKUP(J503,Capacity!$A$3:$F$532,6,), "0")</f>
        <v>0</v>
      </c>
      <c r="M503" s="5">
        <f t="shared" si="63"/>
        <v>24.003730959374998</v>
      </c>
      <c r="N503" s="5">
        <f t="shared" si="64"/>
        <v>0.375</v>
      </c>
      <c r="O503">
        <v>257</v>
      </c>
      <c r="P503">
        <f>IFERROR(VLOOKUP(O503,Capacity!$A$3:$D$532,4,), "0")</f>
        <v>17.649467226800002</v>
      </c>
      <c r="Q503" s="4">
        <f>IFERROR(VLOOKUP(O503,Capacity!$A$3:$F$532,6,), "0")</f>
        <v>0.26500000000000001</v>
      </c>
      <c r="R503" s="5">
        <f t="shared" si="65"/>
        <v>17.649467226800002</v>
      </c>
      <c r="S503" s="5">
        <f t="shared" si="69"/>
        <v>0.26500000000000001</v>
      </c>
      <c r="U503">
        <v>246</v>
      </c>
      <c r="V503">
        <v>2</v>
      </c>
      <c r="W503">
        <v>2</v>
      </c>
      <c r="X503">
        <v>1</v>
      </c>
      <c r="AB503">
        <f t="shared" si="66"/>
        <v>1.3600258098967601</v>
      </c>
      <c r="AC503">
        <f t="shared" si="67"/>
        <v>2.3876953124999996</v>
      </c>
      <c r="AD503">
        <f t="shared" si="68"/>
        <v>1.4150943396226414</v>
      </c>
      <c r="AE503">
        <f t="shared" si="70"/>
        <v>1.875</v>
      </c>
      <c r="AG503">
        <f t="shared" si="71"/>
        <v>0.8664804944431842</v>
      </c>
    </row>
    <row r="504" spans="1:33" x14ac:dyDescent="0.25">
      <c r="A504">
        <v>157</v>
      </c>
      <c r="B504">
        <f>IFERROR(VLOOKUP(A504,Capacity!$A$3:$D$532,4,), "0")</f>
        <v>12.988521905624998</v>
      </c>
      <c r="C504" s="4">
        <f>IFERROR(VLOOKUP(A504,Capacity!$A$3:$F$532,6,), "0")</f>
        <v>0.17499999999999999</v>
      </c>
      <c r="D504">
        <v>383</v>
      </c>
      <c r="E504">
        <f>IFERROR(VLOOKUP(D504,Capacity!$A$3:$D$532,4,), "0")</f>
        <v>9.621127337499999</v>
      </c>
      <c r="F504" s="4">
        <f>IFERROR(VLOOKUP(D504,Capacity!$A$3:$F$532,6,), "0")</f>
        <v>0.17499999999999999</v>
      </c>
      <c r="H504" t="str">
        <f>IFERROR(VLOOKUP(G504,Capacity!$A$3:$D$532,4,), "0")</f>
        <v>0</v>
      </c>
      <c r="I504" s="4" t="str">
        <f>IFERROR(VLOOKUP(G504,Capacity!$A$3:$F$532,6,), "0")</f>
        <v>0</v>
      </c>
      <c r="K504" t="str">
        <f>IFERROR(VLOOKUP(J504,Capacity!$A$3:$D$532,4,), "0")</f>
        <v>0</v>
      </c>
      <c r="L504" s="4" t="str">
        <f>IFERROR(VLOOKUP(J504,Capacity!$A$3:$F$532,6,), "0")</f>
        <v>0</v>
      </c>
      <c r="M504" s="5">
        <f t="shared" si="63"/>
        <v>9.621127337499999</v>
      </c>
      <c r="N504" s="5">
        <f t="shared" si="64"/>
        <v>0.17499999999999999</v>
      </c>
      <c r="O504">
        <v>257</v>
      </c>
      <c r="P504">
        <f>IFERROR(VLOOKUP(O504,Capacity!$A$3:$D$532,4,), "0")</f>
        <v>17.649467226800002</v>
      </c>
      <c r="Q504" s="4">
        <f>IFERROR(VLOOKUP(O504,Capacity!$A$3:$F$532,6,), "0")</f>
        <v>0.26500000000000001</v>
      </c>
      <c r="R504" s="5">
        <f t="shared" si="65"/>
        <v>17.649467226800002</v>
      </c>
      <c r="S504" s="5">
        <f t="shared" si="69"/>
        <v>0.26500000000000001</v>
      </c>
      <c r="U504">
        <v>157</v>
      </c>
      <c r="V504">
        <v>1</v>
      </c>
      <c r="W504">
        <v>1</v>
      </c>
      <c r="X504">
        <v>1</v>
      </c>
      <c r="AB504">
        <f t="shared" si="66"/>
        <v>0.54512281950872188</v>
      </c>
      <c r="AC504">
        <f t="shared" si="67"/>
        <v>0.74074074074074081</v>
      </c>
      <c r="AD504">
        <f t="shared" si="68"/>
        <v>0.660377358490566</v>
      </c>
      <c r="AE504">
        <f t="shared" si="70"/>
        <v>1</v>
      </c>
      <c r="AG504">
        <f t="shared" si="71"/>
        <v>0.31402607057255283</v>
      </c>
    </row>
    <row r="505" spans="1:33" x14ac:dyDescent="0.25">
      <c r="A505">
        <v>24</v>
      </c>
      <c r="B505">
        <f>IFERROR(VLOOKUP(A505,Capacity!$A$3:$D$532,4,), "0")</f>
        <v>9.621127337499999</v>
      </c>
      <c r="C505" s="4">
        <f>IFERROR(VLOOKUP(A505,Capacity!$A$3:$F$532,6,), "0")</f>
        <v>0.17499999999999999</v>
      </c>
      <c r="E505" t="str">
        <f>IFERROR(VLOOKUP(D505,Capacity!$A$3:$D$532,4,), "0")</f>
        <v>0</v>
      </c>
      <c r="F505" s="4" t="str">
        <f>IFERROR(VLOOKUP(D505,Capacity!$A$3:$F$532,6,), "0")</f>
        <v>0</v>
      </c>
      <c r="H505" t="str">
        <f>IFERROR(VLOOKUP(G505,Capacity!$A$3:$D$532,4,), "0")</f>
        <v>0</v>
      </c>
      <c r="I505" s="4" t="str">
        <f>IFERROR(VLOOKUP(G505,Capacity!$A$3:$F$532,6,), "0")</f>
        <v>0</v>
      </c>
      <c r="K505" t="str">
        <f>IFERROR(VLOOKUP(J505,Capacity!$A$3:$D$532,4,), "0")</f>
        <v>0</v>
      </c>
      <c r="L505" s="4" t="str">
        <f>IFERROR(VLOOKUP(J505,Capacity!$A$3:$F$532,6,), "0")</f>
        <v>0</v>
      </c>
      <c r="M505" s="5">
        <f t="shared" si="63"/>
        <v>0</v>
      </c>
      <c r="N505" s="5">
        <f t="shared" si="64"/>
        <v>0</v>
      </c>
      <c r="O505">
        <v>190</v>
      </c>
      <c r="P505">
        <f>IFERROR(VLOOKUP(O505,Capacity!$A$3:$D$532,4,), "0")</f>
        <v>35.298934453600005</v>
      </c>
      <c r="Q505" s="4">
        <f>IFERROR(VLOOKUP(O505,Capacity!$A$3:$F$532,6,), "0")</f>
        <v>0.26500000000000001</v>
      </c>
      <c r="R505" s="5">
        <f t="shared" si="65"/>
        <v>35.298934453600005</v>
      </c>
      <c r="S505" s="5">
        <f t="shared" si="69"/>
        <v>0.26500000000000001</v>
      </c>
      <c r="U505">
        <v>24</v>
      </c>
      <c r="V505">
        <v>0</v>
      </c>
      <c r="W505">
        <v>0</v>
      </c>
      <c r="X505">
        <v>1</v>
      </c>
      <c r="AB505">
        <f t="shared" si="66"/>
        <v>0</v>
      </c>
      <c r="AC505">
        <f t="shared" si="67"/>
        <v>0</v>
      </c>
      <c r="AD505">
        <f t="shared" si="68"/>
        <v>0</v>
      </c>
      <c r="AE505">
        <f t="shared" si="70"/>
        <v>0</v>
      </c>
      <c r="AG505">
        <f t="shared" si="71"/>
        <v>0</v>
      </c>
    </row>
    <row r="506" spans="1:33" x14ac:dyDescent="0.25">
      <c r="A506">
        <v>201</v>
      </c>
      <c r="B506">
        <f>IFERROR(VLOOKUP(A506,Capacity!$A$3:$D$532,4,), "0")</f>
        <v>16.355916473749996</v>
      </c>
      <c r="C506" s="4">
        <f>IFERROR(VLOOKUP(A506,Capacity!$A$3:$F$532,6,), "0")</f>
        <v>0.17499999999999999</v>
      </c>
      <c r="D506">
        <v>13</v>
      </c>
      <c r="E506">
        <f>IFERROR(VLOOKUP(D506,Capacity!$A$3:$D$532,4,), "0")</f>
        <v>9.621127337499999</v>
      </c>
      <c r="F506" s="4">
        <f>IFERROR(VLOOKUP(D506,Capacity!$A$3:$F$532,6,), "0")</f>
        <v>0.17499999999999999</v>
      </c>
      <c r="H506" t="str">
        <f>IFERROR(VLOOKUP(G506,Capacity!$A$3:$D$532,4,), "0")</f>
        <v>0</v>
      </c>
      <c r="I506" s="4" t="str">
        <f>IFERROR(VLOOKUP(G506,Capacity!$A$3:$F$532,6,), "0")</f>
        <v>0</v>
      </c>
      <c r="K506" t="str">
        <f>IFERROR(VLOOKUP(J506,Capacity!$A$3:$D$532,4,), "0")</f>
        <v>0</v>
      </c>
      <c r="L506" s="4" t="str">
        <f>IFERROR(VLOOKUP(J506,Capacity!$A$3:$F$532,6,), "0")</f>
        <v>0</v>
      </c>
      <c r="M506" s="5">
        <f t="shared" si="63"/>
        <v>9.621127337499999</v>
      </c>
      <c r="N506" s="5">
        <f t="shared" si="64"/>
        <v>0.17499999999999999</v>
      </c>
      <c r="O506">
        <v>212</v>
      </c>
      <c r="P506">
        <f>IFERROR(VLOOKUP(O506,Capacity!$A$3:$D$532,4,), "0")</f>
        <v>5.7726764024999992</v>
      </c>
      <c r="Q506" s="4">
        <f>IFERROR(VLOOKUP(O506,Capacity!$A$3:$F$532,6,), "0")</f>
        <v>0.17499999999999999</v>
      </c>
      <c r="R506" s="5">
        <f t="shared" si="65"/>
        <v>5.7726764024999992</v>
      </c>
      <c r="S506" s="5">
        <f t="shared" si="69"/>
        <v>0.17499999999999999</v>
      </c>
      <c r="U506">
        <v>201</v>
      </c>
      <c r="V506">
        <v>2</v>
      </c>
      <c r="W506">
        <v>2</v>
      </c>
      <c r="X506">
        <v>1</v>
      </c>
      <c r="AB506">
        <f t="shared" si="66"/>
        <v>1.6666666666666667</v>
      </c>
      <c r="AC506">
        <f t="shared" si="67"/>
        <v>0.58823529411764719</v>
      </c>
      <c r="AD506">
        <f t="shared" si="68"/>
        <v>1</v>
      </c>
      <c r="AE506">
        <f t="shared" si="70"/>
        <v>1</v>
      </c>
      <c r="AG506">
        <f t="shared" si="71"/>
        <v>0.43478260869565222</v>
      </c>
    </row>
    <row r="507" spans="1:33" x14ac:dyDescent="0.25">
      <c r="A507">
        <v>339</v>
      </c>
      <c r="B507">
        <f>IFERROR(VLOOKUP(A507,Capacity!$A$3:$D$532,4,), "0")</f>
        <v>25.132740800000008</v>
      </c>
      <c r="C507" s="4">
        <f>IFERROR(VLOOKUP(A507,Capacity!$A$3:$F$532,6,), "0")</f>
        <v>0.4</v>
      </c>
      <c r="D507">
        <v>112</v>
      </c>
      <c r="E507">
        <f>IFERROR(VLOOKUP(D507,Capacity!$A$3:$D$532,4,), "0")</f>
        <v>31.989659348575007</v>
      </c>
      <c r="F507" s="4">
        <f>IFERROR(VLOOKUP(D507,Capacity!$A$3:$F$532,6,), "0")</f>
        <v>0.26500000000000001</v>
      </c>
      <c r="H507" t="str">
        <f>IFERROR(VLOOKUP(G507,Capacity!$A$3:$D$532,4,), "0")</f>
        <v>0</v>
      </c>
      <c r="I507" s="4" t="str">
        <f>IFERROR(VLOOKUP(G507,Capacity!$A$3:$F$532,6,), "0")</f>
        <v>0</v>
      </c>
      <c r="K507" t="str">
        <f>IFERROR(VLOOKUP(J507,Capacity!$A$3:$D$532,4,), "0")</f>
        <v>0</v>
      </c>
      <c r="L507" s="4" t="str">
        <f>IFERROR(VLOOKUP(J507,Capacity!$A$3:$F$532,6,), "0")</f>
        <v>0</v>
      </c>
      <c r="M507" s="5">
        <f t="shared" si="63"/>
        <v>31.989659348575007</v>
      </c>
      <c r="N507" s="5">
        <f t="shared" si="64"/>
        <v>0.26500000000000001</v>
      </c>
      <c r="O507">
        <v>328</v>
      </c>
      <c r="P507">
        <f>IFERROR(VLOOKUP(O507,Capacity!$A$3:$D$532,4,), "0")</f>
        <v>55.292029760000013</v>
      </c>
      <c r="Q507" s="4">
        <f>IFERROR(VLOOKUP(O507,Capacity!$A$3:$F$532,6,), "0")</f>
        <v>0.4</v>
      </c>
      <c r="R507" s="5">
        <f t="shared" si="65"/>
        <v>55.292029760000013</v>
      </c>
      <c r="S507" s="5">
        <f t="shared" si="69"/>
        <v>0.4</v>
      </c>
      <c r="U507">
        <v>339</v>
      </c>
      <c r="V507">
        <v>2</v>
      </c>
      <c r="W507">
        <v>2</v>
      </c>
      <c r="X507">
        <v>1</v>
      </c>
      <c r="AB507">
        <f t="shared" si="66"/>
        <v>0.57855823863636358</v>
      </c>
      <c r="AC507">
        <f t="shared" si="67"/>
        <v>1.272828125</v>
      </c>
      <c r="AD507">
        <f t="shared" si="68"/>
        <v>0.66249999999999998</v>
      </c>
      <c r="AE507">
        <f t="shared" si="70"/>
        <v>0.66249999999999998</v>
      </c>
      <c r="AG507">
        <f t="shared" si="71"/>
        <v>0.39775878906250001</v>
      </c>
    </row>
    <row r="508" spans="1:33" x14ac:dyDescent="0.25">
      <c r="A508">
        <v>295</v>
      </c>
      <c r="B508">
        <f>IFERROR(VLOOKUP(A508,Capacity!$A$3:$D$532,4,), "0")</f>
        <v>16.964600040000001</v>
      </c>
      <c r="C508" s="4">
        <f>IFERROR(VLOOKUP(A508,Capacity!$A$3:$F$532,6,), "0")</f>
        <v>0.3</v>
      </c>
      <c r="D508">
        <v>284</v>
      </c>
      <c r="E508">
        <f>IFERROR(VLOOKUP(D508,Capacity!$A$3:$D$532,4,), "0")</f>
        <v>3.7699111200000006</v>
      </c>
      <c r="F508" s="4">
        <f>IFERROR(VLOOKUP(D508,Capacity!$A$3:$F$532,6,), "0")</f>
        <v>0.2</v>
      </c>
      <c r="G508">
        <v>266</v>
      </c>
      <c r="H508">
        <f>IFERROR(VLOOKUP(G508,Capacity!$A$3:$D$532,4,), "0")</f>
        <v>11.545352804999998</v>
      </c>
      <c r="I508" s="4">
        <f>IFERROR(VLOOKUP(G508,Capacity!$A$3:$F$532,6,), "0")</f>
        <v>0.17499999999999999</v>
      </c>
      <c r="K508" t="str">
        <f>IFERROR(VLOOKUP(J508,Capacity!$A$3:$D$532,4,), "0")</f>
        <v>0</v>
      </c>
      <c r="L508" s="4" t="str">
        <f>IFERROR(VLOOKUP(J508,Capacity!$A$3:$F$532,6,), "0")</f>
        <v>0</v>
      </c>
      <c r="M508" s="5">
        <f t="shared" si="63"/>
        <v>15.315263925</v>
      </c>
      <c r="N508" s="5">
        <f t="shared" si="64"/>
        <v>0.375</v>
      </c>
      <c r="O508">
        <v>306</v>
      </c>
      <c r="P508">
        <f>IFERROR(VLOOKUP(O508,Capacity!$A$3:$D$532,4,), "0")</f>
        <v>75.398222400000023</v>
      </c>
      <c r="Q508" s="4">
        <f>IFERROR(VLOOKUP(O508,Capacity!$A$3:$F$532,6,), "0")</f>
        <v>0.4</v>
      </c>
      <c r="R508" s="5">
        <f t="shared" si="65"/>
        <v>75.398222400000023</v>
      </c>
      <c r="S508" s="5">
        <f t="shared" si="69"/>
        <v>0.4</v>
      </c>
      <c r="U508">
        <v>295</v>
      </c>
      <c r="V508">
        <v>2</v>
      </c>
      <c r="W508">
        <v>2</v>
      </c>
      <c r="X508">
        <v>1</v>
      </c>
      <c r="AB508">
        <f t="shared" si="66"/>
        <v>0.20312499999999994</v>
      </c>
      <c r="AC508">
        <f t="shared" si="67"/>
        <v>0.90277777777777779</v>
      </c>
      <c r="AD508">
        <f t="shared" si="68"/>
        <v>0.9375</v>
      </c>
      <c r="AE508">
        <f t="shared" si="70"/>
        <v>1.25</v>
      </c>
      <c r="AG508">
        <f t="shared" si="71"/>
        <v>0.16581632653061218</v>
      </c>
    </row>
    <row r="509" spans="1:33" x14ac:dyDescent="0.25">
      <c r="A509">
        <v>2</v>
      </c>
      <c r="B509">
        <f>IFERROR(VLOOKUP(A509,Capacity!$A$3:$D$532,4,), "0")</f>
        <v>11.545352804999998</v>
      </c>
      <c r="C509" s="4">
        <f>IFERROR(VLOOKUP(A509,Capacity!$A$3:$F$532,6,), "0")</f>
        <v>0.17499999999999999</v>
      </c>
      <c r="E509" t="str">
        <f>IFERROR(VLOOKUP(D509,Capacity!$A$3:$D$532,4,), "0")</f>
        <v>0</v>
      </c>
      <c r="F509" s="4" t="str">
        <f>IFERROR(VLOOKUP(D509,Capacity!$A$3:$F$532,6,), "0")</f>
        <v>0</v>
      </c>
      <c r="H509" t="str">
        <f>IFERROR(VLOOKUP(G509,Capacity!$A$3:$D$532,4,), "0")</f>
        <v>0</v>
      </c>
      <c r="I509" s="4" t="str">
        <f>IFERROR(VLOOKUP(G509,Capacity!$A$3:$F$532,6,), "0")</f>
        <v>0</v>
      </c>
      <c r="K509" t="str">
        <f>IFERROR(VLOOKUP(J509,Capacity!$A$3:$D$532,4,), "0")</f>
        <v>0</v>
      </c>
      <c r="L509" s="4" t="str">
        <f>IFERROR(VLOOKUP(J509,Capacity!$A$3:$F$532,6,), "0")</f>
        <v>0</v>
      </c>
      <c r="M509" s="5">
        <f t="shared" si="63"/>
        <v>0</v>
      </c>
      <c r="N509" s="5">
        <f t="shared" si="64"/>
        <v>0</v>
      </c>
      <c r="O509">
        <v>306</v>
      </c>
      <c r="P509">
        <f>IFERROR(VLOOKUP(O509,Capacity!$A$3:$D$532,4,), "0")</f>
        <v>75.398222400000023</v>
      </c>
      <c r="Q509" s="4">
        <f>IFERROR(VLOOKUP(O509,Capacity!$A$3:$F$532,6,), "0")</f>
        <v>0.4</v>
      </c>
      <c r="R509" s="5">
        <f t="shared" si="65"/>
        <v>75.398222400000023</v>
      </c>
      <c r="S509" s="5">
        <f t="shared" si="69"/>
        <v>0.4</v>
      </c>
      <c r="U509">
        <v>2</v>
      </c>
      <c r="V509">
        <v>1</v>
      </c>
      <c r="W509">
        <v>1</v>
      </c>
      <c r="X509">
        <v>1</v>
      </c>
      <c r="AB509">
        <f t="shared" si="66"/>
        <v>0</v>
      </c>
      <c r="AC509">
        <f t="shared" si="67"/>
        <v>0</v>
      </c>
      <c r="AD509">
        <f t="shared" si="68"/>
        <v>0</v>
      </c>
      <c r="AE509">
        <f t="shared" si="70"/>
        <v>0</v>
      </c>
      <c r="AG509">
        <f t="shared" si="71"/>
        <v>0</v>
      </c>
    </row>
    <row r="510" spans="1:33" x14ac:dyDescent="0.25">
      <c r="A510">
        <v>46</v>
      </c>
      <c r="B510">
        <f>IFERROR(VLOOKUP(A510,Capacity!$A$3:$D$532,4,), "0")</f>
        <v>10.053096320000002</v>
      </c>
      <c r="C510" s="4">
        <f>IFERROR(VLOOKUP(A510,Capacity!$A$3:$F$532,6,), "0")</f>
        <v>0.2</v>
      </c>
      <c r="D510">
        <v>454</v>
      </c>
      <c r="E510">
        <f>IFERROR(VLOOKUP(D510,Capacity!$A$3:$D$532,4,), "0")</f>
        <v>9.621127337499999</v>
      </c>
      <c r="F510" s="4">
        <f>IFERROR(VLOOKUP(D510,Capacity!$A$3:$F$532,6,), "0")</f>
        <v>0.17499999999999999</v>
      </c>
      <c r="G510">
        <v>35</v>
      </c>
      <c r="H510">
        <f>IFERROR(VLOOKUP(G510,Capacity!$A$3:$D$532,4,), "0")</f>
        <v>10.053096320000002</v>
      </c>
      <c r="I510" s="4">
        <f>IFERROR(VLOOKUP(G510,Capacity!$A$3:$F$532,6,), "0")</f>
        <v>0.2</v>
      </c>
      <c r="K510" t="str">
        <f>IFERROR(VLOOKUP(J510,Capacity!$A$3:$D$532,4,), "0")</f>
        <v>0</v>
      </c>
      <c r="L510" s="4" t="str">
        <f>IFERROR(VLOOKUP(J510,Capacity!$A$3:$F$532,6,), "0")</f>
        <v>0</v>
      </c>
      <c r="M510" s="5">
        <f t="shared" si="63"/>
        <v>19.674223657500001</v>
      </c>
      <c r="N510" s="5">
        <f t="shared" si="64"/>
        <v>0.375</v>
      </c>
      <c r="O510">
        <v>57</v>
      </c>
      <c r="P510">
        <f>IFERROR(VLOOKUP(O510,Capacity!$A$3:$D$532,4,), "0")</f>
        <v>17.649467226800002</v>
      </c>
      <c r="Q510" s="4">
        <f>IFERROR(VLOOKUP(O510,Capacity!$A$3:$F$532,6,), "0")</f>
        <v>0.26500000000000001</v>
      </c>
      <c r="R510" s="5">
        <f t="shared" si="65"/>
        <v>17.649467226800002</v>
      </c>
      <c r="S510" s="5">
        <f t="shared" si="69"/>
        <v>0.26500000000000001</v>
      </c>
      <c r="U510">
        <v>46</v>
      </c>
      <c r="V510">
        <v>3</v>
      </c>
      <c r="W510">
        <v>3</v>
      </c>
      <c r="X510">
        <v>1</v>
      </c>
      <c r="AB510">
        <f t="shared" si="66"/>
        <v>1.1147205411178354</v>
      </c>
      <c r="AC510">
        <f t="shared" si="67"/>
        <v>1.9570312499999998</v>
      </c>
      <c r="AD510">
        <f t="shared" si="68"/>
        <v>1.4150943396226414</v>
      </c>
      <c r="AE510">
        <f t="shared" si="70"/>
        <v>1.875</v>
      </c>
      <c r="AG510">
        <f t="shared" si="71"/>
        <v>0.71019505556815599</v>
      </c>
    </row>
    <row r="511" spans="1:33" x14ac:dyDescent="0.25">
      <c r="A511">
        <v>383</v>
      </c>
      <c r="B511">
        <f>IFERROR(VLOOKUP(A511,Capacity!$A$3:$D$532,4,), "0")</f>
        <v>9.621127337499999</v>
      </c>
      <c r="C511" s="4">
        <f>IFERROR(VLOOKUP(A511,Capacity!$A$3:$F$532,6,), "0")</f>
        <v>0.17499999999999999</v>
      </c>
      <c r="E511" t="str">
        <f>IFERROR(VLOOKUP(D511,Capacity!$A$3:$D$532,4,), "0")</f>
        <v>0</v>
      </c>
      <c r="F511" s="4" t="str">
        <f>IFERROR(VLOOKUP(D511,Capacity!$A$3:$F$532,6,), "0")</f>
        <v>0</v>
      </c>
      <c r="H511" t="str">
        <f>IFERROR(VLOOKUP(G511,Capacity!$A$3:$D$532,4,), "0")</f>
        <v>0</v>
      </c>
      <c r="I511" s="4" t="str">
        <f>IFERROR(VLOOKUP(G511,Capacity!$A$3:$F$532,6,), "0")</f>
        <v>0</v>
      </c>
      <c r="K511" t="str">
        <f>IFERROR(VLOOKUP(J511,Capacity!$A$3:$D$532,4,), "0")</f>
        <v>0</v>
      </c>
      <c r="L511" s="4" t="str">
        <f>IFERROR(VLOOKUP(J511,Capacity!$A$3:$F$532,6,), "0")</f>
        <v>0</v>
      </c>
      <c r="M511" s="5">
        <f t="shared" si="63"/>
        <v>0</v>
      </c>
      <c r="N511" s="5">
        <f t="shared" si="64"/>
        <v>0</v>
      </c>
      <c r="O511">
        <v>157</v>
      </c>
      <c r="P511">
        <f>IFERROR(VLOOKUP(O511,Capacity!$A$3:$D$532,4,), "0")</f>
        <v>12.988521905624998</v>
      </c>
      <c r="Q511" s="4">
        <f>IFERROR(VLOOKUP(O511,Capacity!$A$3:$F$532,6,), "0")</f>
        <v>0.17499999999999999</v>
      </c>
      <c r="R511" s="5">
        <f t="shared" si="65"/>
        <v>12.988521905624998</v>
      </c>
      <c r="S511" s="5">
        <f t="shared" si="69"/>
        <v>0.17499999999999999</v>
      </c>
      <c r="U511">
        <v>383</v>
      </c>
      <c r="V511">
        <v>0</v>
      </c>
      <c r="W511">
        <v>0</v>
      </c>
      <c r="X511">
        <v>1</v>
      </c>
      <c r="AB511">
        <f t="shared" si="66"/>
        <v>0</v>
      </c>
      <c r="AC511">
        <f t="shared" si="67"/>
        <v>0</v>
      </c>
      <c r="AD511">
        <f t="shared" si="68"/>
        <v>0</v>
      </c>
      <c r="AE511">
        <f t="shared" si="70"/>
        <v>0</v>
      </c>
      <c r="AG511">
        <f t="shared" si="71"/>
        <v>0</v>
      </c>
    </row>
    <row r="512" spans="1:33" x14ac:dyDescent="0.25">
      <c r="A512">
        <v>235</v>
      </c>
      <c r="B512">
        <f>IFERROR(VLOOKUP(A512,Capacity!$A$3:$D$532,4,), "0")</f>
        <v>10.053096320000002</v>
      </c>
      <c r="C512" s="4">
        <f>IFERROR(VLOOKUP(A512,Capacity!$A$3:$F$532,6,), "0")</f>
        <v>0.2</v>
      </c>
      <c r="D512">
        <v>179</v>
      </c>
      <c r="E512">
        <f>IFERROR(VLOOKUP(D512,Capacity!$A$3:$D$532,4,), "0")</f>
        <v>486.94685300000003</v>
      </c>
      <c r="F512" s="4">
        <f>IFERROR(VLOOKUP(D512,Capacity!$A$3:$F$532,6,), "0")</f>
        <v>1</v>
      </c>
      <c r="H512" t="str">
        <f>IFERROR(VLOOKUP(G512,Capacity!$A$3:$D$532,4,), "0")</f>
        <v>0</v>
      </c>
      <c r="I512" s="4" t="str">
        <f>IFERROR(VLOOKUP(G512,Capacity!$A$3:$F$532,6,), "0")</f>
        <v>0</v>
      </c>
      <c r="K512" t="str">
        <f>IFERROR(VLOOKUP(J512,Capacity!$A$3:$D$532,4,), "0")</f>
        <v>0</v>
      </c>
      <c r="L512" s="4" t="str">
        <f>IFERROR(VLOOKUP(J512,Capacity!$A$3:$F$532,6,), "0")</f>
        <v>0</v>
      </c>
      <c r="M512" s="5">
        <f t="shared" si="63"/>
        <v>486.94685300000003</v>
      </c>
      <c r="N512" s="5">
        <f t="shared" si="64"/>
        <v>1</v>
      </c>
      <c r="O512">
        <v>246</v>
      </c>
      <c r="P512">
        <f>IFERROR(VLOOKUP(O512,Capacity!$A$3:$D$532,4,), "0")</f>
        <v>10.053096320000002</v>
      </c>
      <c r="Q512" s="4">
        <f>IFERROR(VLOOKUP(O512,Capacity!$A$3:$F$532,6,), "0")</f>
        <v>0.2</v>
      </c>
      <c r="R512" s="5">
        <f t="shared" si="65"/>
        <v>10.053096320000002</v>
      </c>
      <c r="S512" s="5">
        <f t="shared" si="69"/>
        <v>0.2</v>
      </c>
      <c r="U512">
        <v>235</v>
      </c>
      <c r="V512">
        <v>1</v>
      </c>
      <c r="W512">
        <v>1</v>
      </c>
      <c r="X512">
        <v>1</v>
      </c>
      <c r="AB512">
        <f t="shared" si="66"/>
        <v>48.437499999999993</v>
      </c>
      <c r="AC512">
        <f t="shared" si="67"/>
        <v>48.437499999999993</v>
      </c>
      <c r="AD512">
        <f t="shared" si="68"/>
        <v>5</v>
      </c>
      <c r="AE512">
        <f t="shared" si="70"/>
        <v>5</v>
      </c>
      <c r="AG512">
        <f t="shared" si="71"/>
        <v>24.218749999999996</v>
      </c>
    </row>
    <row r="513" spans="1:33" x14ac:dyDescent="0.25">
      <c r="A513">
        <v>168</v>
      </c>
      <c r="B513">
        <f>IFERROR(VLOOKUP(A513,Capacity!$A$3:$D$532,4,), "0")</f>
        <v>13.950634639374998</v>
      </c>
      <c r="C513" s="4">
        <f>IFERROR(VLOOKUP(A513,Capacity!$A$3:$F$532,6,), "0")</f>
        <v>0.17499999999999999</v>
      </c>
      <c r="E513" t="str">
        <f>IFERROR(VLOOKUP(D513,Capacity!$A$3:$D$532,4,), "0")</f>
        <v>0</v>
      </c>
      <c r="F513" s="4" t="str">
        <f>IFERROR(VLOOKUP(D513,Capacity!$A$3:$F$532,6,), "0")</f>
        <v>0</v>
      </c>
      <c r="H513" t="str">
        <f>IFERROR(VLOOKUP(G513,Capacity!$A$3:$D$532,4,), "0")</f>
        <v>0</v>
      </c>
      <c r="I513" s="4" t="str">
        <f>IFERROR(VLOOKUP(G513,Capacity!$A$3:$F$532,6,), "0")</f>
        <v>0</v>
      </c>
      <c r="K513" t="str">
        <f>IFERROR(VLOOKUP(J513,Capacity!$A$3:$D$532,4,), "0")</f>
        <v>0</v>
      </c>
      <c r="L513" s="4" t="str">
        <f>IFERROR(VLOOKUP(J513,Capacity!$A$3:$F$532,6,), "0")</f>
        <v>0</v>
      </c>
      <c r="M513" s="5">
        <f t="shared" si="63"/>
        <v>0</v>
      </c>
      <c r="N513" s="5">
        <f t="shared" si="64"/>
        <v>0</v>
      </c>
      <c r="O513">
        <v>246</v>
      </c>
      <c r="P513">
        <f>IFERROR(VLOOKUP(O513,Capacity!$A$3:$D$532,4,), "0")</f>
        <v>10.053096320000002</v>
      </c>
      <c r="Q513" s="4">
        <f>IFERROR(VLOOKUP(O513,Capacity!$A$3:$F$532,6,), "0")</f>
        <v>0.2</v>
      </c>
      <c r="R513" s="5">
        <f t="shared" si="65"/>
        <v>10.053096320000002</v>
      </c>
      <c r="S513" s="5">
        <f t="shared" si="69"/>
        <v>0.2</v>
      </c>
      <c r="U513">
        <v>168</v>
      </c>
      <c r="V513">
        <v>1</v>
      </c>
      <c r="W513">
        <v>1</v>
      </c>
      <c r="X513">
        <v>1</v>
      </c>
      <c r="AB513">
        <f t="shared" si="66"/>
        <v>0</v>
      </c>
      <c r="AC513">
        <f t="shared" si="67"/>
        <v>0</v>
      </c>
      <c r="AD513">
        <f t="shared" si="68"/>
        <v>0</v>
      </c>
      <c r="AE513">
        <f t="shared" si="70"/>
        <v>0</v>
      </c>
      <c r="AG513">
        <f t="shared" si="71"/>
        <v>0</v>
      </c>
    </row>
    <row r="514" spans="1:33" x14ac:dyDescent="0.25">
      <c r="A514">
        <v>13</v>
      </c>
      <c r="B514">
        <f>IFERROR(VLOOKUP(A514,Capacity!$A$3:$D$532,4,), "0")</f>
        <v>9.621127337499999</v>
      </c>
      <c r="C514" s="4">
        <f>IFERROR(VLOOKUP(A514,Capacity!$A$3:$F$532,6,), "0")</f>
        <v>0.17499999999999999</v>
      </c>
      <c r="D514">
        <v>367</v>
      </c>
      <c r="E514">
        <f>IFERROR(VLOOKUP(D514,Capacity!$A$3:$D$532,4,), "0")</f>
        <v>7.6969018699999987</v>
      </c>
      <c r="F514" s="4">
        <f>IFERROR(VLOOKUP(D514,Capacity!$A$3:$F$532,6,), "0")</f>
        <v>0.17499999999999999</v>
      </c>
      <c r="G514">
        <v>350</v>
      </c>
      <c r="H514">
        <f>IFERROR(VLOOKUP(G514,Capacity!$A$3:$D$532,4,), "0")</f>
        <v>7.6969018699999987</v>
      </c>
      <c r="I514" s="4">
        <f>IFERROR(VLOOKUP(G514,Capacity!$A$3:$F$532,6,), "0")</f>
        <v>0.17499999999999999</v>
      </c>
      <c r="K514" t="str">
        <f>IFERROR(VLOOKUP(J514,Capacity!$A$3:$D$532,4,), "0")</f>
        <v>0</v>
      </c>
      <c r="L514" s="4" t="str">
        <f>IFERROR(VLOOKUP(J514,Capacity!$A$3:$F$532,6,), "0")</f>
        <v>0</v>
      </c>
      <c r="M514" s="5">
        <f t="shared" ref="M514:M531" si="72">$E514+$H514+$K514</f>
        <v>15.393803739999997</v>
      </c>
      <c r="N514" s="5">
        <f t="shared" si="64"/>
        <v>0.35</v>
      </c>
      <c r="O514">
        <v>201</v>
      </c>
      <c r="P514">
        <f>IFERROR(VLOOKUP(O514,Capacity!$A$3:$D$532,4,), "0")</f>
        <v>16.355916473749996</v>
      </c>
      <c r="Q514" s="4">
        <f>IFERROR(VLOOKUP(O514,Capacity!$A$3:$F$532,6,), "0")</f>
        <v>0.17499999999999999</v>
      </c>
      <c r="R514" s="5">
        <f t="shared" si="65"/>
        <v>16.355916473749996</v>
      </c>
      <c r="S514" s="5">
        <f t="shared" si="69"/>
        <v>0.17499999999999999</v>
      </c>
      <c r="U514">
        <v>13</v>
      </c>
      <c r="V514">
        <v>3</v>
      </c>
      <c r="W514">
        <v>3</v>
      </c>
      <c r="X514">
        <v>1</v>
      </c>
      <c r="AB514">
        <f t="shared" si="66"/>
        <v>0.94117647058823539</v>
      </c>
      <c r="AC514">
        <f t="shared" si="67"/>
        <v>1.5999999999999999</v>
      </c>
      <c r="AD514">
        <f t="shared" si="68"/>
        <v>2</v>
      </c>
      <c r="AE514">
        <f t="shared" si="70"/>
        <v>2</v>
      </c>
      <c r="AG514">
        <f t="shared" si="71"/>
        <v>0.59259259259259256</v>
      </c>
    </row>
    <row r="515" spans="1:33" x14ac:dyDescent="0.25">
      <c r="A515">
        <v>112</v>
      </c>
      <c r="B515">
        <f>IFERROR(VLOOKUP(A515,Capacity!$A$3:$D$532,4,), "0")</f>
        <v>31.989659348575007</v>
      </c>
      <c r="C515" s="4">
        <f>IFERROR(VLOOKUP(A515,Capacity!$A$3:$F$532,6,), "0")</f>
        <v>0.26500000000000001</v>
      </c>
      <c r="D515">
        <v>483</v>
      </c>
      <c r="E515">
        <f>IFERROR(VLOOKUP(D515,Capacity!$A$3:$D$532,4,), "0")</f>
        <v>5.7726764024999992</v>
      </c>
      <c r="F515" s="4">
        <f>IFERROR(VLOOKUP(D515,Capacity!$A$3:$F$532,6,), "0")</f>
        <v>0.17499999999999999</v>
      </c>
      <c r="G515">
        <v>232</v>
      </c>
      <c r="H515">
        <f>IFERROR(VLOOKUP(G515,Capacity!$A$3:$D$532,4,), "0")</f>
        <v>26.474200840200002</v>
      </c>
      <c r="I515" s="4">
        <f>IFERROR(VLOOKUP(G515,Capacity!$A$3:$F$532,6,), "0")</f>
        <v>0.26500000000000001</v>
      </c>
      <c r="J515">
        <v>233</v>
      </c>
      <c r="K515">
        <f>IFERROR(VLOOKUP(J515,Capacity!$A$3:$D$532,4,), "0")</f>
        <v>24.838687732640004</v>
      </c>
      <c r="L515" s="4">
        <f>IFERROR(VLOOKUP(J515,Capacity!$A$3:$F$532,6,), "0")</f>
        <v>0.2</v>
      </c>
      <c r="M515" s="5">
        <f t="shared" si="72"/>
        <v>57.085564975340006</v>
      </c>
      <c r="N515" s="5">
        <f t="shared" ref="N515:N531" si="73">$F515+$I515+$L515</f>
        <v>0.64</v>
      </c>
      <c r="O515">
        <v>339</v>
      </c>
      <c r="P515">
        <f>IFERROR(VLOOKUP(O515,Capacity!$A$3:$D$532,4,), "0")</f>
        <v>25.132740800000008</v>
      </c>
      <c r="Q515" s="4">
        <f>IFERROR(VLOOKUP(O515,Capacity!$A$3:$F$532,6,), "0")</f>
        <v>0.4</v>
      </c>
      <c r="R515" s="5">
        <f t="shared" ref="R515:R531" si="74">$P515</f>
        <v>25.132740800000008</v>
      </c>
      <c r="S515" s="5">
        <f t="shared" si="69"/>
        <v>0.4</v>
      </c>
      <c r="U515">
        <v>112</v>
      </c>
      <c r="V515">
        <v>4</v>
      </c>
      <c r="W515">
        <v>4</v>
      </c>
      <c r="X515">
        <v>1</v>
      </c>
      <c r="AB515">
        <f t="shared" ref="AB515:AB531" si="75">($M515/$R515)</f>
        <v>2.2713624999999995</v>
      </c>
      <c r="AC515">
        <f t="shared" ref="AC515:AC531" si="76">($M515/$B515)</f>
        <v>1.7845005585494897</v>
      </c>
      <c r="AD515">
        <f t="shared" ref="AD515:AD531" si="77">($N515/$S515)</f>
        <v>1.5999999999999999</v>
      </c>
      <c r="AE515">
        <f t="shared" si="70"/>
        <v>2.4150943396226414</v>
      </c>
      <c r="AG515">
        <f t="shared" si="71"/>
        <v>0.99935515361505822</v>
      </c>
    </row>
    <row r="516" spans="1:33" x14ac:dyDescent="0.25">
      <c r="A516">
        <v>266</v>
      </c>
      <c r="B516">
        <f>IFERROR(VLOOKUP(A516,Capacity!$A$3:$D$532,4,), "0")</f>
        <v>11.545352804999998</v>
      </c>
      <c r="C516" s="4">
        <f>IFERROR(VLOOKUP(A516,Capacity!$A$3:$F$532,6,), "0")</f>
        <v>0.17499999999999999</v>
      </c>
      <c r="E516" t="str">
        <f>IFERROR(VLOOKUP(D516,Capacity!$A$3:$D$532,4,), "0")</f>
        <v>0</v>
      </c>
      <c r="F516" s="4" t="str">
        <f>IFERROR(VLOOKUP(D516,Capacity!$A$3:$F$532,6,), "0")</f>
        <v>0</v>
      </c>
      <c r="H516" t="str">
        <f>IFERROR(VLOOKUP(G516,Capacity!$A$3:$D$532,4,), "0")</f>
        <v>0</v>
      </c>
      <c r="I516" s="4" t="str">
        <f>IFERROR(VLOOKUP(G516,Capacity!$A$3:$F$532,6,), "0")</f>
        <v>0</v>
      </c>
      <c r="K516" t="str">
        <f>IFERROR(VLOOKUP(J516,Capacity!$A$3:$D$532,4,), "0")</f>
        <v>0</v>
      </c>
      <c r="L516" s="4" t="str">
        <f>IFERROR(VLOOKUP(J516,Capacity!$A$3:$F$532,6,), "0")</f>
        <v>0</v>
      </c>
      <c r="M516" s="5">
        <f t="shared" si="72"/>
        <v>0</v>
      </c>
      <c r="N516" s="5">
        <f t="shared" si="73"/>
        <v>0</v>
      </c>
      <c r="O516">
        <v>295</v>
      </c>
      <c r="P516">
        <f>IFERROR(VLOOKUP(O516,Capacity!$A$3:$D$532,4,), "0")</f>
        <v>16.964600040000001</v>
      </c>
      <c r="Q516" s="4">
        <f>IFERROR(VLOOKUP(O516,Capacity!$A$3:$F$532,6,), "0")</f>
        <v>0.3</v>
      </c>
      <c r="R516" s="5">
        <f t="shared" si="74"/>
        <v>16.964600040000001</v>
      </c>
      <c r="S516" s="5">
        <f t="shared" ref="S516:S531" si="78">$Q516</f>
        <v>0.3</v>
      </c>
      <c r="U516">
        <v>266</v>
      </c>
      <c r="V516">
        <v>1</v>
      </c>
      <c r="W516">
        <v>1</v>
      </c>
      <c r="X516">
        <v>1</v>
      </c>
      <c r="AB516">
        <f t="shared" si="75"/>
        <v>0</v>
      </c>
      <c r="AC516">
        <f t="shared" si="76"/>
        <v>0</v>
      </c>
      <c r="AD516">
        <f t="shared" si="77"/>
        <v>0</v>
      </c>
      <c r="AE516">
        <f t="shared" ref="AE516:AE531" si="79">($N516/$C516)</f>
        <v>0</v>
      </c>
      <c r="AG516">
        <f t="shared" ref="AG516:AG531" si="80">$M516/($R516+$B516)</f>
        <v>0</v>
      </c>
    </row>
    <row r="517" spans="1:33" x14ac:dyDescent="0.25">
      <c r="A517">
        <v>284</v>
      </c>
      <c r="B517">
        <f>IFERROR(VLOOKUP(A517,Capacity!$A$3:$D$532,4,), "0")</f>
        <v>3.7699111200000006</v>
      </c>
      <c r="C517" s="4">
        <f>IFERROR(VLOOKUP(A517,Capacity!$A$3:$F$532,6,), "0")</f>
        <v>0.2</v>
      </c>
      <c r="D517">
        <v>223</v>
      </c>
      <c r="E517">
        <f>IFERROR(VLOOKUP(D517,Capacity!$A$3:$D$532,4,), "0")</f>
        <v>2.8863382012499996</v>
      </c>
      <c r="F517" s="4">
        <f>IFERROR(VLOOKUP(D517,Capacity!$A$3:$F$532,6,), "0")</f>
        <v>0.17499999999999999</v>
      </c>
      <c r="G517">
        <v>267</v>
      </c>
      <c r="H517">
        <f>IFERROR(VLOOKUP(G517,Capacity!$A$3:$D$532,4,), "0")</f>
        <v>11.545352804999998</v>
      </c>
      <c r="I517" s="4">
        <f>IFERROR(VLOOKUP(G517,Capacity!$A$3:$F$532,6,), "0")</f>
        <v>0.17499999999999999</v>
      </c>
      <c r="K517" t="str">
        <f>IFERROR(VLOOKUP(J517,Capacity!$A$3:$D$532,4,), "0")</f>
        <v>0</v>
      </c>
      <c r="L517" s="4" t="str">
        <f>IFERROR(VLOOKUP(J517,Capacity!$A$3:$F$532,6,), "0")</f>
        <v>0</v>
      </c>
      <c r="M517" s="5">
        <f t="shared" si="72"/>
        <v>14.431691006249999</v>
      </c>
      <c r="N517" s="5">
        <f t="shared" si="73"/>
        <v>0.35</v>
      </c>
      <c r="O517">
        <v>295</v>
      </c>
      <c r="P517">
        <f>IFERROR(VLOOKUP(O517,Capacity!$A$3:$D$532,4,), "0")</f>
        <v>16.964600040000001</v>
      </c>
      <c r="Q517" s="4">
        <f>IFERROR(VLOOKUP(O517,Capacity!$A$3:$F$532,6,), "0")</f>
        <v>0.3</v>
      </c>
      <c r="R517" s="5">
        <f t="shared" si="74"/>
        <v>16.964600040000001</v>
      </c>
      <c r="S517" s="5">
        <f t="shared" si="78"/>
        <v>0.3</v>
      </c>
      <c r="U517">
        <v>284</v>
      </c>
      <c r="V517">
        <v>2</v>
      </c>
      <c r="W517">
        <v>2</v>
      </c>
      <c r="X517">
        <v>1</v>
      </c>
      <c r="AB517">
        <f t="shared" si="75"/>
        <v>0.85069444444444431</v>
      </c>
      <c r="AC517">
        <f t="shared" si="76"/>
        <v>3.8281249999999991</v>
      </c>
      <c r="AD517">
        <f t="shared" si="77"/>
        <v>1.1666666666666667</v>
      </c>
      <c r="AE517">
        <f t="shared" si="79"/>
        <v>1.7499999999999998</v>
      </c>
      <c r="AG517">
        <f t="shared" si="80"/>
        <v>0.69602272727272718</v>
      </c>
    </row>
    <row r="518" spans="1:33" x14ac:dyDescent="0.25">
      <c r="A518">
        <v>454</v>
      </c>
      <c r="B518">
        <f>IFERROR(VLOOKUP(A518,Capacity!$A$3:$D$532,4,), "0")</f>
        <v>9.621127337499999</v>
      </c>
      <c r="C518" s="4">
        <f>IFERROR(VLOOKUP(A518,Capacity!$A$3:$F$532,6,), "0")</f>
        <v>0.17499999999999999</v>
      </c>
      <c r="E518" t="str">
        <f>IFERROR(VLOOKUP(D518,Capacity!$A$3:$D$532,4,), "0")</f>
        <v>0</v>
      </c>
      <c r="F518" s="4" t="str">
        <f>IFERROR(VLOOKUP(D518,Capacity!$A$3:$F$532,6,), "0")</f>
        <v>0</v>
      </c>
      <c r="H518" t="str">
        <f>IFERROR(VLOOKUP(G518,Capacity!$A$3:$D$532,4,), "0")</f>
        <v>0</v>
      </c>
      <c r="I518" s="4" t="str">
        <f>IFERROR(VLOOKUP(G518,Capacity!$A$3:$F$532,6,), "0")</f>
        <v>0</v>
      </c>
      <c r="K518" t="str">
        <f>IFERROR(VLOOKUP(J518,Capacity!$A$3:$D$532,4,), "0")</f>
        <v>0</v>
      </c>
      <c r="L518" s="4" t="str">
        <f>IFERROR(VLOOKUP(J518,Capacity!$A$3:$F$532,6,), "0")</f>
        <v>0</v>
      </c>
      <c r="M518" s="5">
        <f t="shared" si="72"/>
        <v>0</v>
      </c>
      <c r="N518" s="5">
        <f t="shared" si="73"/>
        <v>0</v>
      </c>
      <c r="O518">
        <v>46</v>
      </c>
      <c r="P518">
        <f>IFERROR(VLOOKUP(O518,Capacity!$A$3:$D$532,4,), "0")</f>
        <v>10.053096320000002</v>
      </c>
      <c r="Q518" s="4">
        <f>IFERROR(VLOOKUP(O518,Capacity!$A$3:$F$532,6,), "0")</f>
        <v>0.2</v>
      </c>
      <c r="R518" s="5">
        <f t="shared" si="74"/>
        <v>10.053096320000002</v>
      </c>
      <c r="S518" s="5">
        <f t="shared" si="78"/>
        <v>0.2</v>
      </c>
      <c r="U518">
        <v>454</v>
      </c>
      <c r="V518">
        <v>0</v>
      </c>
      <c r="W518">
        <v>0</v>
      </c>
      <c r="X518">
        <v>1</v>
      </c>
      <c r="AB518">
        <f t="shared" si="75"/>
        <v>0</v>
      </c>
      <c r="AC518">
        <f t="shared" si="76"/>
        <v>0</v>
      </c>
      <c r="AD518">
        <f t="shared" si="77"/>
        <v>0</v>
      </c>
      <c r="AE518">
        <f t="shared" si="79"/>
        <v>0</v>
      </c>
      <c r="AG518">
        <f t="shared" si="80"/>
        <v>0</v>
      </c>
    </row>
    <row r="519" spans="1:33" x14ac:dyDescent="0.25">
      <c r="A519">
        <v>35</v>
      </c>
      <c r="B519">
        <f>IFERROR(VLOOKUP(A519,Capacity!$A$3:$D$532,4,), "0")</f>
        <v>10.053096320000002</v>
      </c>
      <c r="C519" s="4">
        <f>IFERROR(VLOOKUP(A519,Capacity!$A$3:$F$532,6,), "0")</f>
        <v>0.2</v>
      </c>
      <c r="D519">
        <v>369</v>
      </c>
      <c r="E519">
        <f>IFERROR(VLOOKUP(D519,Capacity!$A$3:$D$532,4,), "0")</f>
        <v>7.6969018699999987</v>
      </c>
      <c r="F519" s="4">
        <f>IFERROR(VLOOKUP(D519,Capacity!$A$3:$F$532,6,), "0")</f>
        <v>0.17499999999999999</v>
      </c>
      <c r="H519" t="str">
        <f>IFERROR(VLOOKUP(G519,Capacity!$A$3:$D$532,4,), "0")</f>
        <v>0</v>
      </c>
      <c r="I519" s="4" t="str">
        <f>IFERROR(VLOOKUP(G519,Capacity!$A$3:$F$532,6,), "0")</f>
        <v>0</v>
      </c>
      <c r="K519" t="str">
        <f>IFERROR(VLOOKUP(J519,Capacity!$A$3:$D$532,4,), "0")</f>
        <v>0</v>
      </c>
      <c r="L519" s="4" t="str">
        <f>IFERROR(VLOOKUP(J519,Capacity!$A$3:$F$532,6,), "0")</f>
        <v>0</v>
      </c>
      <c r="M519" s="5">
        <f t="shared" si="72"/>
        <v>7.6969018699999987</v>
      </c>
      <c r="N519" s="5">
        <f t="shared" si="73"/>
        <v>0.17499999999999999</v>
      </c>
      <c r="O519">
        <v>46</v>
      </c>
      <c r="P519">
        <f>IFERROR(VLOOKUP(O519,Capacity!$A$3:$D$532,4,), "0")</f>
        <v>10.053096320000002</v>
      </c>
      <c r="Q519" s="4">
        <f>IFERROR(VLOOKUP(O519,Capacity!$A$3:$F$532,6,), "0")</f>
        <v>0.2</v>
      </c>
      <c r="R519" s="5">
        <f t="shared" si="74"/>
        <v>10.053096320000002</v>
      </c>
      <c r="S519" s="5">
        <f t="shared" si="78"/>
        <v>0.2</v>
      </c>
      <c r="U519">
        <v>35</v>
      </c>
      <c r="V519">
        <v>1</v>
      </c>
      <c r="W519">
        <v>1</v>
      </c>
      <c r="X519">
        <v>1</v>
      </c>
      <c r="AB519">
        <f t="shared" si="75"/>
        <v>0.76562499999999978</v>
      </c>
      <c r="AC519">
        <f t="shared" si="76"/>
        <v>0.76562499999999978</v>
      </c>
      <c r="AD519">
        <f t="shared" si="77"/>
        <v>0.87499999999999989</v>
      </c>
      <c r="AE519">
        <f t="shared" si="79"/>
        <v>0.87499999999999989</v>
      </c>
      <c r="AG519">
        <f t="shared" si="80"/>
        <v>0.38281249999999989</v>
      </c>
    </row>
    <row r="520" spans="1:33" x14ac:dyDescent="0.25">
      <c r="A520">
        <v>179</v>
      </c>
      <c r="B520">
        <f>IFERROR(VLOOKUP(A520,Capacity!$A$3:$D$532,4,), "0")</f>
        <v>486.94685300000003</v>
      </c>
      <c r="C520" s="4">
        <f>IFERROR(VLOOKUP(A520,Capacity!$A$3:$F$532,6,), "0")</f>
        <v>1</v>
      </c>
      <c r="D520">
        <v>373</v>
      </c>
      <c r="E520">
        <f>IFERROR(VLOOKUP(D520,Capacity!$A$3:$D$532,4,), "0")</f>
        <v>9.621127337499999</v>
      </c>
      <c r="F520" s="4">
        <f>IFERROR(VLOOKUP(D520,Capacity!$A$3:$F$532,6,), "0")</f>
        <v>0.17499999999999999</v>
      </c>
      <c r="H520" t="str">
        <f>IFERROR(VLOOKUP(G520,Capacity!$A$3:$D$532,4,), "0")</f>
        <v>0</v>
      </c>
      <c r="I520" s="4" t="str">
        <f>IFERROR(VLOOKUP(G520,Capacity!$A$3:$F$532,6,), "0")</f>
        <v>0</v>
      </c>
      <c r="K520" t="str">
        <f>IFERROR(VLOOKUP(J520,Capacity!$A$3:$D$532,4,), "0")</f>
        <v>0</v>
      </c>
      <c r="L520" s="4" t="str">
        <f>IFERROR(VLOOKUP(J520,Capacity!$A$3:$F$532,6,), "0")</f>
        <v>0</v>
      </c>
      <c r="M520" s="5">
        <f t="shared" si="72"/>
        <v>9.621127337499999</v>
      </c>
      <c r="N520" s="5">
        <f t="shared" si="73"/>
        <v>0.17499999999999999</v>
      </c>
      <c r="O520">
        <v>235</v>
      </c>
      <c r="P520">
        <f>IFERROR(VLOOKUP(O520,Capacity!$A$3:$D$532,4,), "0")</f>
        <v>10.053096320000002</v>
      </c>
      <c r="Q520" s="4">
        <f>IFERROR(VLOOKUP(O520,Capacity!$A$3:$F$532,6,), "0")</f>
        <v>0.2</v>
      </c>
      <c r="R520" s="5">
        <f t="shared" si="74"/>
        <v>10.053096320000002</v>
      </c>
      <c r="S520" s="5">
        <f t="shared" si="78"/>
        <v>0.2</v>
      </c>
      <c r="U520">
        <v>179</v>
      </c>
      <c r="V520">
        <v>2</v>
      </c>
      <c r="W520">
        <v>2</v>
      </c>
      <c r="X520">
        <v>1</v>
      </c>
      <c r="AB520">
        <f t="shared" si="75"/>
        <v>0.95703124999999978</v>
      </c>
      <c r="AC520">
        <f t="shared" si="76"/>
        <v>1.9758064516129031E-2</v>
      </c>
      <c r="AD520">
        <f t="shared" si="77"/>
        <v>0.87499999999999989</v>
      </c>
      <c r="AE520">
        <f t="shared" si="79"/>
        <v>0.17499999999999999</v>
      </c>
      <c r="AG520">
        <f t="shared" si="80"/>
        <v>1.9358407079646013E-2</v>
      </c>
    </row>
    <row r="521" spans="1:33" x14ac:dyDescent="0.25">
      <c r="A521">
        <v>367</v>
      </c>
      <c r="B521">
        <f>IFERROR(VLOOKUP(A521,Capacity!$A$3:$D$532,4,), "0")</f>
        <v>7.6969018699999987</v>
      </c>
      <c r="C521" s="4">
        <f>IFERROR(VLOOKUP(A521,Capacity!$A$3:$F$532,6,), "0")</f>
        <v>0.17499999999999999</v>
      </c>
      <c r="E521" t="str">
        <f>IFERROR(VLOOKUP(D521,Capacity!$A$3:$D$532,4,), "0")</f>
        <v>0</v>
      </c>
      <c r="F521" s="4" t="str">
        <f>IFERROR(VLOOKUP(D521,Capacity!$A$3:$F$532,6,), "0")</f>
        <v>0</v>
      </c>
      <c r="H521" t="str">
        <f>IFERROR(VLOOKUP(G521,Capacity!$A$3:$D$532,4,), "0")</f>
        <v>0</v>
      </c>
      <c r="I521" s="4" t="str">
        <f>IFERROR(VLOOKUP(G521,Capacity!$A$3:$F$532,6,), "0")</f>
        <v>0</v>
      </c>
      <c r="K521" t="str">
        <f>IFERROR(VLOOKUP(J521,Capacity!$A$3:$D$532,4,), "0")</f>
        <v>0</v>
      </c>
      <c r="L521" s="4" t="str">
        <f>IFERROR(VLOOKUP(J521,Capacity!$A$3:$F$532,6,), "0")</f>
        <v>0</v>
      </c>
      <c r="M521" s="5">
        <f t="shared" si="72"/>
        <v>0</v>
      </c>
      <c r="N521" s="5">
        <f t="shared" si="73"/>
        <v>0</v>
      </c>
      <c r="O521">
        <v>13</v>
      </c>
      <c r="P521">
        <f>IFERROR(VLOOKUP(O521,Capacity!$A$3:$D$532,4,), "0")</f>
        <v>9.621127337499999</v>
      </c>
      <c r="Q521" s="4">
        <f>IFERROR(VLOOKUP(O521,Capacity!$A$3:$F$532,6,), "0")</f>
        <v>0.17499999999999999</v>
      </c>
      <c r="R521" s="5">
        <f t="shared" si="74"/>
        <v>9.621127337499999</v>
      </c>
      <c r="S521" s="5">
        <f t="shared" si="78"/>
        <v>0.17499999999999999</v>
      </c>
      <c r="U521">
        <v>367</v>
      </c>
      <c r="V521">
        <v>0</v>
      </c>
      <c r="W521">
        <v>0</v>
      </c>
      <c r="X521">
        <v>1</v>
      </c>
      <c r="AB521">
        <f t="shared" si="75"/>
        <v>0</v>
      </c>
      <c r="AC521">
        <f t="shared" si="76"/>
        <v>0</v>
      </c>
      <c r="AD521">
        <f t="shared" si="77"/>
        <v>0</v>
      </c>
      <c r="AE521">
        <f t="shared" si="79"/>
        <v>0</v>
      </c>
      <c r="AG521">
        <f t="shared" si="80"/>
        <v>0</v>
      </c>
    </row>
    <row r="522" spans="1:33" x14ac:dyDescent="0.25">
      <c r="A522">
        <v>350</v>
      </c>
      <c r="B522">
        <f>IFERROR(VLOOKUP(A522,Capacity!$A$3:$D$532,4,), "0")</f>
        <v>7.6969018699999987</v>
      </c>
      <c r="C522" s="4">
        <f>IFERROR(VLOOKUP(A522,Capacity!$A$3:$F$532,6,), "0")</f>
        <v>0.17499999999999999</v>
      </c>
      <c r="E522" t="str">
        <f>IFERROR(VLOOKUP(D522,Capacity!$A$3:$D$532,4,), "0")</f>
        <v>0</v>
      </c>
      <c r="F522" s="4" t="str">
        <f>IFERROR(VLOOKUP(D522,Capacity!$A$3:$F$532,6,), "0")</f>
        <v>0</v>
      </c>
      <c r="H522" t="str">
        <f>IFERROR(VLOOKUP(G522,Capacity!$A$3:$D$532,4,), "0")</f>
        <v>0</v>
      </c>
      <c r="I522" s="4" t="str">
        <f>IFERROR(VLOOKUP(G522,Capacity!$A$3:$F$532,6,), "0")</f>
        <v>0</v>
      </c>
      <c r="K522" t="str">
        <f>IFERROR(VLOOKUP(J522,Capacity!$A$3:$D$532,4,), "0")</f>
        <v>0</v>
      </c>
      <c r="L522" s="4" t="str">
        <f>IFERROR(VLOOKUP(J522,Capacity!$A$3:$F$532,6,), "0")</f>
        <v>0</v>
      </c>
      <c r="M522" s="5">
        <f t="shared" si="72"/>
        <v>0</v>
      </c>
      <c r="N522" s="5">
        <f t="shared" si="73"/>
        <v>0</v>
      </c>
      <c r="O522">
        <v>13</v>
      </c>
      <c r="P522">
        <f>IFERROR(VLOOKUP(O522,Capacity!$A$3:$D$532,4,), "0")</f>
        <v>9.621127337499999</v>
      </c>
      <c r="Q522" s="4">
        <f>IFERROR(VLOOKUP(O522,Capacity!$A$3:$F$532,6,), "0")</f>
        <v>0.17499999999999999</v>
      </c>
      <c r="R522" s="5">
        <f t="shared" si="74"/>
        <v>9.621127337499999</v>
      </c>
      <c r="S522" s="5">
        <f t="shared" si="78"/>
        <v>0.17499999999999999</v>
      </c>
      <c r="U522">
        <v>350</v>
      </c>
      <c r="V522">
        <v>0</v>
      </c>
      <c r="W522">
        <v>0</v>
      </c>
      <c r="X522">
        <v>1</v>
      </c>
      <c r="AB522">
        <f t="shared" si="75"/>
        <v>0</v>
      </c>
      <c r="AC522">
        <f t="shared" si="76"/>
        <v>0</v>
      </c>
      <c r="AD522">
        <f t="shared" si="77"/>
        <v>0</v>
      </c>
      <c r="AE522">
        <f t="shared" si="79"/>
        <v>0</v>
      </c>
      <c r="AG522">
        <f t="shared" si="80"/>
        <v>0</v>
      </c>
    </row>
    <row r="523" spans="1:33" x14ac:dyDescent="0.25">
      <c r="A523">
        <v>483</v>
      </c>
      <c r="B523">
        <f>IFERROR(VLOOKUP(A523,Capacity!$A$3:$D$532,4,), "0")</f>
        <v>5.7726764024999992</v>
      </c>
      <c r="C523" s="4">
        <f>IFERROR(VLOOKUP(A523,Capacity!$A$3:$F$532,6,), "0")</f>
        <v>0.17499999999999999</v>
      </c>
      <c r="E523" t="str">
        <f>IFERROR(VLOOKUP(D523,Capacity!$A$3:$D$532,4,), "0")</f>
        <v>0</v>
      </c>
      <c r="F523" s="4" t="str">
        <f>IFERROR(VLOOKUP(D523,Capacity!$A$3:$F$532,6,), "0")</f>
        <v>0</v>
      </c>
      <c r="H523" t="str">
        <f>IFERROR(VLOOKUP(G523,Capacity!$A$3:$D$532,4,), "0")</f>
        <v>0</v>
      </c>
      <c r="I523" s="4" t="str">
        <f>IFERROR(VLOOKUP(G523,Capacity!$A$3:$F$532,6,), "0")</f>
        <v>0</v>
      </c>
      <c r="K523" t="str">
        <f>IFERROR(VLOOKUP(J523,Capacity!$A$3:$D$532,4,), "0")</f>
        <v>0</v>
      </c>
      <c r="L523" s="4" t="str">
        <f>IFERROR(VLOOKUP(J523,Capacity!$A$3:$F$532,6,), "0")</f>
        <v>0</v>
      </c>
      <c r="M523" s="5">
        <f t="shared" si="72"/>
        <v>0</v>
      </c>
      <c r="N523" s="5">
        <f t="shared" si="73"/>
        <v>0</v>
      </c>
      <c r="O523">
        <v>112</v>
      </c>
      <c r="P523">
        <f>IFERROR(VLOOKUP(O523,Capacity!$A$3:$D$532,4,), "0")</f>
        <v>31.989659348575007</v>
      </c>
      <c r="Q523" s="4">
        <f>IFERROR(VLOOKUP(O523,Capacity!$A$3:$F$532,6,), "0")</f>
        <v>0.26500000000000001</v>
      </c>
      <c r="R523" s="5">
        <f t="shared" si="74"/>
        <v>31.989659348575007</v>
      </c>
      <c r="S523" s="5">
        <f t="shared" si="78"/>
        <v>0.26500000000000001</v>
      </c>
      <c r="U523">
        <v>483</v>
      </c>
      <c r="V523">
        <v>0</v>
      </c>
      <c r="W523">
        <v>0</v>
      </c>
      <c r="X523">
        <v>1</v>
      </c>
      <c r="AB523">
        <f t="shared" si="75"/>
        <v>0</v>
      </c>
      <c r="AC523">
        <f t="shared" si="76"/>
        <v>0</v>
      </c>
      <c r="AD523">
        <f t="shared" si="77"/>
        <v>0</v>
      </c>
      <c r="AE523">
        <f t="shared" si="79"/>
        <v>0</v>
      </c>
      <c r="AG523">
        <f t="shared" si="80"/>
        <v>0</v>
      </c>
    </row>
    <row r="524" spans="1:33" x14ac:dyDescent="0.25">
      <c r="A524">
        <v>233</v>
      </c>
      <c r="B524">
        <f>IFERROR(VLOOKUP(A524,Capacity!$A$3:$D$532,4,), "0")</f>
        <v>24.838687732640004</v>
      </c>
      <c r="C524" s="4">
        <f>IFERROR(VLOOKUP(A524,Capacity!$A$3:$F$532,6,), "0")</f>
        <v>0.2</v>
      </c>
      <c r="D524">
        <v>270</v>
      </c>
      <c r="E524">
        <f>IFERROR(VLOOKUP(D524,Capacity!$A$3:$D$532,4,), "0")</f>
        <v>28.863382012499997</v>
      </c>
      <c r="F524" s="4">
        <f>IFERROR(VLOOKUP(D524,Capacity!$A$3:$F$532,6,), "0")</f>
        <v>0.17499999999999999</v>
      </c>
      <c r="H524" t="str">
        <f>IFERROR(VLOOKUP(G524,Capacity!$A$3:$D$532,4,), "0")</f>
        <v>0</v>
      </c>
      <c r="I524" s="4" t="str">
        <f>IFERROR(VLOOKUP(G524,Capacity!$A$3:$F$532,6,), "0")</f>
        <v>0</v>
      </c>
      <c r="K524" t="str">
        <f>IFERROR(VLOOKUP(J524,Capacity!$A$3:$D$532,4,), "0")</f>
        <v>0</v>
      </c>
      <c r="L524" s="4" t="str">
        <f>IFERROR(VLOOKUP(J524,Capacity!$A$3:$F$532,6,), "0")</f>
        <v>0</v>
      </c>
      <c r="M524" s="5">
        <f t="shared" si="72"/>
        <v>28.863382012499997</v>
      </c>
      <c r="N524" s="5">
        <f t="shared" si="73"/>
        <v>0.17499999999999999</v>
      </c>
      <c r="O524">
        <v>112</v>
      </c>
      <c r="P524">
        <f>IFERROR(VLOOKUP(O524,Capacity!$A$3:$D$532,4,), "0")</f>
        <v>31.989659348575007</v>
      </c>
      <c r="Q524" s="4">
        <f>IFERROR(VLOOKUP(O524,Capacity!$A$3:$F$532,6,), "0")</f>
        <v>0.26500000000000001</v>
      </c>
      <c r="R524" s="5">
        <f t="shared" si="74"/>
        <v>31.989659348575007</v>
      </c>
      <c r="S524" s="5">
        <f t="shared" si="78"/>
        <v>0.26500000000000001</v>
      </c>
      <c r="U524">
        <v>233</v>
      </c>
      <c r="V524">
        <v>2</v>
      </c>
      <c r="W524">
        <v>2</v>
      </c>
      <c r="X524">
        <v>1</v>
      </c>
      <c r="AB524">
        <f t="shared" si="75"/>
        <v>0.90227225297995328</v>
      </c>
      <c r="AC524">
        <f t="shared" si="76"/>
        <v>1.1620332894869976</v>
      </c>
      <c r="AD524">
        <f t="shared" si="77"/>
        <v>0.660377358490566</v>
      </c>
      <c r="AE524">
        <f t="shared" si="79"/>
        <v>0.87499999999999989</v>
      </c>
      <c r="AG524">
        <f t="shared" si="80"/>
        <v>0.50790465489433489</v>
      </c>
    </row>
    <row r="525" spans="1:33" x14ac:dyDescent="0.25">
      <c r="A525">
        <v>232</v>
      </c>
      <c r="B525">
        <f>IFERROR(VLOOKUP(A525,Capacity!$A$3:$D$532,4,), "0")</f>
        <v>26.474200840200002</v>
      </c>
      <c r="C525" s="4">
        <f>IFERROR(VLOOKUP(A525,Capacity!$A$3:$F$532,6,), "0")</f>
        <v>0.26500000000000001</v>
      </c>
      <c r="E525" t="str">
        <f>IFERROR(VLOOKUP(D525,Capacity!$A$3:$D$532,4,), "0")</f>
        <v>0</v>
      </c>
      <c r="F525" s="4" t="str">
        <f>IFERROR(VLOOKUP(D525,Capacity!$A$3:$F$532,6,), "0")</f>
        <v>0</v>
      </c>
      <c r="H525" t="str">
        <f>IFERROR(VLOOKUP(G525,Capacity!$A$3:$D$532,4,), "0")</f>
        <v>0</v>
      </c>
      <c r="I525" s="4" t="str">
        <f>IFERROR(VLOOKUP(G525,Capacity!$A$3:$F$532,6,), "0")</f>
        <v>0</v>
      </c>
      <c r="K525" t="str">
        <f>IFERROR(VLOOKUP(J525,Capacity!$A$3:$D$532,4,), "0")</f>
        <v>0</v>
      </c>
      <c r="L525" s="4" t="str">
        <f>IFERROR(VLOOKUP(J525,Capacity!$A$3:$F$532,6,), "0")</f>
        <v>0</v>
      </c>
      <c r="M525" s="5">
        <f t="shared" si="72"/>
        <v>0</v>
      </c>
      <c r="N525" s="5">
        <f t="shared" si="73"/>
        <v>0</v>
      </c>
      <c r="O525">
        <v>112</v>
      </c>
      <c r="P525">
        <f>IFERROR(VLOOKUP(O525,Capacity!$A$3:$D$532,4,), "0")</f>
        <v>31.989659348575007</v>
      </c>
      <c r="Q525" s="4">
        <f>IFERROR(VLOOKUP(O525,Capacity!$A$3:$F$532,6,), "0")</f>
        <v>0.26500000000000001</v>
      </c>
      <c r="R525" s="5">
        <f t="shared" si="74"/>
        <v>31.989659348575007</v>
      </c>
      <c r="S525" s="5">
        <f t="shared" si="78"/>
        <v>0.26500000000000001</v>
      </c>
      <c r="U525">
        <v>232</v>
      </c>
      <c r="V525">
        <v>1</v>
      </c>
      <c r="W525">
        <v>1</v>
      </c>
      <c r="X525">
        <v>1</v>
      </c>
      <c r="AB525">
        <f t="shared" si="75"/>
        <v>0</v>
      </c>
      <c r="AC525">
        <f t="shared" si="76"/>
        <v>0</v>
      </c>
      <c r="AD525">
        <f t="shared" si="77"/>
        <v>0</v>
      </c>
      <c r="AE525">
        <f t="shared" si="79"/>
        <v>0</v>
      </c>
      <c r="AG525">
        <f t="shared" si="80"/>
        <v>0</v>
      </c>
    </row>
    <row r="526" spans="1:33" x14ac:dyDescent="0.25">
      <c r="A526">
        <v>267</v>
      </c>
      <c r="B526">
        <f>IFERROR(VLOOKUP(A526,Capacity!$A$3:$D$532,4,), "0")</f>
        <v>11.545352804999998</v>
      </c>
      <c r="C526" s="4">
        <f>IFERROR(VLOOKUP(A526,Capacity!$A$3:$F$532,6,), "0")</f>
        <v>0.17499999999999999</v>
      </c>
      <c r="E526" t="str">
        <f>IFERROR(VLOOKUP(D526,Capacity!$A$3:$D$532,4,), "0")</f>
        <v>0</v>
      </c>
      <c r="F526" s="4" t="str">
        <f>IFERROR(VLOOKUP(D526,Capacity!$A$3:$F$532,6,), "0")</f>
        <v>0</v>
      </c>
      <c r="H526" t="str">
        <f>IFERROR(VLOOKUP(G526,Capacity!$A$3:$D$532,4,), "0")</f>
        <v>0</v>
      </c>
      <c r="I526" s="4" t="str">
        <f>IFERROR(VLOOKUP(G526,Capacity!$A$3:$F$532,6,), "0")</f>
        <v>0</v>
      </c>
      <c r="K526" t="str">
        <f>IFERROR(VLOOKUP(J526,Capacity!$A$3:$D$532,4,), "0")</f>
        <v>0</v>
      </c>
      <c r="L526" s="4" t="str">
        <f>IFERROR(VLOOKUP(J526,Capacity!$A$3:$F$532,6,), "0")</f>
        <v>0</v>
      </c>
      <c r="M526" s="5">
        <f t="shared" si="72"/>
        <v>0</v>
      </c>
      <c r="N526" s="5">
        <f t="shared" si="73"/>
        <v>0</v>
      </c>
      <c r="O526">
        <v>284</v>
      </c>
      <c r="P526">
        <f>IFERROR(VLOOKUP(O526,Capacity!$A$3:$D$532,4,), "0")</f>
        <v>3.7699111200000006</v>
      </c>
      <c r="Q526" s="4">
        <f>IFERROR(VLOOKUP(O526,Capacity!$A$3:$F$532,6,), "0")</f>
        <v>0.2</v>
      </c>
      <c r="R526" s="5">
        <f t="shared" si="74"/>
        <v>3.7699111200000006</v>
      </c>
      <c r="S526" s="5">
        <f t="shared" si="78"/>
        <v>0.2</v>
      </c>
      <c r="U526">
        <v>267</v>
      </c>
      <c r="V526">
        <v>1</v>
      </c>
      <c r="W526">
        <v>1</v>
      </c>
      <c r="X526">
        <v>1</v>
      </c>
      <c r="AB526">
        <f t="shared" si="75"/>
        <v>0</v>
      </c>
      <c r="AC526">
        <f t="shared" si="76"/>
        <v>0</v>
      </c>
      <c r="AD526">
        <f t="shared" si="77"/>
        <v>0</v>
      </c>
      <c r="AE526">
        <f t="shared" si="79"/>
        <v>0</v>
      </c>
      <c r="AG526">
        <f t="shared" si="80"/>
        <v>0</v>
      </c>
    </row>
    <row r="527" spans="1:33" x14ac:dyDescent="0.25">
      <c r="A527">
        <v>223</v>
      </c>
      <c r="B527">
        <f>IFERROR(VLOOKUP(A527,Capacity!$A$3:$D$532,4,), "0")</f>
        <v>2.8863382012499996</v>
      </c>
      <c r="C527" s="4">
        <f>IFERROR(VLOOKUP(A527,Capacity!$A$3:$F$532,6,), "0")</f>
        <v>0.17499999999999999</v>
      </c>
      <c r="D527">
        <v>269</v>
      </c>
      <c r="E527">
        <f>IFERROR(VLOOKUP(D527,Capacity!$A$3:$D$532,4,), "0")</f>
        <v>26.474200840200002</v>
      </c>
      <c r="F527" s="4">
        <f>IFERROR(VLOOKUP(D527,Capacity!$A$3:$F$532,6,), "0")</f>
        <v>0.26500000000000001</v>
      </c>
      <c r="H527" t="str">
        <f>IFERROR(VLOOKUP(G527,Capacity!$A$3:$D$532,4,), "0")</f>
        <v>0</v>
      </c>
      <c r="I527" s="4" t="str">
        <f>IFERROR(VLOOKUP(G527,Capacity!$A$3:$F$532,6,), "0")</f>
        <v>0</v>
      </c>
      <c r="K527" t="str">
        <f>IFERROR(VLOOKUP(J527,Capacity!$A$3:$D$532,4,), "0")</f>
        <v>0</v>
      </c>
      <c r="L527" s="4" t="str">
        <f>IFERROR(VLOOKUP(J527,Capacity!$A$3:$F$532,6,), "0")</f>
        <v>0</v>
      </c>
      <c r="M527" s="5">
        <f t="shared" si="72"/>
        <v>26.474200840200002</v>
      </c>
      <c r="N527" s="5">
        <f t="shared" si="73"/>
        <v>0.26500000000000001</v>
      </c>
      <c r="O527">
        <v>284</v>
      </c>
      <c r="P527">
        <f>IFERROR(VLOOKUP(O527,Capacity!$A$3:$D$532,4,), "0")</f>
        <v>3.7699111200000006</v>
      </c>
      <c r="Q527" s="4">
        <f>IFERROR(VLOOKUP(O527,Capacity!$A$3:$F$532,6,), "0")</f>
        <v>0.2</v>
      </c>
      <c r="R527" s="5">
        <f t="shared" si="74"/>
        <v>3.7699111200000006</v>
      </c>
      <c r="S527" s="5">
        <f t="shared" si="78"/>
        <v>0.2</v>
      </c>
      <c r="U527">
        <v>223</v>
      </c>
      <c r="V527">
        <v>2</v>
      </c>
      <c r="W527">
        <v>2</v>
      </c>
      <c r="X527">
        <v>1</v>
      </c>
      <c r="AB527">
        <f t="shared" si="75"/>
        <v>7.0224999999999991</v>
      </c>
      <c r="AC527">
        <f t="shared" si="76"/>
        <v>9.1722448979591853</v>
      </c>
      <c r="AD527">
        <f t="shared" si="77"/>
        <v>1.325</v>
      </c>
      <c r="AE527">
        <f t="shared" si="79"/>
        <v>1.5142857142857145</v>
      </c>
      <c r="AG527">
        <f t="shared" si="80"/>
        <v>3.9773451327433631</v>
      </c>
    </row>
    <row r="528" spans="1:33" x14ac:dyDescent="0.25">
      <c r="A528">
        <v>369</v>
      </c>
      <c r="B528">
        <f>IFERROR(VLOOKUP(A528,Capacity!$A$3:$D$532,4,), "0")</f>
        <v>7.6969018699999987</v>
      </c>
      <c r="C528" s="4">
        <f>IFERROR(VLOOKUP(A528,Capacity!$A$3:$F$532,6,), "0")</f>
        <v>0.17499999999999999</v>
      </c>
      <c r="E528" t="str">
        <f>IFERROR(VLOOKUP(D528,Capacity!$A$3:$D$532,4,), "0")</f>
        <v>0</v>
      </c>
      <c r="F528" s="4" t="str">
        <f>IFERROR(VLOOKUP(D528,Capacity!$A$3:$F$532,6,), "0")</f>
        <v>0</v>
      </c>
      <c r="H528" t="str">
        <f>IFERROR(VLOOKUP(G528,Capacity!$A$3:$D$532,4,), "0")</f>
        <v>0</v>
      </c>
      <c r="I528" s="4" t="str">
        <f>IFERROR(VLOOKUP(G528,Capacity!$A$3:$F$532,6,), "0")</f>
        <v>0</v>
      </c>
      <c r="K528" t="str">
        <f>IFERROR(VLOOKUP(J528,Capacity!$A$3:$D$532,4,), "0")</f>
        <v>0</v>
      </c>
      <c r="L528" s="4" t="str">
        <f>IFERROR(VLOOKUP(J528,Capacity!$A$3:$F$532,6,), "0")</f>
        <v>0</v>
      </c>
      <c r="M528" s="5">
        <f t="shared" si="72"/>
        <v>0</v>
      </c>
      <c r="N528" s="5">
        <f t="shared" si="73"/>
        <v>0</v>
      </c>
      <c r="O528">
        <v>35</v>
      </c>
      <c r="P528">
        <f>IFERROR(VLOOKUP(O528,Capacity!$A$3:$D$532,4,), "0")</f>
        <v>10.053096320000002</v>
      </c>
      <c r="Q528" s="4">
        <f>IFERROR(VLOOKUP(O528,Capacity!$A$3:$F$532,6,), "0")</f>
        <v>0.2</v>
      </c>
      <c r="R528" s="5">
        <f t="shared" si="74"/>
        <v>10.053096320000002</v>
      </c>
      <c r="S528" s="5">
        <f t="shared" si="78"/>
        <v>0.2</v>
      </c>
      <c r="U528">
        <v>369</v>
      </c>
      <c r="V528">
        <v>0</v>
      </c>
      <c r="W528">
        <v>0</v>
      </c>
      <c r="X528">
        <v>1</v>
      </c>
      <c r="AB528">
        <f t="shared" si="75"/>
        <v>0</v>
      </c>
      <c r="AC528">
        <f t="shared" si="76"/>
        <v>0</v>
      </c>
      <c r="AD528">
        <f t="shared" si="77"/>
        <v>0</v>
      </c>
      <c r="AE528">
        <f t="shared" si="79"/>
        <v>0</v>
      </c>
      <c r="AG528">
        <f t="shared" si="80"/>
        <v>0</v>
      </c>
    </row>
    <row r="529" spans="1:33" x14ac:dyDescent="0.25">
      <c r="A529">
        <v>373</v>
      </c>
      <c r="B529">
        <f>IFERROR(VLOOKUP(A529,Capacity!$A$3:$D$532,4,), "0")</f>
        <v>9.621127337499999</v>
      </c>
      <c r="C529" s="4">
        <f>IFERROR(VLOOKUP(A529,Capacity!$A$3:$F$532,6,), "0")</f>
        <v>0.17499999999999999</v>
      </c>
      <c r="E529" t="str">
        <f>IFERROR(VLOOKUP(D529,Capacity!$A$3:$D$532,4,), "0")</f>
        <v>0</v>
      </c>
      <c r="F529" s="4" t="str">
        <f>IFERROR(VLOOKUP(D529,Capacity!$A$3:$F$532,6,), "0")</f>
        <v>0</v>
      </c>
      <c r="H529" t="str">
        <f>IFERROR(VLOOKUP(G529,Capacity!$A$3:$D$532,4,), "0")</f>
        <v>0</v>
      </c>
      <c r="I529" s="4" t="str">
        <f>IFERROR(VLOOKUP(G529,Capacity!$A$3:$F$532,6,), "0")</f>
        <v>0</v>
      </c>
      <c r="K529" t="str">
        <f>IFERROR(VLOOKUP(J529,Capacity!$A$3:$D$532,4,), "0")</f>
        <v>0</v>
      </c>
      <c r="L529" s="4" t="str">
        <f>IFERROR(VLOOKUP(J529,Capacity!$A$3:$F$532,6,), "0")</f>
        <v>0</v>
      </c>
      <c r="M529" s="5">
        <f t="shared" si="72"/>
        <v>0</v>
      </c>
      <c r="N529" s="5">
        <f t="shared" si="73"/>
        <v>0</v>
      </c>
      <c r="O529">
        <v>179</v>
      </c>
      <c r="P529">
        <f>IFERROR(VLOOKUP(O529,Capacity!$A$3:$D$532,4,), "0")</f>
        <v>486.94685300000003</v>
      </c>
      <c r="Q529" s="4">
        <f>IFERROR(VLOOKUP(O529,Capacity!$A$3:$F$532,6,), "0")</f>
        <v>1</v>
      </c>
      <c r="R529" s="5">
        <f t="shared" si="74"/>
        <v>486.94685300000003</v>
      </c>
      <c r="S529" s="5">
        <f t="shared" si="78"/>
        <v>1</v>
      </c>
      <c r="U529">
        <v>373</v>
      </c>
      <c r="V529">
        <v>0</v>
      </c>
      <c r="W529">
        <v>0</v>
      </c>
      <c r="X529">
        <v>1</v>
      </c>
      <c r="AB529">
        <f t="shared" si="75"/>
        <v>0</v>
      </c>
      <c r="AC529">
        <f t="shared" si="76"/>
        <v>0</v>
      </c>
      <c r="AD529">
        <f t="shared" si="77"/>
        <v>0</v>
      </c>
      <c r="AE529">
        <f t="shared" si="79"/>
        <v>0</v>
      </c>
      <c r="AG529">
        <f t="shared" si="80"/>
        <v>0</v>
      </c>
    </row>
    <row r="530" spans="1:33" x14ac:dyDescent="0.25">
      <c r="A530">
        <v>270</v>
      </c>
      <c r="B530">
        <f>IFERROR(VLOOKUP(A530,Capacity!$A$3:$D$532,4,), "0")</f>
        <v>28.863382012499997</v>
      </c>
      <c r="C530" s="4">
        <f>IFERROR(VLOOKUP(A530,Capacity!$A$3:$F$532,6,), "0")</f>
        <v>0.17499999999999999</v>
      </c>
      <c r="E530" t="str">
        <f>IFERROR(VLOOKUP(D530,Capacity!$A$3:$D$532,4,), "0")</f>
        <v>0</v>
      </c>
      <c r="F530" s="4" t="str">
        <f>IFERROR(VLOOKUP(D530,Capacity!$A$3:$F$532,6,), "0")</f>
        <v>0</v>
      </c>
      <c r="H530" t="str">
        <f>IFERROR(VLOOKUP(G530,Capacity!$A$3:$D$532,4,), "0")</f>
        <v>0</v>
      </c>
      <c r="I530" s="4" t="str">
        <f>IFERROR(VLOOKUP(G530,Capacity!$A$3:$F$532,6,), "0")</f>
        <v>0</v>
      </c>
      <c r="K530" t="str">
        <f>IFERROR(VLOOKUP(J530,Capacity!$A$3:$D$532,4,), "0")</f>
        <v>0</v>
      </c>
      <c r="L530" s="4" t="str">
        <f>IFERROR(VLOOKUP(J530,Capacity!$A$3:$F$532,6,), "0")</f>
        <v>0</v>
      </c>
      <c r="M530" s="5">
        <f t="shared" si="72"/>
        <v>0</v>
      </c>
      <c r="N530" s="5">
        <f t="shared" si="73"/>
        <v>0</v>
      </c>
      <c r="O530">
        <v>233</v>
      </c>
      <c r="P530">
        <f>IFERROR(VLOOKUP(O530,Capacity!$A$3:$D$532,4,), "0")</f>
        <v>24.838687732640004</v>
      </c>
      <c r="Q530" s="4">
        <f>IFERROR(VLOOKUP(O530,Capacity!$A$3:$F$532,6,), "0")</f>
        <v>0.2</v>
      </c>
      <c r="R530" s="5">
        <f t="shared" si="74"/>
        <v>24.838687732640004</v>
      </c>
      <c r="S530" s="5">
        <f t="shared" si="78"/>
        <v>0.2</v>
      </c>
      <c r="U530">
        <v>270</v>
      </c>
      <c r="V530">
        <v>1</v>
      </c>
      <c r="W530">
        <v>1</v>
      </c>
      <c r="X530">
        <v>1</v>
      </c>
      <c r="AB530">
        <f t="shared" si="75"/>
        <v>0</v>
      </c>
      <c r="AC530">
        <f t="shared" si="76"/>
        <v>0</v>
      </c>
      <c r="AD530">
        <f t="shared" si="77"/>
        <v>0</v>
      </c>
      <c r="AE530">
        <f t="shared" si="79"/>
        <v>0</v>
      </c>
      <c r="AG530">
        <f t="shared" si="80"/>
        <v>0</v>
      </c>
    </row>
    <row r="531" spans="1:33" x14ac:dyDescent="0.25">
      <c r="A531">
        <v>269</v>
      </c>
      <c r="B531">
        <f>IFERROR(VLOOKUP(A531,Capacity!$A$3:$D$532,4,), "0")</f>
        <v>26.474200840200002</v>
      </c>
      <c r="C531" s="4">
        <f>IFERROR(VLOOKUP(A531,Capacity!$A$3:$F$532,6,), "0")</f>
        <v>0.26500000000000001</v>
      </c>
      <c r="E531" t="str">
        <f>IFERROR(VLOOKUP(D531,Capacity!$A$3:$D$532,4,), "0")</f>
        <v>0</v>
      </c>
      <c r="F531" s="4" t="str">
        <f>IFERROR(VLOOKUP(D531,Capacity!$A$3:$F$532,6,), "0")</f>
        <v>0</v>
      </c>
      <c r="H531" t="str">
        <f>IFERROR(VLOOKUP(G531,Capacity!$A$3:$D$532,4,), "0")</f>
        <v>0</v>
      </c>
      <c r="I531" s="4" t="str">
        <f>IFERROR(VLOOKUP(G531,Capacity!$A$3:$F$532,6,), "0")</f>
        <v>0</v>
      </c>
      <c r="K531" t="str">
        <f>IFERROR(VLOOKUP(J531,Capacity!$A$3:$D$532,4,), "0")</f>
        <v>0</v>
      </c>
      <c r="L531" s="4" t="str">
        <f>IFERROR(VLOOKUP(J531,Capacity!$A$3:$F$532,6,), "0")</f>
        <v>0</v>
      </c>
      <c r="M531" s="5">
        <f t="shared" si="72"/>
        <v>0</v>
      </c>
      <c r="N531" s="5">
        <f t="shared" si="73"/>
        <v>0</v>
      </c>
      <c r="O531">
        <v>223</v>
      </c>
      <c r="P531">
        <f>IFERROR(VLOOKUP(O531,Capacity!$A$3:$D$532,4,), "0")</f>
        <v>2.8863382012499996</v>
      </c>
      <c r="Q531" s="4">
        <f>IFERROR(VLOOKUP(O531,Capacity!$A$3:$F$532,6,), "0")</f>
        <v>0.17499999999999999</v>
      </c>
      <c r="R531" s="5">
        <f t="shared" si="74"/>
        <v>2.8863382012499996</v>
      </c>
      <c r="S531" s="5">
        <f t="shared" si="78"/>
        <v>0.17499999999999999</v>
      </c>
      <c r="U531">
        <v>269</v>
      </c>
      <c r="V531">
        <v>0</v>
      </c>
      <c r="W531">
        <v>0</v>
      </c>
      <c r="X531">
        <v>1</v>
      </c>
      <c r="AB531">
        <f t="shared" si="75"/>
        <v>0</v>
      </c>
      <c r="AC531">
        <f t="shared" si="76"/>
        <v>0</v>
      </c>
      <c r="AD531">
        <f t="shared" si="77"/>
        <v>0</v>
      </c>
      <c r="AE531">
        <f t="shared" si="79"/>
        <v>0</v>
      </c>
      <c r="AG531">
        <f t="shared" si="80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3BB6F-0CC5-45E8-9D5E-64518B63D74C}">
  <dimension ref="A1:AD531"/>
  <sheetViews>
    <sheetView workbookViewId="0">
      <selection activeCell="AC3" sqref="AC3"/>
    </sheetView>
  </sheetViews>
  <sheetFormatPr defaultRowHeight="15" x14ac:dyDescent="0.25"/>
  <sheetData>
    <row r="1" spans="1:30" x14ac:dyDescent="0.25">
      <c r="A1" t="s">
        <v>2</v>
      </c>
      <c r="B1" t="s">
        <v>212</v>
      </c>
      <c r="C1" s="4" t="s">
        <v>213</v>
      </c>
      <c r="D1" t="s">
        <v>214</v>
      </c>
      <c r="F1" s="4" t="s">
        <v>211</v>
      </c>
      <c r="I1" s="4" t="s">
        <v>211</v>
      </c>
      <c r="L1" s="4" t="s">
        <v>211</v>
      </c>
      <c r="M1" s="5" t="s">
        <v>215</v>
      </c>
      <c r="N1" s="5" t="s">
        <v>218</v>
      </c>
      <c r="O1" t="s">
        <v>216</v>
      </c>
      <c r="Q1" s="4" t="s">
        <v>211</v>
      </c>
      <c r="R1" s="5" t="s">
        <v>217</v>
      </c>
      <c r="S1" s="5" t="s">
        <v>219</v>
      </c>
      <c r="T1" t="s">
        <v>220</v>
      </c>
      <c r="U1" t="s">
        <v>221</v>
      </c>
      <c r="V1" t="s">
        <v>222</v>
      </c>
      <c r="W1" t="s">
        <v>223</v>
      </c>
      <c r="X1" t="s">
        <v>224</v>
      </c>
      <c r="Y1" t="s">
        <v>225</v>
      </c>
      <c r="Z1" t="s">
        <v>226</v>
      </c>
      <c r="AA1" t="s">
        <v>227</v>
      </c>
      <c r="AC1" t="s">
        <v>235</v>
      </c>
      <c r="AD1" t="s">
        <v>230</v>
      </c>
    </row>
    <row r="2" spans="1:30" x14ac:dyDescent="0.25">
      <c r="A2">
        <v>158</v>
      </c>
      <c r="B2">
        <f>IFERROR(VLOOKUP(A2,Capacity!$A$3:$D$532,4,), "0")</f>
        <v>785.39814999999999</v>
      </c>
      <c r="C2" s="4">
        <f>IFERROR(VLOOKUP(A2,Capacity!$A$3:$F$532,6,), "0")</f>
        <v>1</v>
      </c>
      <c r="D2">
        <v>156</v>
      </c>
      <c r="E2">
        <f>IFERROR(VLOOKUP(D2,Capacity!$A$3:$D$532,4,), "0")</f>
        <v>388.77208425000003</v>
      </c>
      <c r="F2" s="4">
        <f>IFERROR(VLOOKUP(D2,Capacity!$A$3:$F$532,6,), "0")</f>
        <v>0.75</v>
      </c>
      <c r="G2">
        <v>163</v>
      </c>
      <c r="H2">
        <f>IFERROR(VLOOKUP(G2,Capacity!$A$3:$D$532,4,), "0")</f>
        <v>42.725659360000009</v>
      </c>
      <c r="I2" s="4">
        <f>IFERROR(VLOOKUP(G2,Capacity!$A$3:$F$532,6,), "0")</f>
        <v>0.4</v>
      </c>
      <c r="J2">
        <v>153</v>
      </c>
      <c r="K2">
        <f>IFERROR(VLOOKUP(J2,Capacity!$A$3:$D$532,4,), "0")</f>
        <v>267.035371</v>
      </c>
      <c r="L2" s="4">
        <f>IFERROR(VLOOKUP(J2,Capacity!$A$3:$F$532,6,), "0")</f>
        <v>1</v>
      </c>
      <c r="M2" s="5">
        <f t="shared" ref="M2:M65" si="0">$E2+$H2+$K2</f>
        <v>698.53311460999998</v>
      </c>
      <c r="N2" s="5">
        <f>$F2+$I2+$L2</f>
        <v>2.15</v>
      </c>
      <c r="P2" t="str">
        <f>IFERROR(VLOOKUP(O2,Capacity!$A$3:$D$532,4,), "0")</f>
        <v>0</v>
      </c>
      <c r="Q2" s="4" t="str">
        <f>IFERROR(VLOOKUP(O2,Capacity!$A$3:$F$532,6,), "0")</f>
        <v>0</v>
      </c>
      <c r="R2" s="5" t="str">
        <f>$P2</f>
        <v>0</v>
      </c>
      <c r="S2" s="5">
        <v>0</v>
      </c>
      <c r="T2">
        <v>158</v>
      </c>
      <c r="V2">
        <v>3</v>
      </c>
      <c r="W2">
        <v>0</v>
      </c>
      <c r="X2" t="e">
        <f>($M2/$R2)</f>
        <v>#DIV/0!</v>
      </c>
      <c r="Y2">
        <f>($M2/$B2)</f>
        <v>0.88939999999999997</v>
      </c>
      <c r="Z2" t="e">
        <f>($N2/$S2)</f>
        <v>#DIV/0!</v>
      </c>
      <c r="AD2">
        <f>U2*AC2</f>
        <v>0</v>
      </c>
    </row>
    <row r="3" spans="1:30" x14ac:dyDescent="0.25">
      <c r="A3">
        <v>163</v>
      </c>
      <c r="B3">
        <f>IFERROR(VLOOKUP(A3,Capacity!$A$3:$D$532,4,), "0")</f>
        <v>42.725659360000009</v>
      </c>
      <c r="C3" s="4">
        <f>IFERROR(VLOOKUP(A3,Capacity!$A$3:$F$532,6,), "0")</f>
        <v>0.4</v>
      </c>
      <c r="D3">
        <v>162</v>
      </c>
      <c r="E3">
        <f>IFERROR(VLOOKUP(D3,Capacity!$A$3:$D$532,4,), "0")</f>
        <v>16.355916473749996</v>
      </c>
      <c r="F3" s="4">
        <f>IFERROR(VLOOKUP(D3,Capacity!$A$3:$F$532,6,), "0")</f>
        <v>0.17499999999999999</v>
      </c>
      <c r="G3">
        <v>169</v>
      </c>
      <c r="H3">
        <f>IFERROR(VLOOKUP(G3,Capacity!$A$3:$D$532,4,), "0")</f>
        <v>42.725659360000009</v>
      </c>
      <c r="I3" s="4">
        <f>IFERROR(VLOOKUP(G3,Capacity!$A$3:$F$532,6,), "0")</f>
        <v>0.4</v>
      </c>
      <c r="K3" t="str">
        <f>IFERROR(VLOOKUP(J3,Capacity!$A$3:$D$532,4,), "0")</f>
        <v>0</v>
      </c>
      <c r="L3" s="4" t="str">
        <f>IFERROR(VLOOKUP(J3,Capacity!$A$3:$F$532,6,), "0")</f>
        <v>0</v>
      </c>
      <c r="M3" s="5">
        <f t="shared" si="0"/>
        <v>59.081575833750009</v>
      </c>
      <c r="N3" s="5">
        <f t="shared" ref="N3:N66" si="1">$F3+$I3+$L3</f>
        <v>0.57499999999999996</v>
      </c>
      <c r="O3">
        <v>158</v>
      </c>
      <c r="P3">
        <f>IFERROR(VLOOKUP(O3,Capacity!$A$3:$D$532,4,), "0")</f>
        <v>785.39814999999999</v>
      </c>
      <c r="Q3" s="4">
        <f>IFERROR(VLOOKUP(O3,Capacity!$A$3:$F$532,6,), "0")</f>
        <v>1</v>
      </c>
      <c r="R3" s="5">
        <f>$P3</f>
        <v>785.39814999999999</v>
      </c>
      <c r="S3" s="5">
        <f>$Q3</f>
        <v>1</v>
      </c>
      <c r="T3">
        <v>163</v>
      </c>
      <c r="U3">
        <v>2</v>
      </c>
      <c r="V3">
        <v>2</v>
      </c>
      <c r="W3">
        <v>1</v>
      </c>
      <c r="X3">
        <f>($M3/$R3)</f>
        <v>7.5225000000000014E-2</v>
      </c>
      <c r="Y3">
        <f>($M3/$B3)</f>
        <v>1.3828125</v>
      </c>
      <c r="Z3">
        <f>($N3/$S3)</f>
        <v>0.57499999999999996</v>
      </c>
      <c r="AA3">
        <f>($N3/$C3)</f>
        <v>1.4374999999999998</v>
      </c>
      <c r="AC3">
        <f>$M3/($R3+$B3)</f>
        <v>7.1343892261001532E-2</v>
      </c>
      <c r="AD3">
        <f t="shared" ref="AD3:AD66" si="2">U3*AC3</f>
        <v>0.14268778452200306</v>
      </c>
    </row>
    <row r="4" spans="1:30" x14ac:dyDescent="0.25">
      <c r="A4">
        <v>156</v>
      </c>
      <c r="B4">
        <f>IFERROR(VLOOKUP(A4,Capacity!$A$3:$D$532,4,), "0")</f>
        <v>388.77208425000003</v>
      </c>
      <c r="C4" s="4">
        <f>IFERROR(VLOOKUP(A4,Capacity!$A$3:$F$532,6,), "0")</f>
        <v>0.75</v>
      </c>
      <c r="D4">
        <v>155</v>
      </c>
      <c r="E4">
        <f>IFERROR(VLOOKUP(D4,Capacity!$A$3:$D$532,4,), "0")</f>
        <v>371.10062587500005</v>
      </c>
      <c r="F4" s="4">
        <f>IFERROR(VLOOKUP(D4,Capacity!$A$3:$F$532,6,), "0")</f>
        <v>0.75</v>
      </c>
      <c r="G4">
        <v>161</v>
      </c>
      <c r="H4">
        <f>IFERROR(VLOOKUP(G4,Capacity!$A$3:$D$532,4,), "0")</f>
        <v>17.649467226800002</v>
      </c>
      <c r="I4" s="4">
        <f>IFERROR(VLOOKUP(G4,Capacity!$A$3:$F$532,6,), "0")</f>
        <v>0.26500000000000001</v>
      </c>
      <c r="K4" t="str">
        <f>IFERROR(VLOOKUP(J4,Capacity!$A$3:$D$532,4,), "0")</f>
        <v>0</v>
      </c>
      <c r="L4" s="4" t="str">
        <f>IFERROR(VLOOKUP(J4,Capacity!$A$3:$F$532,6,), "0")</f>
        <v>0</v>
      </c>
      <c r="M4" s="5">
        <f t="shared" si="0"/>
        <v>388.75009310180008</v>
      </c>
      <c r="N4" s="5">
        <f t="shared" si="1"/>
        <v>1.0150000000000001</v>
      </c>
      <c r="O4">
        <v>158</v>
      </c>
      <c r="P4">
        <f>IFERROR(VLOOKUP(O4,Capacity!$A$3:$D$532,4,), "0")</f>
        <v>785.39814999999999</v>
      </c>
      <c r="Q4" s="4">
        <f>IFERROR(VLOOKUP(O4,Capacity!$A$3:$F$532,6,), "0")</f>
        <v>1</v>
      </c>
      <c r="R4" s="5">
        <f t="shared" ref="R4:R67" si="3">$P4</f>
        <v>785.39814999999999</v>
      </c>
      <c r="S4" s="5">
        <f t="shared" ref="S4:S67" si="4">$Q4</f>
        <v>1</v>
      </c>
      <c r="T4">
        <v>156</v>
      </c>
      <c r="U4">
        <v>2</v>
      </c>
      <c r="V4">
        <v>2</v>
      </c>
      <c r="W4">
        <v>1</v>
      </c>
      <c r="X4">
        <f t="shared" ref="X4:X66" si="5">($M4/$R4)</f>
        <v>0.49497200000000008</v>
      </c>
      <c r="Y4">
        <f t="shared" ref="Y4:Y66" si="6">($M4/$B4)</f>
        <v>0.99994343434343447</v>
      </c>
      <c r="Z4">
        <f t="shared" ref="Z4:Z67" si="7">($N4/$S4)</f>
        <v>1.0150000000000001</v>
      </c>
      <c r="AA4">
        <f>($N4/$C4)</f>
        <v>1.3533333333333335</v>
      </c>
      <c r="AC4">
        <f>$M4/($R4+$B4)</f>
        <v>0.33108494983277598</v>
      </c>
      <c r="AD4">
        <f t="shared" si="2"/>
        <v>0.66216989966555195</v>
      </c>
    </row>
    <row r="5" spans="1:30" x14ac:dyDescent="0.25">
      <c r="A5">
        <v>153</v>
      </c>
      <c r="B5">
        <f>IFERROR(VLOOKUP(A5,Capacity!$A$3:$D$532,4,), "0")</f>
        <v>267.035371</v>
      </c>
      <c r="C5" s="4">
        <f>IFERROR(VLOOKUP(A5,Capacity!$A$3:$F$532,6,), "0")</f>
        <v>1</v>
      </c>
      <c r="D5">
        <v>152</v>
      </c>
      <c r="E5">
        <f>IFERROR(VLOOKUP(D5,Capacity!$A$3:$D$532,4,), "0")</f>
        <v>25.132740800000008</v>
      </c>
      <c r="F5" s="4">
        <f>IFERROR(VLOOKUP(D5,Capacity!$A$3:$F$532,6,), "0")</f>
        <v>0.2</v>
      </c>
      <c r="G5">
        <v>149</v>
      </c>
      <c r="H5">
        <f>IFERROR(VLOOKUP(G5,Capacity!$A$3:$D$532,4,), "0")</f>
        <v>267.035371</v>
      </c>
      <c r="I5" s="4">
        <f>IFERROR(VLOOKUP(G5,Capacity!$A$3:$F$532,6,), "0")</f>
        <v>1</v>
      </c>
      <c r="K5" t="str">
        <f>IFERROR(VLOOKUP(J5,Capacity!$A$3:$D$532,4,), "0")</f>
        <v>0</v>
      </c>
      <c r="L5" s="4" t="str">
        <f>IFERROR(VLOOKUP(J5,Capacity!$A$3:$F$532,6,), "0")</f>
        <v>0</v>
      </c>
      <c r="M5" s="5">
        <f t="shared" si="0"/>
        <v>292.16811180000002</v>
      </c>
      <c r="N5" s="5">
        <f t="shared" si="1"/>
        <v>1.2</v>
      </c>
      <c r="O5">
        <v>158</v>
      </c>
      <c r="P5">
        <f>IFERROR(VLOOKUP(O5,Capacity!$A$3:$D$532,4,), "0")</f>
        <v>785.39814999999999</v>
      </c>
      <c r="Q5" s="4">
        <f>IFERROR(VLOOKUP(O5,Capacity!$A$3:$F$532,6,), "0")</f>
        <v>1</v>
      </c>
      <c r="R5" s="5">
        <f t="shared" si="3"/>
        <v>785.39814999999999</v>
      </c>
      <c r="S5" s="5">
        <f t="shared" si="4"/>
        <v>1</v>
      </c>
      <c r="T5">
        <v>153</v>
      </c>
      <c r="U5">
        <v>2</v>
      </c>
      <c r="V5">
        <v>2</v>
      </c>
      <c r="W5">
        <v>1</v>
      </c>
      <c r="X5">
        <f t="shared" si="5"/>
        <v>0.37200000000000005</v>
      </c>
      <c r="Y5">
        <f>($M5/$B5)</f>
        <v>1.0941176470588236</v>
      </c>
      <c r="Z5">
        <f>($N5/$S5)</f>
        <v>1.2</v>
      </c>
      <c r="AA5">
        <f>($N5/$C5)</f>
        <v>1.2</v>
      </c>
      <c r="AC5">
        <f>$M5/($R5+$B5)</f>
        <v>0.2776119402985075</v>
      </c>
      <c r="AD5">
        <f t="shared" si="2"/>
        <v>0.555223880597015</v>
      </c>
    </row>
    <row r="6" spans="1:30" x14ac:dyDescent="0.25">
      <c r="A6">
        <v>152</v>
      </c>
      <c r="B6">
        <f>IFERROR(VLOOKUP(A6,Capacity!$A$3:$D$532,4,), "0")</f>
        <v>25.132740800000008</v>
      </c>
      <c r="C6" s="4">
        <f>IFERROR(VLOOKUP(A6,Capacity!$A$3:$F$532,6,), "0")</f>
        <v>0.2</v>
      </c>
      <c r="D6">
        <v>151</v>
      </c>
      <c r="E6">
        <f>IFERROR(VLOOKUP(D6,Capacity!$A$3:$D$532,4,), "0")</f>
        <v>25.132740800000008</v>
      </c>
      <c r="F6" s="4">
        <f>IFERROR(VLOOKUP(D6,Capacity!$A$3:$F$532,6,), "0")</f>
        <v>0.2</v>
      </c>
      <c r="H6" t="str">
        <f>IFERROR(VLOOKUP(G6,Capacity!$A$3:$D$532,4,), "0")</f>
        <v>0</v>
      </c>
      <c r="I6" s="4" t="str">
        <f>IFERROR(VLOOKUP(G6,Capacity!$A$3:$F$532,6,), "0")</f>
        <v>0</v>
      </c>
      <c r="K6" t="str">
        <f>IFERROR(VLOOKUP(J6,Capacity!$A$3:$D$532,4,), "0")</f>
        <v>0</v>
      </c>
      <c r="L6" s="4" t="str">
        <f>IFERROR(VLOOKUP(J6,Capacity!$A$3:$F$532,6,), "0")</f>
        <v>0</v>
      </c>
      <c r="M6" s="5">
        <f t="shared" si="0"/>
        <v>25.132740800000008</v>
      </c>
      <c r="N6" s="5">
        <f t="shared" si="1"/>
        <v>0.2</v>
      </c>
      <c r="O6">
        <v>153</v>
      </c>
      <c r="P6">
        <f>IFERROR(VLOOKUP(O6,Capacity!$A$3:$D$532,4,), "0")</f>
        <v>267.035371</v>
      </c>
      <c r="Q6" s="4">
        <f>IFERROR(VLOOKUP(O6,Capacity!$A$3:$F$532,6,), "0")</f>
        <v>1</v>
      </c>
      <c r="R6" s="5">
        <f t="shared" si="3"/>
        <v>267.035371</v>
      </c>
      <c r="S6" s="5">
        <f t="shared" si="4"/>
        <v>1</v>
      </c>
      <c r="T6">
        <v>152</v>
      </c>
      <c r="U6">
        <v>1</v>
      </c>
      <c r="V6">
        <v>1</v>
      </c>
      <c r="W6">
        <v>1</v>
      </c>
      <c r="X6">
        <f>($M6/$R6)</f>
        <v>9.4117647058823556E-2</v>
      </c>
      <c r="Y6">
        <f t="shared" si="6"/>
        <v>1</v>
      </c>
      <c r="Z6">
        <f t="shared" si="7"/>
        <v>0.2</v>
      </c>
      <c r="AA6">
        <f t="shared" ref="AA6:AA67" si="8">($N6/$C6)</f>
        <v>1</v>
      </c>
      <c r="AC6">
        <f t="shared" ref="AC6:AC67" si="9">$M6/($R6+$B6)</f>
        <v>8.6021505376344107E-2</v>
      </c>
      <c r="AD6">
        <f t="shared" si="2"/>
        <v>8.6021505376344107E-2</v>
      </c>
    </row>
    <row r="7" spans="1:30" x14ac:dyDescent="0.25">
      <c r="A7">
        <v>149</v>
      </c>
      <c r="B7">
        <f>IFERROR(VLOOKUP(A7,Capacity!$A$3:$D$532,4,), "0")</f>
        <v>267.035371</v>
      </c>
      <c r="C7" s="4">
        <f>IFERROR(VLOOKUP(A7,Capacity!$A$3:$F$532,6,), "0")</f>
        <v>1</v>
      </c>
      <c r="D7">
        <v>148</v>
      </c>
      <c r="E7">
        <f>IFERROR(VLOOKUP(D7,Capacity!$A$3:$D$532,4,), "0")</f>
        <v>23.876103760000007</v>
      </c>
      <c r="F7" s="4">
        <f>IFERROR(VLOOKUP(D7,Capacity!$A$3:$F$532,6,), "0")</f>
        <v>0.2</v>
      </c>
      <c r="G7">
        <v>144</v>
      </c>
      <c r="H7">
        <f>IFERROR(VLOOKUP(G7,Capacity!$A$3:$D$532,4,), "0")</f>
        <v>267.035371</v>
      </c>
      <c r="I7" s="4">
        <f>IFERROR(VLOOKUP(G7,Capacity!$A$3:$F$532,6,), "0")</f>
        <v>1</v>
      </c>
      <c r="K7" t="str">
        <f>IFERROR(VLOOKUP(J7,Capacity!$A$3:$D$532,4,), "0")</f>
        <v>0</v>
      </c>
      <c r="L7" s="4" t="str">
        <f>IFERROR(VLOOKUP(J7,Capacity!$A$3:$F$532,6,), "0")</f>
        <v>0</v>
      </c>
      <c r="M7" s="5">
        <f t="shared" si="0"/>
        <v>290.91147476000003</v>
      </c>
      <c r="N7" s="5">
        <f t="shared" si="1"/>
        <v>1.2</v>
      </c>
      <c r="O7">
        <v>153</v>
      </c>
      <c r="P7">
        <f>IFERROR(VLOOKUP(O7,Capacity!$A$3:$D$532,4,), "0")</f>
        <v>267.035371</v>
      </c>
      <c r="Q7" s="4">
        <f>IFERROR(VLOOKUP(O7,Capacity!$A$3:$F$532,6,), "0")</f>
        <v>1</v>
      </c>
      <c r="R7" s="5">
        <f t="shared" si="3"/>
        <v>267.035371</v>
      </c>
      <c r="S7" s="5">
        <f t="shared" si="4"/>
        <v>1</v>
      </c>
      <c r="T7">
        <v>149</v>
      </c>
      <c r="U7">
        <v>2</v>
      </c>
      <c r="V7">
        <v>2</v>
      </c>
      <c r="W7">
        <v>1</v>
      </c>
      <c r="X7">
        <f t="shared" si="5"/>
        <v>1.0894117647058825</v>
      </c>
      <c r="Y7">
        <f t="shared" si="6"/>
        <v>1.0894117647058825</v>
      </c>
      <c r="Z7">
        <f t="shared" si="7"/>
        <v>1.2</v>
      </c>
      <c r="AA7">
        <f t="shared" si="8"/>
        <v>1.2</v>
      </c>
      <c r="AC7">
        <f t="shared" si="9"/>
        <v>0.54470588235294126</v>
      </c>
      <c r="AD7">
        <f t="shared" si="2"/>
        <v>1.0894117647058825</v>
      </c>
    </row>
    <row r="8" spans="1:30" x14ac:dyDescent="0.25">
      <c r="A8">
        <v>161</v>
      </c>
      <c r="B8">
        <f>IFERROR(VLOOKUP(A8,Capacity!$A$3:$D$532,4,), "0")</f>
        <v>17.649467226800002</v>
      </c>
      <c r="C8" s="4">
        <f>IFERROR(VLOOKUP(A8,Capacity!$A$3:$F$532,6,), "0")</f>
        <v>0.26500000000000001</v>
      </c>
      <c r="D8">
        <v>160</v>
      </c>
      <c r="E8">
        <f>IFERROR(VLOOKUP(D8,Capacity!$A$3:$D$532,4,), "0")</f>
        <v>27.017696360000006</v>
      </c>
      <c r="F8" s="4">
        <f>IFERROR(VLOOKUP(D8,Capacity!$A$3:$F$532,6,), "0")</f>
        <v>0.2</v>
      </c>
      <c r="H8" t="str">
        <f>IFERROR(VLOOKUP(G8,Capacity!$A$3:$D$532,4,), "0")</f>
        <v>0</v>
      </c>
      <c r="I8" s="4" t="str">
        <f>IFERROR(VLOOKUP(G8,Capacity!$A$3:$F$532,6,), "0")</f>
        <v>0</v>
      </c>
      <c r="K8" t="str">
        <f>IFERROR(VLOOKUP(J8,Capacity!$A$3:$D$532,4,), "0")</f>
        <v>0</v>
      </c>
      <c r="L8" s="4" t="str">
        <f>IFERROR(VLOOKUP(J8,Capacity!$A$3:$F$532,6,), "0")</f>
        <v>0</v>
      </c>
      <c r="M8" s="5">
        <f t="shared" si="0"/>
        <v>27.017696360000006</v>
      </c>
      <c r="N8" s="5">
        <f t="shared" si="1"/>
        <v>0.2</v>
      </c>
      <c r="O8">
        <v>156</v>
      </c>
      <c r="P8">
        <f>IFERROR(VLOOKUP(O8,Capacity!$A$3:$D$532,4,), "0")</f>
        <v>388.77208425000003</v>
      </c>
      <c r="Q8" s="4">
        <f>IFERROR(VLOOKUP(O8,Capacity!$A$3:$F$532,6,), "0")</f>
        <v>0.75</v>
      </c>
      <c r="R8" s="5">
        <f t="shared" si="3"/>
        <v>388.77208425000003</v>
      </c>
      <c r="S8" s="5">
        <f t="shared" si="4"/>
        <v>0.75</v>
      </c>
      <c r="T8">
        <v>161</v>
      </c>
      <c r="U8">
        <v>1</v>
      </c>
      <c r="V8">
        <v>1</v>
      </c>
      <c r="W8">
        <v>1</v>
      </c>
      <c r="X8">
        <f t="shared" si="5"/>
        <v>6.9494949494949498E-2</v>
      </c>
      <c r="Y8">
        <f t="shared" si="6"/>
        <v>1.5307938768244929</v>
      </c>
      <c r="Z8">
        <f t="shared" si="7"/>
        <v>0.26666666666666666</v>
      </c>
      <c r="AA8">
        <f t="shared" si="8"/>
        <v>0.75471698113207553</v>
      </c>
      <c r="AC8">
        <f t="shared" si="9"/>
        <v>6.6477026776327997E-2</v>
      </c>
      <c r="AD8">
        <f t="shared" si="2"/>
        <v>6.6477026776327997E-2</v>
      </c>
    </row>
    <row r="9" spans="1:30" x14ac:dyDescent="0.25">
      <c r="A9">
        <v>155</v>
      </c>
      <c r="B9">
        <f>IFERROR(VLOOKUP(A9,Capacity!$A$3:$D$532,4,), "0")</f>
        <v>371.10062587500005</v>
      </c>
      <c r="C9" s="4">
        <f>IFERROR(VLOOKUP(A9,Capacity!$A$3:$F$532,6,), "0")</f>
        <v>0.75</v>
      </c>
      <c r="D9">
        <v>154</v>
      </c>
      <c r="E9">
        <f>IFERROR(VLOOKUP(D9,Capacity!$A$3:$D$532,4,), "0")</f>
        <v>388.77208425000003</v>
      </c>
      <c r="F9" s="4">
        <f>IFERROR(VLOOKUP(D9,Capacity!$A$3:$F$532,6,), "0")</f>
        <v>0.75</v>
      </c>
      <c r="H9" t="str">
        <f>IFERROR(VLOOKUP(G9,Capacity!$A$3:$D$532,4,), "0")</f>
        <v>0</v>
      </c>
      <c r="I9" s="4" t="str">
        <f>IFERROR(VLOOKUP(G9,Capacity!$A$3:$F$532,6,), "0")</f>
        <v>0</v>
      </c>
      <c r="K9" t="str">
        <f>IFERROR(VLOOKUP(J9,Capacity!$A$3:$D$532,4,), "0")</f>
        <v>0</v>
      </c>
      <c r="L9" s="4" t="str">
        <f>IFERROR(VLOOKUP(J9,Capacity!$A$3:$F$532,6,), "0")</f>
        <v>0</v>
      </c>
      <c r="M9" s="5">
        <f t="shared" si="0"/>
        <v>388.77208425000003</v>
      </c>
      <c r="N9" s="5">
        <f t="shared" si="1"/>
        <v>0.75</v>
      </c>
      <c r="O9">
        <v>156</v>
      </c>
      <c r="P9">
        <f>IFERROR(VLOOKUP(O9,Capacity!$A$3:$D$532,4,), "0")</f>
        <v>388.77208425000003</v>
      </c>
      <c r="Q9" s="4">
        <f>IFERROR(VLOOKUP(O9,Capacity!$A$3:$F$532,6,), "0")</f>
        <v>0.75</v>
      </c>
      <c r="R9" s="5">
        <f t="shared" si="3"/>
        <v>388.77208425000003</v>
      </c>
      <c r="S9" s="5">
        <f t="shared" si="4"/>
        <v>0.75</v>
      </c>
      <c r="T9">
        <v>155</v>
      </c>
      <c r="U9">
        <v>1</v>
      </c>
      <c r="V9">
        <v>1</v>
      </c>
      <c r="W9">
        <v>1</v>
      </c>
      <c r="X9">
        <f t="shared" si="5"/>
        <v>1</v>
      </c>
      <c r="Y9">
        <f t="shared" si="6"/>
        <v>1.0476190476190477</v>
      </c>
      <c r="Z9">
        <f t="shared" si="7"/>
        <v>1</v>
      </c>
      <c r="AA9">
        <f t="shared" si="8"/>
        <v>1</v>
      </c>
      <c r="AC9">
        <f t="shared" si="9"/>
        <v>0.5116279069767441</v>
      </c>
      <c r="AD9">
        <f t="shared" si="2"/>
        <v>0.5116279069767441</v>
      </c>
    </row>
    <row r="10" spans="1:30" x14ac:dyDescent="0.25">
      <c r="A10">
        <v>169</v>
      </c>
      <c r="B10">
        <f>IFERROR(VLOOKUP(A10,Capacity!$A$3:$D$532,4,), "0")</f>
        <v>42.725659360000009</v>
      </c>
      <c r="C10" s="4">
        <f>IFERROR(VLOOKUP(A10,Capacity!$A$3:$F$532,6,), "0")</f>
        <v>0.4</v>
      </c>
      <c r="D10">
        <v>167</v>
      </c>
      <c r="E10">
        <f>IFERROR(VLOOKUP(D10,Capacity!$A$3:$D$532,4,), "0")</f>
        <v>175.30086708000002</v>
      </c>
      <c r="F10" s="4">
        <f>IFERROR(VLOOKUP(D10,Capacity!$A$3:$F$532,6,), "0")</f>
        <v>0.6</v>
      </c>
      <c r="G10">
        <v>177</v>
      </c>
      <c r="H10">
        <f>IFERROR(VLOOKUP(G10,Capacity!$A$3:$D$532,4,), "0")</f>
        <v>282.743334</v>
      </c>
      <c r="I10" s="4">
        <f>IFERROR(VLOOKUP(G10,Capacity!$A$3:$F$532,6,), "0")</f>
        <v>0.75</v>
      </c>
      <c r="K10" t="str">
        <f>IFERROR(VLOOKUP(J10,Capacity!$A$3:$D$532,4,), "0")</f>
        <v>0</v>
      </c>
      <c r="L10" s="4" t="str">
        <f>IFERROR(VLOOKUP(J10,Capacity!$A$3:$F$532,6,), "0")</f>
        <v>0</v>
      </c>
      <c r="M10" s="5">
        <f t="shared" si="0"/>
        <v>458.04420107999999</v>
      </c>
      <c r="N10" s="5">
        <f t="shared" si="1"/>
        <v>1.35</v>
      </c>
      <c r="O10">
        <v>163</v>
      </c>
      <c r="P10">
        <f>IFERROR(VLOOKUP(O10,Capacity!$A$3:$D$532,4,), "0")</f>
        <v>42.725659360000009</v>
      </c>
      <c r="Q10" s="4">
        <f>IFERROR(VLOOKUP(O10,Capacity!$A$3:$F$532,6,), "0")</f>
        <v>0.4</v>
      </c>
      <c r="R10" s="5">
        <f t="shared" si="3"/>
        <v>42.725659360000009</v>
      </c>
      <c r="S10" s="5">
        <f t="shared" si="4"/>
        <v>0.4</v>
      </c>
      <c r="T10">
        <v>169</v>
      </c>
      <c r="U10">
        <v>2</v>
      </c>
      <c r="V10">
        <v>2</v>
      </c>
      <c r="W10">
        <v>1</v>
      </c>
      <c r="X10">
        <f t="shared" si="5"/>
        <v>10.720588235294116</v>
      </c>
      <c r="Y10">
        <f t="shared" si="6"/>
        <v>10.720588235294116</v>
      </c>
      <c r="Z10">
        <f t="shared" si="7"/>
        <v>3.375</v>
      </c>
      <c r="AA10">
        <f t="shared" si="8"/>
        <v>3.375</v>
      </c>
      <c r="AC10">
        <f t="shared" si="9"/>
        <v>5.360294117647058</v>
      </c>
      <c r="AD10">
        <f t="shared" si="2"/>
        <v>10.720588235294116</v>
      </c>
    </row>
    <row r="11" spans="1:30" x14ac:dyDescent="0.25">
      <c r="A11">
        <v>162</v>
      </c>
      <c r="B11">
        <f>IFERROR(VLOOKUP(A11,Capacity!$A$3:$D$532,4,), "0")</f>
        <v>16.355916473749996</v>
      </c>
      <c r="C11" s="4">
        <f>IFERROR(VLOOKUP(A11,Capacity!$A$3:$F$532,6,), "0")</f>
        <v>0.17499999999999999</v>
      </c>
      <c r="D11">
        <v>450</v>
      </c>
      <c r="E11">
        <f>IFERROR(VLOOKUP(D11,Capacity!$A$3:$D$532,4,), "0")</f>
        <v>6.734789136249999</v>
      </c>
      <c r="F11" s="4">
        <f>IFERROR(VLOOKUP(D11,Capacity!$A$3:$F$532,6,), "0")</f>
        <v>0.17499999999999999</v>
      </c>
      <c r="H11" t="str">
        <f>IFERROR(VLOOKUP(G11,Capacity!$A$3:$D$532,4,), "0")</f>
        <v>0</v>
      </c>
      <c r="I11" s="4" t="str">
        <f>IFERROR(VLOOKUP(G11,Capacity!$A$3:$F$532,6,), "0")</f>
        <v>0</v>
      </c>
      <c r="K11" t="str">
        <f>IFERROR(VLOOKUP(J11,Capacity!$A$3:$D$532,4,), "0")</f>
        <v>0</v>
      </c>
      <c r="L11" s="4" t="str">
        <f>IFERROR(VLOOKUP(J11,Capacity!$A$3:$F$532,6,), "0")</f>
        <v>0</v>
      </c>
      <c r="M11" s="5">
        <f t="shared" si="0"/>
        <v>6.734789136249999</v>
      </c>
      <c r="N11" s="5">
        <f t="shared" si="1"/>
        <v>0.17499999999999999</v>
      </c>
      <c r="O11">
        <v>163</v>
      </c>
      <c r="P11">
        <f>IFERROR(VLOOKUP(O11,Capacity!$A$3:$D$532,4,), "0")</f>
        <v>42.725659360000009</v>
      </c>
      <c r="Q11" s="4">
        <f>IFERROR(VLOOKUP(O11,Capacity!$A$3:$F$532,6,), "0")</f>
        <v>0.4</v>
      </c>
      <c r="R11" s="5">
        <f t="shared" si="3"/>
        <v>42.725659360000009</v>
      </c>
      <c r="S11" s="5">
        <f t="shared" si="4"/>
        <v>0.4</v>
      </c>
      <c r="T11">
        <v>162</v>
      </c>
      <c r="U11">
        <v>1</v>
      </c>
      <c r="V11">
        <v>1</v>
      </c>
      <c r="W11">
        <v>1</v>
      </c>
      <c r="X11">
        <f t="shared" si="5"/>
        <v>0.15762867647058817</v>
      </c>
      <c r="Y11">
        <f t="shared" si="6"/>
        <v>0.41176470588235298</v>
      </c>
      <c r="Z11">
        <f t="shared" si="7"/>
        <v>0.43749999999999994</v>
      </c>
      <c r="AA11">
        <f t="shared" si="8"/>
        <v>1</v>
      </c>
      <c r="AC11">
        <f t="shared" si="9"/>
        <v>0.1139913592555666</v>
      </c>
      <c r="AD11">
        <f t="shared" si="2"/>
        <v>0.1139913592555666</v>
      </c>
    </row>
    <row r="12" spans="1:30" x14ac:dyDescent="0.25">
      <c r="A12">
        <v>148</v>
      </c>
      <c r="B12">
        <f>IFERROR(VLOOKUP(A12,Capacity!$A$3:$D$532,4,), "0")</f>
        <v>23.876103760000007</v>
      </c>
      <c r="C12" s="4">
        <f>IFERROR(VLOOKUP(A12,Capacity!$A$3:$F$532,6,), "0")</f>
        <v>0.2</v>
      </c>
      <c r="D12">
        <v>147</v>
      </c>
      <c r="E12">
        <f>IFERROR(VLOOKUP(D12,Capacity!$A$3:$D$532,4,), "0")</f>
        <v>23.876103760000007</v>
      </c>
      <c r="F12" s="4">
        <f>IFERROR(VLOOKUP(D12,Capacity!$A$3:$F$532,6,), "0")</f>
        <v>0.2</v>
      </c>
      <c r="H12" t="str">
        <f>IFERROR(VLOOKUP(G12,Capacity!$A$3:$D$532,4,), "0")</f>
        <v>0</v>
      </c>
      <c r="I12" s="4" t="str">
        <f>IFERROR(VLOOKUP(G12,Capacity!$A$3:$F$532,6,), "0")</f>
        <v>0</v>
      </c>
      <c r="K12" t="str">
        <f>IFERROR(VLOOKUP(J12,Capacity!$A$3:$D$532,4,), "0")</f>
        <v>0</v>
      </c>
      <c r="L12" s="4" t="str">
        <f>IFERROR(VLOOKUP(J12,Capacity!$A$3:$F$532,6,), "0")</f>
        <v>0</v>
      </c>
      <c r="M12" s="5">
        <f t="shared" si="0"/>
        <v>23.876103760000007</v>
      </c>
      <c r="N12" s="5">
        <f t="shared" si="1"/>
        <v>0.2</v>
      </c>
      <c r="O12">
        <v>149</v>
      </c>
      <c r="P12">
        <f>IFERROR(VLOOKUP(O12,Capacity!$A$3:$D$532,4,), "0")</f>
        <v>267.035371</v>
      </c>
      <c r="Q12" s="4">
        <f>IFERROR(VLOOKUP(O12,Capacity!$A$3:$F$532,6,), "0")</f>
        <v>1</v>
      </c>
      <c r="R12" s="5">
        <f t="shared" si="3"/>
        <v>267.035371</v>
      </c>
      <c r="S12" s="5">
        <f t="shared" si="4"/>
        <v>1</v>
      </c>
      <c r="T12">
        <v>148</v>
      </c>
      <c r="U12">
        <v>1</v>
      </c>
      <c r="V12">
        <v>1</v>
      </c>
      <c r="W12">
        <v>1</v>
      </c>
      <c r="X12">
        <f t="shared" si="5"/>
        <v>8.9411764705882385E-2</v>
      </c>
      <c r="Y12">
        <f t="shared" si="6"/>
        <v>1</v>
      </c>
      <c r="Z12">
        <f t="shared" si="7"/>
        <v>0.2</v>
      </c>
      <c r="AA12">
        <f t="shared" si="8"/>
        <v>1</v>
      </c>
      <c r="AC12">
        <f t="shared" si="9"/>
        <v>8.2073434125269989E-2</v>
      </c>
      <c r="AD12">
        <f t="shared" si="2"/>
        <v>8.2073434125269989E-2</v>
      </c>
    </row>
    <row r="13" spans="1:30" x14ac:dyDescent="0.25">
      <c r="A13">
        <v>144</v>
      </c>
      <c r="B13">
        <f>IFERROR(VLOOKUP(A13,Capacity!$A$3:$D$532,4,), "0")</f>
        <v>267.035371</v>
      </c>
      <c r="C13" s="4">
        <f>IFERROR(VLOOKUP(A13,Capacity!$A$3:$F$532,6,), "0")</f>
        <v>1</v>
      </c>
      <c r="D13">
        <v>143</v>
      </c>
      <c r="E13">
        <f>IFERROR(VLOOKUP(D13,Capacity!$A$3:$D$532,4,), "0")</f>
        <v>17.799085574374995</v>
      </c>
      <c r="F13" s="4">
        <f>IFERROR(VLOOKUP(D13,Capacity!$A$3:$F$532,6,), "0")</f>
        <v>0.17499999999999999</v>
      </c>
      <c r="G13">
        <v>137</v>
      </c>
      <c r="H13">
        <f>IFERROR(VLOOKUP(G13,Capacity!$A$3:$D$532,4,), "0")</f>
        <v>267.035371</v>
      </c>
      <c r="I13" s="4">
        <f>IFERROR(VLOOKUP(G13,Capacity!$A$3:$F$532,6,), "0")</f>
        <v>1</v>
      </c>
      <c r="K13" t="str">
        <f>IFERROR(VLOOKUP(J13,Capacity!$A$3:$D$532,4,), "0")</f>
        <v>0</v>
      </c>
      <c r="L13" s="4" t="str">
        <f>IFERROR(VLOOKUP(J13,Capacity!$A$3:$F$532,6,), "0")</f>
        <v>0</v>
      </c>
      <c r="M13" s="5">
        <f t="shared" si="0"/>
        <v>284.834456574375</v>
      </c>
      <c r="N13" s="5">
        <f t="shared" si="1"/>
        <v>1.175</v>
      </c>
      <c r="O13">
        <v>149</v>
      </c>
      <c r="P13">
        <f>IFERROR(VLOOKUP(O13,Capacity!$A$3:$D$532,4,), "0")</f>
        <v>267.035371</v>
      </c>
      <c r="Q13" s="4">
        <f>IFERROR(VLOOKUP(O13,Capacity!$A$3:$F$532,6,), "0")</f>
        <v>1</v>
      </c>
      <c r="R13" s="5">
        <f t="shared" si="3"/>
        <v>267.035371</v>
      </c>
      <c r="S13" s="5">
        <f t="shared" si="4"/>
        <v>1</v>
      </c>
      <c r="T13">
        <v>144</v>
      </c>
      <c r="U13">
        <v>2</v>
      </c>
      <c r="V13">
        <v>2</v>
      </c>
      <c r="W13">
        <v>1</v>
      </c>
      <c r="X13">
        <f t="shared" si="5"/>
        <v>1.0666544117647059</v>
      </c>
      <c r="Y13">
        <f t="shared" si="6"/>
        <v>1.0666544117647059</v>
      </c>
      <c r="Z13">
        <f t="shared" si="7"/>
        <v>1.175</v>
      </c>
      <c r="AA13">
        <f t="shared" si="8"/>
        <v>1.175</v>
      </c>
      <c r="AC13">
        <f t="shared" si="9"/>
        <v>0.53332720588235294</v>
      </c>
      <c r="AD13">
        <f t="shared" si="2"/>
        <v>1.0666544117647059</v>
      </c>
    </row>
    <row r="14" spans="1:30" x14ac:dyDescent="0.25">
      <c r="A14">
        <v>151</v>
      </c>
      <c r="B14">
        <f>IFERROR(VLOOKUP(A14,Capacity!$A$3:$D$532,4,), "0")</f>
        <v>25.132740800000008</v>
      </c>
      <c r="C14" s="4">
        <f>IFERROR(VLOOKUP(A14,Capacity!$A$3:$F$532,6,), "0")</f>
        <v>0.2</v>
      </c>
      <c r="D14">
        <v>150</v>
      </c>
      <c r="E14">
        <f>IFERROR(VLOOKUP(D14,Capacity!$A$3:$D$532,4,), "0")</f>
        <v>19.242254674999998</v>
      </c>
      <c r="F14" s="4">
        <f>IFERROR(VLOOKUP(D14,Capacity!$A$3:$F$532,6,), "0")</f>
        <v>0.17499999999999999</v>
      </c>
      <c r="H14" t="str">
        <f>IFERROR(VLOOKUP(G14,Capacity!$A$3:$D$532,4,), "0")</f>
        <v>0</v>
      </c>
      <c r="I14" s="4" t="str">
        <f>IFERROR(VLOOKUP(G14,Capacity!$A$3:$F$532,6,), "0")</f>
        <v>0</v>
      </c>
      <c r="K14" t="str">
        <f>IFERROR(VLOOKUP(J14,Capacity!$A$3:$D$532,4,), "0")</f>
        <v>0</v>
      </c>
      <c r="L14" s="4" t="str">
        <f>IFERROR(VLOOKUP(J14,Capacity!$A$3:$F$532,6,), "0")</f>
        <v>0</v>
      </c>
      <c r="M14" s="5">
        <f t="shared" si="0"/>
        <v>19.242254674999998</v>
      </c>
      <c r="N14" s="5">
        <f t="shared" si="1"/>
        <v>0.17499999999999999</v>
      </c>
      <c r="O14">
        <v>152</v>
      </c>
      <c r="P14">
        <f>IFERROR(VLOOKUP(O14,Capacity!$A$3:$D$532,4,), "0")</f>
        <v>25.132740800000008</v>
      </c>
      <c r="Q14" s="4">
        <f>IFERROR(VLOOKUP(O14,Capacity!$A$3:$F$532,6,), "0")</f>
        <v>0.2</v>
      </c>
      <c r="R14" s="5">
        <f t="shared" si="3"/>
        <v>25.132740800000008</v>
      </c>
      <c r="S14" s="5">
        <f t="shared" si="4"/>
        <v>0.2</v>
      </c>
      <c r="T14">
        <v>151</v>
      </c>
      <c r="U14">
        <v>1</v>
      </c>
      <c r="V14">
        <v>1</v>
      </c>
      <c r="W14">
        <v>1</v>
      </c>
      <c r="X14">
        <f t="shared" si="5"/>
        <v>0.76562499999999967</v>
      </c>
      <c r="Y14">
        <f t="shared" si="6"/>
        <v>0.76562499999999967</v>
      </c>
      <c r="Z14">
        <f t="shared" si="7"/>
        <v>0.87499999999999989</v>
      </c>
      <c r="AA14">
        <f t="shared" si="8"/>
        <v>0.87499999999999989</v>
      </c>
      <c r="AC14">
        <f t="shared" si="9"/>
        <v>0.38281249999999983</v>
      </c>
      <c r="AD14">
        <f t="shared" si="2"/>
        <v>0.38281249999999983</v>
      </c>
    </row>
    <row r="15" spans="1:30" x14ac:dyDescent="0.25">
      <c r="A15">
        <v>154</v>
      </c>
      <c r="B15">
        <f>IFERROR(VLOOKUP(A15,Capacity!$A$3:$D$532,4,), "0")</f>
        <v>388.77208425000003</v>
      </c>
      <c r="C15" s="4">
        <f>IFERROR(VLOOKUP(A15,Capacity!$A$3:$F$532,6,), "0")</f>
        <v>0.75</v>
      </c>
      <c r="D15">
        <v>87</v>
      </c>
      <c r="E15">
        <f>IFERROR(VLOOKUP(D15,Capacity!$A$3:$D$532,4,), "0")</f>
        <v>388.77208425000003</v>
      </c>
      <c r="F15" s="4">
        <f>IFERROR(VLOOKUP(D15,Capacity!$A$3:$F$532,6,), "0")</f>
        <v>0.75</v>
      </c>
      <c r="H15" t="str">
        <f>IFERROR(VLOOKUP(G15,Capacity!$A$3:$D$532,4,), "0")</f>
        <v>0</v>
      </c>
      <c r="I15" s="4" t="str">
        <f>IFERROR(VLOOKUP(G15,Capacity!$A$3:$F$532,6,), "0")</f>
        <v>0</v>
      </c>
      <c r="K15" t="str">
        <f>IFERROR(VLOOKUP(J15,Capacity!$A$3:$D$532,4,), "0")</f>
        <v>0</v>
      </c>
      <c r="L15" s="4" t="str">
        <f>IFERROR(VLOOKUP(J15,Capacity!$A$3:$F$532,6,), "0")</f>
        <v>0</v>
      </c>
      <c r="M15" s="5">
        <f t="shared" si="0"/>
        <v>388.77208425000003</v>
      </c>
      <c r="N15" s="5">
        <f t="shared" si="1"/>
        <v>0.75</v>
      </c>
      <c r="O15">
        <v>155</v>
      </c>
      <c r="P15">
        <f>IFERROR(VLOOKUP(O15,Capacity!$A$3:$D$532,4,), "0")</f>
        <v>371.10062587500005</v>
      </c>
      <c r="Q15" s="4">
        <f>IFERROR(VLOOKUP(O15,Capacity!$A$3:$F$532,6,), "0")</f>
        <v>0.75</v>
      </c>
      <c r="R15" s="5">
        <f t="shared" si="3"/>
        <v>371.10062587500005</v>
      </c>
      <c r="S15" s="5">
        <f t="shared" si="4"/>
        <v>0.75</v>
      </c>
      <c r="T15">
        <v>154</v>
      </c>
      <c r="U15">
        <v>1</v>
      </c>
      <c r="V15">
        <v>1</v>
      </c>
      <c r="W15">
        <v>1</v>
      </c>
      <c r="X15">
        <f t="shared" si="5"/>
        <v>1.0476190476190477</v>
      </c>
      <c r="Y15">
        <f t="shared" si="6"/>
        <v>1</v>
      </c>
      <c r="Z15">
        <f t="shared" si="7"/>
        <v>1</v>
      </c>
      <c r="AA15">
        <f t="shared" si="8"/>
        <v>1</v>
      </c>
      <c r="AC15">
        <f t="shared" si="9"/>
        <v>0.5116279069767441</v>
      </c>
      <c r="AD15">
        <f t="shared" si="2"/>
        <v>0.5116279069767441</v>
      </c>
    </row>
    <row r="16" spans="1:30" x14ac:dyDescent="0.25">
      <c r="A16">
        <v>160</v>
      </c>
      <c r="B16">
        <f>IFERROR(VLOOKUP(A16,Capacity!$A$3:$D$532,4,), "0")</f>
        <v>27.017696360000006</v>
      </c>
      <c r="C16" s="4">
        <f>IFERROR(VLOOKUP(A16,Capacity!$A$3:$F$532,6,), "0")</f>
        <v>0.2</v>
      </c>
      <c r="D16">
        <v>449</v>
      </c>
      <c r="E16">
        <f>IFERROR(VLOOKUP(D16,Capacity!$A$3:$D$532,4,), "0")</f>
        <v>20.685423775624997</v>
      </c>
      <c r="F16" s="4">
        <f>IFERROR(VLOOKUP(D16,Capacity!$A$3:$F$532,6,), "0")</f>
        <v>0.17499999999999999</v>
      </c>
      <c r="H16" t="str">
        <f>IFERROR(VLOOKUP(G16,Capacity!$A$3:$D$532,4,), "0")</f>
        <v>0</v>
      </c>
      <c r="I16" s="4" t="str">
        <f>IFERROR(VLOOKUP(G16,Capacity!$A$3:$F$532,6,), "0")</f>
        <v>0</v>
      </c>
      <c r="K16" t="str">
        <f>IFERROR(VLOOKUP(J16,Capacity!$A$3:$D$532,4,), "0")</f>
        <v>0</v>
      </c>
      <c r="L16" s="4" t="str">
        <f>IFERROR(VLOOKUP(J16,Capacity!$A$3:$F$532,6,), "0")</f>
        <v>0</v>
      </c>
      <c r="M16" s="5">
        <f t="shared" si="0"/>
        <v>20.685423775624997</v>
      </c>
      <c r="N16" s="5">
        <f t="shared" si="1"/>
        <v>0.17499999999999999</v>
      </c>
      <c r="O16">
        <v>161</v>
      </c>
      <c r="P16">
        <f>IFERROR(VLOOKUP(O16,Capacity!$A$3:$D$532,4,), "0")</f>
        <v>17.649467226800002</v>
      </c>
      <c r="Q16" s="4">
        <f>IFERROR(VLOOKUP(O16,Capacity!$A$3:$F$532,6,), "0")</f>
        <v>0.26500000000000001</v>
      </c>
      <c r="R16" s="5">
        <f t="shared" si="3"/>
        <v>17.649467226800002</v>
      </c>
      <c r="S16" s="5">
        <f t="shared" si="4"/>
        <v>0.26500000000000001</v>
      </c>
      <c r="T16">
        <v>160</v>
      </c>
      <c r="U16">
        <v>1</v>
      </c>
      <c r="V16">
        <v>1</v>
      </c>
      <c r="W16">
        <v>1</v>
      </c>
      <c r="X16">
        <f t="shared" si="5"/>
        <v>1.172014061943752</v>
      </c>
      <c r="Y16">
        <f t="shared" si="6"/>
        <v>0.76562499999999978</v>
      </c>
      <c r="Z16">
        <f t="shared" si="7"/>
        <v>0.660377358490566</v>
      </c>
      <c r="AA16">
        <f t="shared" si="8"/>
        <v>0.87499999999999989</v>
      </c>
      <c r="AC16">
        <f t="shared" si="9"/>
        <v>0.46310135040090011</v>
      </c>
      <c r="AD16">
        <f t="shared" si="2"/>
        <v>0.46310135040090011</v>
      </c>
    </row>
    <row r="17" spans="1:30" x14ac:dyDescent="0.25">
      <c r="A17">
        <v>450</v>
      </c>
      <c r="B17">
        <f>IFERROR(VLOOKUP(A17,Capacity!$A$3:$D$532,4,), "0")</f>
        <v>6.734789136249999</v>
      </c>
      <c r="C17" s="4">
        <f>IFERROR(VLOOKUP(A17,Capacity!$A$3:$F$532,6,), "0")</f>
        <v>0.17499999999999999</v>
      </c>
      <c r="E17" t="str">
        <f>IFERROR(VLOOKUP(D17,Capacity!$A$3:$D$532,4,), "0")</f>
        <v>0</v>
      </c>
      <c r="F17" s="4" t="str">
        <f>IFERROR(VLOOKUP(D17,Capacity!$A$3:$F$532,6,), "0")</f>
        <v>0</v>
      </c>
      <c r="H17" t="str">
        <f>IFERROR(VLOOKUP(G17,Capacity!$A$3:$D$532,4,), "0")</f>
        <v>0</v>
      </c>
      <c r="I17" s="4" t="str">
        <f>IFERROR(VLOOKUP(G17,Capacity!$A$3:$F$532,6,), "0")</f>
        <v>0</v>
      </c>
      <c r="K17" t="str">
        <f>IFERROR(VLOOKUP(J17,Capacity!$A$3:$D$532,4,), "0")</f>
        <v>0</v>
      </c>
      <c r="L17" s="4" t="str">
        <f>IFERROR(VLOOKUP(J17,Capacity!$A$3:$F$532,6,), "0")</f>
        <v>0</v>
      </c>
      <c r="M17" s="5">
        <f t="shared" si="0"/>
        <v>0</v>
      </c>
      <c r="N17" s="5">
        <f t="shared" si="1"/>
        <v>0</v>
      </c>
      <c r="O17">
        <v>162</v>
      </c>
      <c r="P17">
        <f>IFERROR(VLOOKUP(O17,Capacity!$A$3:$D$532,4,), "0")</f>
        <v>16.355916473749996</v>
      </c>
      <c r="Q17" s="4">
        <f>IFERROR(VLOOKUP(O17,Capacity!$A$3:$F$532,6,), "0")</f>
        <v>0.17499999999999999</v>
      </c>
      <c r="R17" s="5">
        <f t="shared" si="3"/>
        <v>16.355916473749996</v>
      </c>
      <c r="S17" s="5">
        <f t="shared" si="4"/>
        <v>0.17499999999999999</v>
      </c>
      <c r="T17">
        <v>450</v>
      </c>
      <c r="U17">
        <v>0</v>
      </c>
      <c r="V17">
        <v>0</v>
      </c>
      <c r="W17">
        <v>1</v>
      </c>
      <c r="X17">
        <f t="shared" si="5"/>
        <v>0</v>
      </c>
      <c r="Y17">
        <f t="shared" si="6"/>
        <v>0</v>
      </c>
      <c r="Z17">
        <f t="shared" si="7"/>
        <v>0</v>
      </c>
      <c r="AA17">
        <f t="shared" si="8"/>
        <v>0</v>
      </c>
      <c r="AC17">
        <f t="shared" si="9"/>
        <v>0</v>
      </c>
      <c r="AD17">
        <f t="shared" si="2"/>
        <v>0</v>
      </c>
    </row>
    <row r="18" spans="1:30" x14ac:dyDescent="0.25">
      <c r="A18">
        <v>177</v>
      </c>
      <c r="B18">
        <f>IFERROR(VLOOKUP(A18,Capacity!$A$3:$D$532,4,), "0")</f>
        <v>282.743334</v>
      </c>
      <c r="C18" s="4">
        <f>IFERROR(VLOOKUP(A18,Capacity!$A$3:$F$532,6,), "0")</f>
        <v>0.75</v>
      </c>
      <c r="D18">
        <v>176</v>
      </c>
      <c r="E18">
        <f>IFERROR(VLOOKUP(D18,Capacity!$A$3:$D$532,4,), "0")</f>
        <v>19.242254674999998</v>
      </c>
      <c r="F18" s="4">
        <f>IFERROR(VLOOKUP(D18,Capacity!$A$3:$F$532,6,), "0")</f>
        <v>0.17499999999999999</v>
      </c>
      <c r="G18">
        <v>183</v>
      </c>
      <c r="H18">
        <f>IFERROR(VLOOKUP(G18,Capacity!$A$3:$D$532,4,), "0")</f>
        <v>40.212385280000007</v>
      </c>
      <c r="I18" s="4">
        <f>IFERROR(VLOOKUP(G18,Capacity!$A$3:$F$532,6,), "0")</f>
        <v>0.4</v>
      </c>
      <c r="K18" t="str">
        <f>IFERROR(VLOOKUP(J18,Capacity!$A$3:$D$532,4,), "0")</f>
        <v>0</v>
      </c>
      <c r="L18" s="4" t="str">
        <f>IFERROR(VLOOKUP(J18,Capacity!$A$3:$F$532,6,), "0")</f>
        <v>0</v>
      </c>
      <c r="M18" s="5">
        <f t="shared" si="0"/>
        <v>59.454639955000005</v>
      </c>
      <c r="N18" s="5">
        <f t="shared" si="1"/>
        <v>0.57499999999999996</v>
      </c>
      <c r="O18">
        <v>169</v>
      </c>
      <c r="P18">
        <f>IFERROR(VLOOKUP(O18,Capacity!$A$3:$D$532,4,), "0")</f>
        <v>42.725659360000009</v>
      </c>
      <c r="Q18" s="4">
        <f>IFERROR(VLOOKUP(O18,Capacity!$A$3:$F$532,6,), "0")</f>
        <v>0.4</v>
      </c>
      <c r="R18" s="5">
        <f t="shared" si="3"/>
        <v>42.725659360000009</v>
      </c>
      <c r="S18" s="5">
        <f t="shared" si="4"/>
        <v>0.4</v>
      </c>
      <c r="T18">
        <v>177</v>
      </c>
      <c r="U18">
        <v>2</v>
      </c>
      <c r="V18">
        <v>2</v>
      </c>
      <c r="W18">
        <v>1</v>
      </c>
      <c r="X18">
        <f t="shared" si="5"/>
        <v>1.3915441176470587</v>
      </c>
      <c r="Y18">
        <f t="shared" si="6"/>
        <v>0.21027777777777779</v>
      </c>
      <c r="Z18">
        <f t="shared" si="7"/>
        <v>1.4374999999999998</v>
      </c>
      <c r="AA18">
        <f t="shared" si="8"/>
        <v>0.76666666666666661</v>
      </c>
      <c r="AC18">
        <f t="shared" si="9"/>
        <v>0.18267374517374518</v>
      </c>
      <c r="AD18">
        <f t="shared" si="2"/>
        <v>0.36534749034749037</v>
      </c>
    </row>
    <row r="19" spans="1:30" x14ac:dyDescent="0.25">
      <c r="A19">
        <v>167</v>
      </c>
      <c r="B19">
        <f>IFERROR(VLOOKUP(A19,Capacity!$A$3:$D$532,4,), "0")</f>
        <v>175.30086708000002</v>
      </c>
      <c r="C19" s="4">
        <f>IFERROR(VLOOKUP(A19,Capacity!$A$3:$F$532,6,), "0")</f>
        <v>0.6</v>
      </c>
      <c r="D19">
        <v>451</v>
      </c>
      <c r="E19">
        <f>IFERROR(VLOOKUP(D19,Capacity!$A$3:$D$532,4,), "0")</f>
        <v>8.6590146037499984</v>
      </c>
      <c r="F19" s="4">
        <f>IFERROR(VLOOKUP(D19,Capacity!$A$3:$F$532,6,), "0")</f>
        <v>0.17499999999999999</v>
      </c>
      <c r="G19">
        <v>166</v>
      </c>
      <c r="H19">
        <f>IFERROR(VLOOKUP(G19,Capacity!$A$3:$D$532,4,), "0")</f>
        <v>47.432943172025006</v>
      </c>
      <c r="I19" s="4">
        <f>IFERROR(VLOOKUP(G19,Capacity!$A$3:$F$532,6,), "0")</f>
        <v>0.26500000000000001</v>
      </c>
      <c r="K19" t="str">
        <f>IFERROR(VLOOKUP(J19,Capacity!$A$3:$D$532,4,), "0")</f>
        <v>0</v>
      </c>
      <c r="L19" s="4" t="str">
        <f>IFERROR(VLOOKUP(J19,Capacity!$A$3:$F$532,6,), "0")</f>
        <v>0</v>
      </c>
      <c r="M19" s="5">
        <f t="shared" si="0"/>
        <v>56.091957775775001</v>
      </c>
      <c r="N19" s="5">
        <f t="shared" si="1"/>
        <v>0.44</v>
      </c>
      <c r="O19">
        <v>169</v>
      </c>
      <c r="P19">
        <f>IFERROR(VLOOKUP(O19,Capacity!$A$3:$D$532,4,), "0")</f>
        <v>42.725659360000009</v>
      </c>
      <c r="Q19" s="4">
        <f>IFERROR(VLOOKUP(O19,Capacity!$A$3:$F$532,6,), "0")</f>
        <v>0.4</v>
      </c>
      <c r="R19" s="5">
        <f t="shared" si="3"/>
        <v>42.725659360000009</v>
      </c>
      <c r="S19" s="5">
        <f t="shared" si="4"/>
        <v>0.4</v>
      </c>
      <c r="T19">
        <v>167</v>
      </c>
      <c r="U19">
        <v>2</v>
      </c>
      <c r="V19">
        <v>2</v>
      </c>
      <c r="W19">
        <v>1</v>
      </c>
      <c r="X19">
        <f t="shared" si="5"/>
        <v>1.3128400735294115</v>
      </c>
      <c r="Y19">
        <f t="shared" si="6"/>
        <v>0.31997535842293906</v>
      </c>
      <c r="Z19">
        <f t="shared" si="7"/>
        <v>1.0999999999999999</v>
      </c>
      <c r="AA19">
        <f t="shared" si="8"/>
        <v>0.73333333333333339</v>
      </c>
      <c r="AC19">
        <f t="shared" si="9"/>
        <v>0.25727125360230546</v>
      </c>
      <c r="AD19">
        <f t="shared" si="2"/>
        <v>0.51454250720461092</v>
      </c>
    </row>
    <row r="20" spans="1:30" x14ac:dyDescent="0.25">
      <c r="A20">
        <v>143</v>
      </c>
      <c r="B20">
        <f>IFERROR(VLOOKUP(A20,Capacity!$A$3:$D$532,4,), "0")</f>
        <v>17.799085574374995</v>
      </c>
      <c r="C20" s="4">
        <f>IFERROR(VLOOKUP(A20,Capacity!$A$3:$F$532,6,), "0")</f>
        <v>0.17499999999999999</v>
      </c>
      <c r="D20">
        <v>142</v>
      </c>
      <c r="E20">
        <f>IFERROR(VLOOKUP(D20,Capacity!$A$3:$D$532,4,), "0")</f>
        <v>17.799085574374995</v>
      </c>
      <c r="F20" s="4">
        <f>IFERROR(VLOOKUP(D20,Capacity!$A$3:$F$532,6,), "0")</f>
        <v>0.17499999999999999</v>
      </c>
      <c r="H20" t="str">
        <f>IFERROR(VLOOKUP(G20,Capacity!$A$3:$D$532,4,), "0")</f>
        <v>0</v>
      </c>
      <c r="I20" s="4" t="str">
        <f>IFERROR(VLOOKUP(G20,Capacity!$A$3:$F$532,6,), "0")</f>
        <v>0</v>
      </c>
      <c r="K20" t="str">
        <f>IFERROR(VLOOKUP(J20,Capacity!$A$3:$D$532,4,), "0")</f>
        <v>0</v>
      </c>
      <c r="L20" s="4" t="str">
        <f>IFERROR(VLOOKUP(J20,Capacity!$A$3:$F$532,6,), "0")</f>
        <v>0</v>
      </c>
      <c r="M20" s="5">
        <f t="shared" si="0"/>
        <v>17.799085574374995</v>
      </c>
      <c r="N20" s="5">
        <f t="shared" si="1"/>
        <v>0.17499999999999999</v>
      </c>
      <c r="O20">
        <v>144</v>
      </c>
      <c r="P20">
        <f>IFERROR(VLOOKUP(O20,Capacity!$A$3:$D$532,4,), "0")</f>
        <v>267.035371</v>
      </c>
      <c r="Q20" s="4">
        <f>IFERROR(VLOOKUP(O20,Capacity!$A$3:$F$532,6,), "0")</f>
        <v>1</v>
      </c>
      <c r="R20" s="5">
        <f t="shared" si="3"/>
        <v>267.035371</v>
      </c>
      <c r="S20" s="5">
        <f t="shared" si="4"/>
        <v>1</v>
      </c>
      <c r="T20">
        <v>143</v>
      </c>
      <c r="U20">
        <v>1</v>
      </c>
      <c r="V20">
        <v>1</v>
      </c>
      <c r="W20">
        <v>1</v>
      </c>
      <c r="X20">
        <f t="shared" si="5"/>
        <v>6.6654411764705865E-2</v>
      </c>
      <c r="Y20">
        <f t="shared" si="6"/>
        <v>1</v>
      </c>
      <c r="Z20">
        <f t="shared" si="7"/>
        <v>0.17499999999999999</v>
      </c>
      <c r="AA20">
        <f t="shared" si="8"/>
        <v>1</v>
      </c>
      <c r="AC20">
        <f t="shared" si="9"/>
        <v>6.2489228966325423E-2</v>
      </c>
      <c r="AD20">
        <f t="shared" si="2"/>
        <v>6.2489228966325423E-2</v>
      </c>
    </row>
    <row r="21" spans="1:30" x14ac:dyDescent="0.25">
      <c r="A21">
        <v>137</v>
      </c>
      <c r="B21">
        <f>IFERROR(VLOOKUP(A21,Capacity!$A$3:$D$532,4,), "0")</f>
        <v>267.035371</v>
      </c>
      <c r="C21" s="4">
        <f>IFERROR(VLOOKUP(A21,Capacity!$A$3:$F$532,6,), "0")</f>
        <v>1</v>
      </c>
      <c r="D21">
        <v>138</v>
      </c>
      <c r="E21">
        <f>IFERROR(VLOOKUP(D21,Capacity!$A$3:$D$532,4,), "0")</f>
        <v>48.066366779999996</v>
      </c>
      <c r="F21" s="4">
        <f>IFERROR(VLOOKUP(D21,Capacity!$A$3:$F$532,6,), "0")</f>
        <v>0.3</v>
      </c>
      <c r="G21">
        <v>136</v>
      </c>
      <c r="H21">
        <f>IFERROR(VLOOKUP(G21,Capacity!$A$3:$D$532,4,), "0")</f>
        <v>150.2073961875</v>
      </c>
      <c r="I21" s="4">
        <f>IFERROR(VLOOKUP(G21,Capacity!$A$3:$F$532,6,), "0")</f>
        <v>0.75</v>
      </c>
      <c r="K21" t="str">
        <f>IFERROR(VLOOKUP(J21,Capacity!$A$3:$D$532,4,), "0")</f>
        <v>0</v>
      </c>
      <c r="L21" s="4" t="str">
        <f>IFERROR(VLOOKUP(J21,Capacity!$A$3:$F$532,6,), "0")</f>
        <v>0</v>
      </c>
      <c r="M21" s="5">
        <f t="shared" si="0"/>
        <v>198.27376296749998</v>
      </c>
      <c r="N21" s="5">
        <f t="shared" si="1"/>
        <v>1.05</v>
      </c>
      <c r="O21">
        <v>144</v>
      </c>
      <c r="P21">
        <f>IFERROR(VLOOKUP(O21,Capacity!$A$3:$D$532,4,), "0")</f>
        <v>267.035371</v>
      </c>
      <c r="Q21" s="4">
        <f>IFERROR(VLOOKUP(O21,Capacity!$A$3:$F$532,6,), "0")</f>
        <v>1</v>
      </c>
      <c r="R21" s="5">
        <f t="shared" si="3"/>
        <v>267.035371</v>
      </c>
      <c r="S21" s="5">
        <f t="shared" si="4"/>
        <v>1</v>
      </c>
      <c r="T21">
        <v>137</v>
      </c>
      <c r="U21">
        <v>2</v>
      </c>
      <c r="V21">
        <v>2</v>
      </c>
      <c r="W21">
        <v>1</v>
      </c>
      <c r="X21">
        <f t="shared" si="5"/>
        <v>0.74249999999999994</v>
      </c>
      <c r="Y21">
        <f t="shared" si="6"/>
        <v>0.74249999999999994</v>
      </c>
      <c r="Z21">
        <f t="shared" si="7"/>
        <v>1.05</v>
      </c>
      <c r="AA21">
        <f t="shared" si="8"/>
        <v>1.05</v>
      </c>
      <c r="AC21">
        <f t="shared" si="9"/>
        <v>0.37124999999999997</v>
      </c>
      <c r="AD21">
        <f t="shared" si="2"/>
        <v>0.74249999999999994</v>
      </c>
    </row>
    <row r="22" spans="1:30" x14ac:dyDescent="0.25">
      <c r="A22">
        <v>147</v>
      </c>
      <c r="B22">
        <f>IFERROR(VLOOKUP(A22,Capacity!$A$3:$D$532,4,), "0")</f>
        <v>23.876103760000007</v>
      </c>
      <c r="C22" s="4">
        <f>IFERROR(VLOOKUP(A22,Capacity!$A$3:$F$532,6,), "0")</f>
        <v>0.2</v>
      </c>
      <c r="D22">
        <v>145</v>
      </c>
      <c r="E22">
        <f>IFERROR(VLOOKUP(D22,Capacity!$A$3:$D$532,4,), "0")</f>
        <v>23.876103760000007</v>
      </c>
      <c r="F22" s="4">
        <f>IFERROR(VLOOKUP(D22,Capacity!$A$3:$F$532,6,), "0")</f>
        <v>0.2</v>
      </c>
      <c r="H22" t="str">
        <f>IFERROR(VLOOKUP(G22,Capacity!$A$3:$D$532,4,), "0")</f>
        <v>0</v>
      </c>
      <c r="I22" s="4" t="str">
        <f>IFERROR(VLOOKUP(G22,Capacity!$A$3:$F$532,6,), "0")</f>
        <v>0</v>
      </c>
      <c r="K22" t="str">
        <f>IFERROR(VLOOKUP(J22,Capacity!$A$3:$D$532,4,), "0")</f>
        <v>0</v>
      </c>
      <c r="L22" s="4" t="str">
        <f>IFERROR(VLOOKUP(J22,Capacity!$A$3:$F$532,6,), "0")</f>
        <v>0</v>
      </c>
      <c r="M22" s="5">
        <f t="shared" si="0"/>
        <v>23.876103760000007</v>
      </c>
      <c r="N22" s="5">
        <f t="shared" si="1"/>
        <v>0.2</v>
      </c>
      <c r="O22">
        <v>148</v>
      </c>
      <c r="P22">
        <f>IFERROR(VLOOKUP(O22,Capacity!$A$3:$D$532,4,), "0")</f>
        <v>23.876103760000007</v>
      </c>
      <c r="Q22" s="4">
        <f>IFERROR(VLOOKUP(O22,Capacity!$A$3:$F$532,6,), "0")</f>
        <v>0.2</v>
      </c>
      <c r="R22" s="5">
        <f t="shared" si="3"/>
        <v>23.876103760000007</v>
      </c>
      <c r="S22" s="5">
        <f t="shared" si="4"/>
        <v>0.2</v>
      </c>
      <c r="T22">
        <v>147</v>
      </c>
      <c r="U22">
        <v>1</v>
      </c>
      <c r="V22">
        <v>1</v>
      </c>
      <c r="W22">
        <v>1</v>
      </c>
      <c r="X22">
        <f t="shared" si="5"/>
        <v>1</v>
      </c>
      <c r="Y22">
        <f t="shared" si="6"/>
        <v>1</v>
      </c>
      <c r="Z22">
        <f t="shared" si="7"/>
        <v>1</v>
      </c>
      <c r="AA22">
        <f t="shared" si="8"/>
        <v>1</v>
      </c>
      <c r="AC22">
        <f t="shared" si="9"/>
        <v>0.5</v>
      </c>
      <c r="AD22">
        <f t="shared" si="2"/>
        <v>0.5</v>
      </c>
    </row>
    <row r="23" spans="1:30" x14ac:dyDescent="0.25">
      <c r="A23">
        <v>150</v>
      </c>
      <c r="B23">
        <f>IFERROR(VLOOKUP(A23,Capacity!$A$3:$D$532,4,), "0")</f>
        <v>19.242254674999998</v>
      </c>
      <c r="C23" s="4">
        <f>IFERROR(VLOOKUP(A23,Capacity!$A$3:$F$532,6,), "0")</f>
        <v>0.17499999999999999</v>
      </c>
      <c r="D23">
        <v>446</v>
      </c>
      <c r="E23">
        <f>IFERROR(VLOOKUP(D23,Capacity!$A$3:$D$532,4,), "0")</f>
        <v>40.212385280000007</v>
      </c>
      <c r="F23" s="4">
        <f>IFERROR(VLOOKUP(D23,Capacity!$A$3:$F$532,6,), "0")</f>
        <v>0.4</v>
      </c>
      <c r="G23">
        <v>88</v>
      </c>
      <c r="H23">
        <f>IFERROR(VLOOKUP(G23,Capacity!$A$3:$D$532,4,), "0")</f>
        <v>172.78759300000002</v>
      </c>
      <c r="I23" s="4">
        <f>IFERROR(VLOOKUP(G23,Capacity!$A$3:$F$532,6,), "0")</f>
        <v>0.5</v>
      </c>
      <c r="K23" t="str">
        <f>IFERROR(VLOOKUP(J23,Capacity!$A$3:$D$532,4,), "0")</f>
        <v>0</v>
      </c>
      <c r="L23" s="4" t="str">
        <f>IFERROR(VLOOKUP(J23,Capacity!$A$3:$F$532,6,), "0")</f>
        <v>0</v>
      </c>
      <c r="M23" s="5">
        <f t="shared" si="0"/>
        <v>212.99997828000002</v>
      </c>
      <c r="N23" s="5">
        <f t="shared" si="1"/>
        <v>0.9</v>
      </c>
      <c r="O23">
        <v>151</v>
      </c>
      <c r="P23">
        <f>IFERROR(VLOOKUP(O23,Capacity!$A$3:$D$532,4,), "0")</f>
        <v>25.132740800000008</v>
      </c>
      <c r="Q23" s="4">
        <f>IFERROR(VLOOKUP(O23,Capacity!$A$3:$F$532,6,), "0")</f>
        <v>0.2</v>
      </c>
      <c r="R23" s="5">
        <f t="shared" si="3"/>
        <v>25.132740800000008</v>
      </c>
      <c r="S23" s="5">
        <f t="shared" si="4"/>
        <v>0.2</v>
      </c>
      <c r="T23">
        <v>150</v>
      </c>
      <c r="U23">
        <v>2</v>
      </c>
      <c r="V23">
        <v>2</v>
      </c>
      <c r="W23">
        <v>1</v>
      </c>
      <c r="X23">
        <f t="shared" si="5"/>
        <v>8.4749999999999979</v>
      </c>
      <c r="Y23">
        <f t="shared" si="6"/>
        <v>11.069387755102044</v>
      </c>
      <c r="Z23">
        <f t="shared" si="7"/>
        <v>4.5</v>
      </c>
      <c r="AA23">
        <f t="shared" si="8"/>
        <v>5.1428571428571432</v>
      </c>
      <c r="AC23">
        <f t="shared" si="9"/>
        <v>4.8</v>
      </c>
      <c r="AD23">
        <f t="shared" si="2"/>
        <v>9.6</v>
      </c>
    </row>
    <row r="24" spans="1:30" x14ac:dyDescent="0.25">
      <c r="A24">
        <v>448</v>
      </c>
      <c r="B24">
        <f>IFERROR(VLOOKUP(A24,Capacity!$A$3:$D$532,4,), "0")</f>
        <v>7.6969018699999987</v>
      </c>
      <c r="C24" s="4">
        <f>IFERROR(VLOOKUP(A24,Capacity!$A$3:$F$532,6,), "0")</f>
        <v>0.17499999999999999</v>
      </c>
      <c r="E24" t="str">
        <f>IFERROR(VLOOKUP(D24,Capacity!$A$3:$D$532,4,), "0")</f>
        <v>0</v>
      </c>
      <c r="F24" s="4" t="str">
        <f>IFERROR(VLOOKUP(D24,Capacity!$A$3:$F$532,6,), "0")</f>
        <v>0</v>
      </c>
      <c r="H24" t="str">
        <f>IFERROR(VLOOKUP(G24,Capacity!$A$3:$D$532,4,), "0")</f>
        <v>0</v>
      </c>
      <c r="I24" s="4" t="str">
        <f>IFERROR(VLOOKUP(G24,Capacity!$A$3:$F$532,6,), "0")</f>
        <v>0</v>
      </c>
      <c r="K24" t="str">
        <f>IFERROR(VLOOKUP(J24,Capacity!$A$3:$D$532,4,), "0")</f>
        <v>0</v>
      </c>
      <c r="L24" s="4" t="str">
        <f>IFERROR(VLOOKUP(J24,Capacity!$A$3:$F$532,6,), "0")</f>
        <v>0</v>
      </c>
      <c r="M24" s="5">
        <f t="shared" si="0"/>
        <v>0</v>
      </c>
      <c r="N24" s="5">
        <f t="shared" si="1"/>
        <v>0</v>
      </c>
      <c r="O24">
        <v>154</v>
      </c>
      <c r="P24">
        <f>IFERROR(VLOOKUP(O24,Capacity!$A$3:$D$532,4,), "0")</f>
        <v>388.77208425000003</v>
      </c>
      <c r="Q24" s="4">
        <f>IFERROR(VLOOKUP(O24,Capacity!$A$3:$F$532,6,), "0")</f>
        <v>0.75</v>
      </c>
      <c r="R24" s="5">
        <f t="shared" si="3"/>
        <v>388.77208425000003</v>
      </c>
      <c r="S24" s="5">
        <f t="shared" si="4"/>
        <v>0.75</v>
      </c>
      <c r="T24">
        <v>448</v>
      </c>
      <c r="U24">
        <v>0</v>
      </c>
      <c r="V24">
        <v>0</v>
      </c>
      <c r="W24">
        <v>1</v>
      </c>
      <c r="X24">
        <f t="shared" si="5"/>
        <v>0</v>
      </c>
      <c r="Y24">
        <f t="shared" si="6"/>
        <v>0</v>
      </c>
      <c r="Z24">
        <f t="shared" si="7"/>
        <v>0</v>
      </c>
      <c r="AA24">
        <f t="shared" si="8"/>
        <v>0</v>
      </c>
      <c r="AC24">
        <f t="shared" si="9"/>
        <v>0</v>
      </c>
      <c r="AD24">
        <f t="shared" si="2"/>
        <v>0</v>
      </c>
    </row>
    <row r="25" spans="1:30" x14ac:dyDescent="0.25">
      <c r="A25">
        <v>159</v>
      </c>
      <c r="B25">
        <f>IFERROR(VLOOKUP(A25,Capacity!$A$3:$D$532,4,), "0")</f>
        <v>22.619466719999998</v>
      </c>
      <c r="C25" s="4">
        <f>IFERROR(VLOOKUP(A25,Capacity!$A$3:$F$532,6,), "0")</f>
        <v>0.3</v>
      </c>
      <c r="D25">
        <v>419</v>
      </c>
      <c r="E25">
        <f>IFERROR(VLOOKUP(D25,Capacity!$A$3:$D$532,4,), "0")</f>
        <v>21.166480142499999</v>
      </c>
      <c r="F25" s="4">
        <f>IFERROR(VLOOKUP(D25,Capacity!$A$3:$F$532,6,), "0")</f>
        <v>0.17499999999999999</v>
      </c>
      <c r="G25">
        <v>164</v>
      </c>
      <c r="H25">
        <f>IFERROR(VLOOKUP(G25,Capacity!$A$3:$D$532,4,), "0")</f>
        <v>22.619466719999998</v>
      </c>
      <c r="I25" s="4">
        <f>IFERROR(VLOOKUP(G25,Capacity!$A$3:$F$532,6,), "0")</f>
        <v>0.3</v>
      </c>
      <c r="K25" t="str">
        <f>IFERROR(VLOOKUP(J25,Capacity!$A$3:$D$532,4,), "0")</f>
        <v>0</v>
      </c>
      <c r="L25" s="4" t="str">
        <f>IFERROR(VLOOKUP(J25,Capacity!$A$3:$F$532,6,), "0")</f>
        <v>0</v>
      </c>
      <c r="M25" s="5">
        <f t="shared" si="0"/>
        <v>43.785946862499998</v>
      </c>
      <c r="N25" s="5">
        <f t="shared" si="1"/>
        <v>0.47499999999999998</v>
      </c>
      <c r="O25">
        <v>154</v>
      </c>
      <c r="P25">
        <f>IFERROR(VLOOKUP(O25,Capacity!$A$3:$D$532,4,), "0")</f>
        <v>388.77208425000003</v>
      </c>
      <c r="Q25" s="4">
        <f>IFERROR(VLOOKUP(O25,Capacity!$A$3:$F$532,6,), "0")</f>
        <v>0.75</v>
      </c>
      <c r="R25" s="5">
        <f t="shared" si="3"/>
        <v>388.77208425000003</v>
      </c>
      <c r="S25" s="5">
        <f t="shared" si="4"/>
        <v>0.75</v>
      </c>
      <c r="T25">
        <v>159</v>
      </c>
      <c r="U25">
        <v>2</v>
      </c>
      <c r="V25">
        <v>2</v>
      </c>
      <c r="W25">
        <v>1</v>
      </c>
      <c r="X25">
        <f t="shared" si="5"/>
        <v>0.11262626262626262</v>
      </c>
      <c r="Y25">
        <f t="shared" si="6"/>
        <v>1.9357638888888888</v>
      </c>
      <c r="Z25">
        <f t="shared" si="7"/>
        <v>0.6333333333333333</v>
      </c>
      <c r="AA25">
        <f t="shared" si="8"/>
        <v>1.5833333333333333</v>
      </c>
      <c r="AC25">
        <f t="shared" si="9"/>
        <v>0.10643375334096983</v>
      </c>
      <c r="AD25">
        <f t="shared" si="2"/>
        <v>0.21286750668193966</v>
      </c>
    </row>
    <row r="26" spans="1:30" x14ac:dyDescent="0.25">
      <c r="A26">
        <v>87</v>
      </c>
      <c r="B26">
        <f>IFERROR(VLOOKUP(A26,Capacity!$A$3:$D$532,4,), "0")</f>
        <v>388.77208425000003</v>
      </c>
      <c r="C26" s="4">
        <f>IFERROR(VLOOKUP(A26,Capacity!$A$3:$F$532,6,), "0")</f>
        <v>0.75</v>
      </c>
      <c r="D26">
        <v>48</v>
      </c>
      <c r="E26">
        <f>IFERROR(VLOOKUP(D26,Capacity!$A$3:$D$532,4,), "0")</f>
        <v>397.6078134375</v>
      </c>
      <c r="F26" s="4">
        <f>IFERROR(VLOOKUP(D26,Capacity!$A$3:$F$532,6,), "0")</f>
        <v>0.75</v>
      </c>
      <c r="G26">
        <v>86</v>
      </c>
      <c r="H26">
        <f>IFERROR(VLOOKUP(G26,Capacity!$A$3:$D$532,4,), "0")</f>
        <v>90.477866879999993</v>
      </c>
      <c r="I26" s="4">
        <f>IFERROR(VLOOKUP(G26,Capacity!$A$3:$F$532,6,), "0")</f>
        <v>0.6</v>
      </c>
      <c r="K26" t="str">
        <f>IFERROR(VLOOKUP(J26,Capacity!$A$3:$D$532,4,), "0")</f>
        <v>0</v>
      </c>
      <c r="L26" s="4" t="str">
        <f>IFERROR(VLOOKUP(J26,Capacity!$A$3:$F$532,6,), "0")</f>
        <v>0</v>
      </c>
      <c r="M26" s="5">
        <f t="shared" si="0"/>
        <v>488.08568031749996</v>
      </c>
      <c r="N26" s="5">
        <f t="shared" si="1"/>
        <v>1.35</v>
      </c>
      <c r="O26">
        <v>154</v>
      </c>
      <c r="P26">
        <f>IFERROR(VLOOKUP(O26,Capacity!$A$3:$D$532,4,), "0")</f>
        <v>388.77208425000003</v>
      </c>
      <c r="Q26" s="4">
        <f>IFERROR(VLOOKUP(O26,Capacity!$A$3:$F$532,6,), "0")</f>
        <v>0.75</v>
      </c>
      <c r="R26" s="5">
        <f t="shared" si="3"/>
        <v>388.77208425000003</v>
      </c>
      <c r="S26" s="5">
        <f t="shared" si="4"/>
        <v>0.75</v>
      </c>
      <c r="T26">
        <v>87</v>
      </c>
      <c r="U26">
        <v>2</v>
      </c>
      <c r="V26">
        <v>2</v>
      </c>
      <c r="W26">
        <v>1</v>
      </c>
      <c r="X26">
        <f t="shared" si="5"/>
        <v>1.2554545454545452</v>
      </c>
      <c r="Y26">
        <f t="shared" si="6"/>
        <v>1.2554545454545452</v>
      </c>
      <c r="Z26">
        <f t="shared" si="7"/>
        <v>1.8</v>
      </c>
      <c r="AA26">
        <f t="shared" si="8"/>
        <v>1.8</v>
      </c>
      <c r="AC26">
        <f t="shared" si="9"/>
        <v>0.62772727272727258</v>
      </c>
      <c r="AD26">
        <f t="shared" si="2"/>
        <v>1.2554545454545452</v>
      </c>
    </row>
    <row r="27" spans="1:30" x14ac:dyDescent="0.25">
      <c r="A27">
        <v>449</v>
      </c>
      <c r="B27">
        <f>IFERROR(VLOOKUP(A27,Capacity!$A$3:$D$532,4,), "0")</f>
        <v>20.685423775624997</v>
      </c>
      <c r="C27" s="4">
        <f>IFERROR(VLOOKUP(A27,Capacity!$A$3:$F$532,6,), "0")</f>
        <v>0.17499999999999999</v>
      </c>
      <c r="E27" t="str">
        <f>IFERROR(VLOOKUP(D27,Capacity!$A$3:$D$532,4,), "0")</f>
        <v>0</v>
      </c>
      <c r="F27" s="4" t="str">
        <f>IFERROR(VLOOKUP(D27,Capacity!$A$3:$F$532,6,), "0")</f>
        <v>0</v>
      </c>
      <c r="H27" t="str">
        <f>IFERROR(VLOOKUP(G27,Capacity!$A$3:$D$532,4,), "0")</f>
        <v>0</v>
      </c>
      <c r="I27" s="4" t="str">
        <f>IFERROR(VLOOKUP(G27,Capacity!$A$3:$F$532,6,), "0")</f>
        <v>0</v>
      </c>
      <c r="K27" t="str">
        <f>IFERROR(VLOOKUP(J27,Capacity!$A$3:$D$532,4,), "0")</f>
        <v>0</v>
      </c>
      <c r="L27" s="4" t="str">
        <f>IFERROR(VLOOKUP(J27,Capacity!$A$3:$F$532,6,), "0")</f>
        <v>0</v>
      </c>
      <c r="M27" s="5">
        <f t="shared" si="0"/>
        <v>0</v>
      </c>
      <c r="N27" s="5">
        <f t="shared" si="1"/>
        <v>0</v>
      </c>
      <c r="O27">
        <v>160</v>
      </c>
      <c r="P27">
        <f>IFERROR(VLOOKUP(O27,Capacity!$A$3:$D$532,4,), "0")</f>
        <v>27.017696360000006</v>
      </c>
      <c r="Q27" s="4">
        <f>IFERROR(VLOOKUP(O27,Capacity!$A$3:$F$532,6,), "0")</f>
        <v>0.2</v>
      </c>
      <c r="R27" s="5">
        <f t="shared" si="3"/>
        <v>27.017696360000006</v>
      </c>
      <c r="S27" s="5">
        <f t="shared" si="4"/>
        <v>0.2</v>
      </c>
      <c r="T27">
        <v>449</v>
      </c>
      <c r="U27">
        <v>0</v>
      </c>
      <c r="V27">
        <v>0</v>
      </c>
      <c r="W27">
        <v>1</v>
      </c>
      <c r="X27">
        <f t="shared" si="5"/>
        <v>0</v>
      </c>
      <c r="Y27">
        <f t="shared" si="6"/>
        <v>0</v>
      </c>
      <c r="Z27">
        <f t="shared" si="7"/>
        <v>0</v>
      </c>
      <c r="AA27">
        <f t="shared" si="8"/>
        <v>0</v>
      </c>
      <c r="AC27">
        <f t="shared" si="9"/>
        <v>0</v>
      </c>
      <c r="AD27">
        <f t="shared" si="2"/>
        <v>0</v>
      </c>
    </row>
    <row r="28" spans="1:30" x14ac:dyDescent="0.25">
      <c r="A28">
        <v>451</v>
      </c>
      <c r="B28">
        <f>IFERROR(VLOOKUP(A28,Capacity!$A$3:$D$532,4,), "0")</f>
        <v>8.6590146037499984</v>
      </c>
      <c r="C28" s="4">
        <f>IFERROR(VLOOKUP(A28,Capacity!$A$3:$F$532,6,), "0")</f>
        <v>0.17499999999999999</v>
      </c>
      <c r="E28" t="str">
        <f>IFERROR(VLOOKUP(D28,Capacity!$A$3:$D$532,4,), "0")</f>
        <v>0</v>
      </c>
      <c r="F28" s="4" t="str">
        <f>IFERROR(VLOOKUP(D28,Capacity!$A$3:$F$532,6,), "0")</f>
        <v>0</v>
      </c>
      <c r="H28" t="str">
        <f>IFERROR(VLOOKUP(G28,Capacity!$A$3:$D$532,4,), "0")</f>
        <v>0</v>
      </c>
      <c r="I28" s="4" t="str">
        <f>IFERROR(VLOOKUP(G28,Capacity!$A$3:$F$532,6,), "0")</f>
        <v>0</v>
      </c>
      <c r="K28" t="str">
        <f>IFERROR(VLOOKUP(J28,Capacity!$A$3:$D$532,4,), "0")</f>
        <v>0</v>
      </c>
      <c r="L28" s="4" t="str">
        <f>IFERROR(VLOOKUP(J28,Capacity!$A$3:$F$532,6,), "0")</f>
        <v>0</v>
      </c>
      <c r="M28" s="5">
        <f t="shared" si="0"/>
        <v>0</v>
      </c>
      <c r="N28" s="5">
        <f t="shared" si="1"/>
        <v>0</v>
      </c>
      <c r="O28">
        <v>167</v>
      </c>
      <c r="P28">
        <f>IFERROR(VLOOKUP(O28,Capacity!$A$3:$D$532,4,), "0")</f>
        <v>175.30086708000002</v>
      </c>
      <c r="Q28" s="4">
        <f>IFERROR(VLOOKUP(O28,Capacity!$A$3:$F$532,6,), "0")</f>
        <v>0.6</v>
      </c>
      <c r="R28" s="5">
        <f t="shared" si="3"/>
        <v>175.30086708000002</v>
      </c>
      <c r="S28" s="5">
        <f t="shared" si="4"/>
        <v>0.6</v>
      </c>
      <c r="T28">
        <v>451</v>
      </c>
      <c r="U28">
        <v>0</v>
      </c>
      <c r="V28">
        <v>0</v>
      </c>
      <c r="W28">
        <v>1</v>
      </c>
      <c r="X28">
        <f t="shared" si="5"/>
        <v>0</v>
      </c>
      <c r="Y28">
        <f t="shared" si="6"/>
        <v>0</v>
      </c>
      <c r="Z28">
        <f t="shared" si="7"/>
        <v>0</v>
      </c>
      <c r="AA28">
        <f t="shared" si="8"/>
        <v>0</v>
      </c>
      <c r="AC28">
        <f t="shared" si="9"/>
        <v>0</v>
      </c>
      <c r="AD28">
        <f t="shared" si="2"/>
        <v>0</v>
      </c>
    </row>
    <row r="29" spans="1:30" x14ac:dyDescent="0.25">
      <c r="A29">
        <v>166</v>
      </c>
      <c r="B29">
        <f>IFERROR(VLOOKUP(A29,Capacity!$A$3:$D$532,4,), "0")</f>
        <v>47.432943172025006</v>
      </c>
      <c r="C29" s="4">
        <f>IFERROR(VLOOKUP(A29,Capacity!$A$3:$F$532,6,), "0")</f>
        <v>0.26500000000000001</v>
      </c>
      <c r="D29">
        <v>165</v>
      </c>
      <c r="E29">
        <f>IFERROR(VLOOKUP(D29,Capacity!$A$3:$D$532,4,), "0")</f>
        <v>15.874860106874999</v>
      </c>
      <c r="F29" s="4">
        <f>IFERROR(VLOOKUP(D29,Capacity!$A$3:$F$532,6,), "0")</f>
        <v>0.17499999999999999</v>
      </c>
      <c r="G29">
        <v>172</v>
      </c>
      <c r="H29">
        <f>IFERROR(VLOOKUP(G29,Capacity!$A$3:$D$532,4,), "0")</f>
        <v>22.619466719999998</v>
      </c>
      <c r="I29" s="4">
        <f>IFERROR(VLOOKUP(G29,Capacity!$A$3:$F$532,6,), "0")</f>
        <v>0.3</v>
      </c>
      <c r="K29" t="str">
        <f>IFERROR(VLOOKUP(J29,Capacity!$A$3:$D$532,4,), "0")</f>
        <v>0</v>
      </c>
      <c r="L29" s="4" t="str">
        <f>IFERROR(VLOOKUP(J29,Capacity!$A$3:$F$532,6,), "0")</f>
        <v>0</v>
      </c>
      <c r="M29" s="5">
        <f t="shared" si="0"/>
        <v>38.494326826874996</v>
      </c>
      <c r="N29" s="5">
        <f t="shared" si="1"/>
        <v>0.47499999999999998</v>
      </c>
      <c r="O29">
        <v>167</v>
      </c>
      <c r="P29">
        <f>IFERROR(VLOOKUP(O29,Capacity!$A$3:$D$532,4,), "0")</f>
        <v>175.30086708000002</v>
      </c>
      <c r="Q29" s="4">
        <f>IFERROR(VLOOKUP(O29,Capacity!$A$3:$F$532,6,), "0")</f>
        <v>0.6</v>
      </c>
      <c r="R29" s="5">
        <f t="shared" si="3"/>
        <v>175.30086708000002</v>
      </c>
      <c r="S29" s="5">
        <f t="shared" si="4"/>
        <v>0.6</v>
      </c>
      <c r="T29">
        <v>166</v>
      </c>
      <c r="U29">
        <v>2</v>
      </c>
      <c r="V29">
        <v>2</v>
      </c>
      <c r="W29">
        <v>1</v>
      </c>
      <c r="X29">
        <f t="shared" si="5"/>
        <v>0.21959005376344082</v>
      </c>
      <c r="Y29">
        <f t="shared" si="6"/>
        <v>0.81155256774321727</v>
      </c>
      <c r="Z29">
        <f t="shared" si="7"/>
        <v>0.79166666666666663</v>
      </c>
      <c r="AA29">
        <f t="shared" si="8"/>
        <v>1.7924528301886791</v>
      </c>
      <c r="AC29">
        <f t="shared" si="9"/>
        <v>0.17282659863501804</v>
      </c>
      <c r="AD29">
        <f t="shared" si="2"/>
        <v>0.34565319727003607</v>
      </c>
    </row>
    <row r="30" spans="1:30" x14ac:dyDescent="0.25">
      <c r="A30">
        <v>183</v>
      </c>
      <c r="B30">
        <f>IFERROR(VLOOKUP(A30,Capacity!$A$3:$D$532,4,), "0")</f>
        <v>40.212385280000007</v>
      </c>
      <c r="C30" s="4">
        <f>IFERROR(VLOOKUP(A30,Capacity!$A$3:$F$532,6,), "0")</f>
        <v>0.4</v>
      </c>
      <c r="D30">
        <v>188</v>
      </c>
      <c r="E30">
        <f>IFERROR(VLOOKUP(D30,Capacity!$A$3:$D$532,4,), "0")</f>
        <v>40.212385280000007</v>
      </c>
      <c r="F30" s="4">
        <f>IFERROR(VLOOKUP(D30,Capacity!$A$3:$F$532,6,), "0")</f>
        <v>0.4</v>
      </c>
      <c r="G30">
        <v>182</v>
      </c>
      <c r="H30">
        <f>IFERROR(VLOOKUP(G30,Capacity!$A$3:$D$532,4,), "0")</f>
        <v>19.242254674999998</v>
      </c>
      <c r="I30" s="4">
        <f>IFERROR(VLOOKUP(G30,Capacity!$A$3:$F$532,6,), "0")</f>
        <v>0.17499999999999999</v>
      </c>
      <c r="K30" t="str">
        <f>IFERROR(VLOOKUP(J30,Capacity!$A$3:$D$532,4,), "0")</f>
        <v>0</v>
      </c>
      <c r="L30" s="4" t="str">
        <f>IFERROR(VLOOKUP(J30,Capacity!$A$3:$F$532,6,), "0")</f>
        <v>0</v>
      </c>
      <c r="M30" s="5">
        <f t="shared" si="0"/>
        <v>59.454639955000005</v>
      </c>
      <c r="N30" s="5">
        <f t="shared" si="1"/>
        <v>0.57499999999999996</v>
      </c>
      <c r="O30">
        <v>177</v>
      </c>
      <c r="P30">
        <f>IFERROR(VLOOKUP(O30,Capacity!$A$3:$D$532,4,), "0")</f>
        <v>282.743334</v>
      </c>
      <c r="Q30" s="4">
        <f>IFERROR(VLOOKUP(O30,Capacity!$A$3:$F$532,6,), "0")</f>
        <v>0.75</v>
      </c>
      <c r="R30" s="5">
        <f t="shared" si="3"/>
        <v>282.743334</v>
      </c>
      <c r="S30" s="5">
        <f t="shared" si="4"/>
        <v>0.75</v>
      </c>
      <c r="T30">
        <v>183</v>
      </c>
      <c r="U30">
        <v>2</v>
      </c>
      <c r="V30">
        <v>2</v>
      </c>
      <c r="W30">
        <v>1</v>
      </c>
      <c r="X30">
        <f t="shared" si="5"/>
        <v>0.21027777777777779</v>
      </c>
      <c r="Y30">
        <f t="shared" si="6"/>
        <v>1.4785156249999998</v>
      </c>
      <c r="Z30">
        <f t="shared" si="7"/>
        <v>0.76666666666666661</v>
      </c>
      <c r="AA30">
        <f t="shared" si="8"/>
        <v>1.4374999999999998</v>
      </c>
      <c r="AC30">
        <f t="shared" si="9"/>
        <v>0.1840953307392996</v>
      </c>
      <c r="AD30">
        <f t="shared" si="2"/>
        <v>0.36819066147859919</v>
      </c>
    </row>
    <row r="31" spans="1:30" x14ac:dyDescent="0.25">
      <c r="A31">
        <v>176</v>
      </c>
      <c r="B31">
        <f>IFERROR(VLOOKUP(A31,Capacity!$A$3:$D$532,4,), "0")</f>
        <v>19.242254674999998</v>
      </c>
      <c r="C31" s="4">
        <f>IFERROR(VLOOKUP(A31,Capacity!$A$3:$F$532,6,), "0")</f>
        <v>0.17499999999999999</v>
      </c>
      <c r="D31">
        <v>456</v>
      </c>
      <c r="E31">
        <f>IFERROR(VLOOKUP(D31,Capacity!$A$3:$D$532,4,), "0")</f>
        <v>19.242254674999998</v>
      </c>
      <c r="F31" s="4">
        <f>IFERROR(VLOOKUP(D31,Capacity!$A$3:$F$532,6,), "0")</f>
        <v>0.17499999999999999</v>
      </c>
      <c r="H31" t="str">
        <f>IFERROR(VLOOKUP(G31,Capacity!$A$3:$D$532,4,), "0")</f>
        <v>0</v>
      </c>
      <c r="I31" s="4" t="str">
        <f>IFERROR(VLOOKUP(G31,Capacity!$A$3:$F$532,6,), "0")</f>
        <v>0</v>
      </c>
      <c r="K31" t="str">
        <f>IFERROR(VLOOKUP(J31,Capacity!$A$3:$D$532,4,), "0")</f>
        <v>0</v>
      </c>
      <c r="L31" s="4" t="str">
        <f>IFERROR(VLOOKUP(J31,Capacity!$A$3:$F$532,6,), "0")</f>
        <v>0</v>
      </c>
      <c r="M31" s="5">
        <f t="shared" si="0"/>
        <v>19.242254674999998</v>
      </c>
      <c r="N31" s="5">
        <f t="shared" si="1"/>
        <v>0.17499999999999999</v>
      </c>
      <c r="O31">
        <v>177</v>
      </c>
      <c r="P31">
        <f>IFERROR(VLOOKUP(O31,Capacity!$A$3:$D$532,4,), "0")</f>
        <v>282.743334</v>
      </c>
      <c r="Q31" s="4">
        <f>IFERROR(VLOOKUP(O31,Capacity!$A$3:$F$532,6,), "0")</f>
        <v>0.75</v>
      </c>
      <c r="R31" s="5">
        <f t="shared" si="3"/>
        <v>282.743334</v>
      </c>
      <c r="S31" s="5">
        <f t="shared" si="4"/>
        <v>0.75</v>
      </c>
      <c r="T31">
        <v>176</v>
      </c>
      <c r="U31">
        <v>1</v>
      </c>
      <c r="V31">
        <v>1</v>
      </c>
      <c r="W31">
        <v>1</v>
      </c>
      <c r="X31">
        <f t="shared" si="5"/>
        <v>6.805555555555555E-2</v>
      </c>
      <c r="Y31">
        <f t="shared" si="6"/>
        <v>1</v>
      </c>
      <c r="Z31">
        <f t="shared" si="7"/>
        <v>0.23333333333333331</v>
      </c>
      <c r="AA31">
        <f t="shared" si="8"/>
        <v>1</v>
      </c>
      <c r="AC31">
        <f t="shared" si="9"/>
        <v>6.3719115734720402E-2</v>
      </c>
      <c r="AD31">
        <f t="shared" si="2"/>
        <v>6.3719115734720402E-2</v>
      </c>
    </row>
    <row r="32" spans="1:30" x14ac:dyDescent="0.25">
      <c r="A32">
        <v>138</v>
      </c>
      <c r="B32">
        <f>IFERROR(VLOOKUP(A32,Capacity!$A$3:$D$532,4,), "0")</f>
        <v>48.066366779999996</v>
      </c>
      <c r="C32" s="4">
        <f>IFERROR(VLOOKUP(A32,Capacity!$A$3:$F$532,6,), "0")</f>
        <v>0.3</v>
      </c>
      <c r="D32">
        <v>139</v>
      </c>
      <c r="E32">
        <f>IFERROR(VLOOKUP(D32,Capacity!$A$3:$D$532,4,), "0")</f>
        <v>48.066366779999996</v>
      </c>
      <c r="F32" s="4">
        <f>IFERROR(VLOOKUP(D32,Capacity!$A$3:$F$532,6,), "0")</f>
        <v>0.3</v>
      </c>
      <c r="H32" t="str">
        <f>IFERROR(VLOOKUP(G32,Capacity!$A$3:$D$532,4,), "0")</f>
        <v>0</v>
      </c>
      <c r="I32" s="4" t="str">
        <f>IFERROR(VLOOKUP(G32,Capacity!$A$3:$F$532,6,), "0")</f>
        <v>0</v>
      </c>
      <c r="K32" t="str">
        <f>IFERROR(VLOOKUP(J32,Capacity!$A$3:$D$532,4,), "0")</f>
        <v>0</v>
      </c>
      <c r="L32" s="4" t="str">
        <f>IFERROR(VLOOKUP(J32,Capacity!$A$3:$F$532,6,), "0")</f>
        <v>0</v>
      </c>
      <c r="M32" s="5">
        <f t="shared" si="0"/>
        <v>48.066366779999996</v>
      </c>
      <c r="N32" s="5">
        <f t="shared" si="1"/>
        <v>0.3</v>
      </c>
      <c r="O32">
        <v>137</v>
      </c>
      <c r="P32">
        <f>IFERROR(VLOOKUP(O32,Capacity!$A$3:$D$532,4,), "0")</f>
        <v>267.035371</v>
      </c>
      <c r="Q32" s="4">
        <f>IFERROR(VLOOKUP(O32,Capacity!$A$3:$F$532,6,), "0")</f>
        <v>1</v>
      </c>
      <c r="R32" s="5">
        <f t="shared" si="3"/>
        <v>267.035371</v>
      </c>
      <c r="S32" s="5">
        <f t="shared" si="4"/>
        <v>1</v>
      </c>
      <c r="T32">
        <v>138</v>
      </c>
      <c r="U32">
        <v>1</v>
      </c>
      <c r="V32">
        <v>1</v>
      </c>
      <c r="W32">
        <v>1</v>
      </c>
      <c r="X32">
        <f t="shared" si="5"/>
        <v>0.18</v>
      </c>
      <c r="Y32">
        <f t="shared" si="6"/>
        <v>1</v>
      </c>
      <c r="Z32">
        <f t="shared" si="7"/>
        <v>0.3</v>
      </c>
      <c r="AA32">
        <f t="shared" si="8"/>
        <v>1</v>
      </c>
      <c r="AC32">
        <f>$M32/($R32+$B32)</f>
        <v>0.15254237288135591</v>
      </c>
      <c r="AD32">
        <f t="shared" si="2"/>
        <v>0.15254237288135591</v>
      </c>
    </row>
    <row r="33" spans="1:30" x14ac:dyDescent="0.25">
      <c r="A33">
        <v>136</v>
      </c>
      <c r="B33">
        <f>IFERROR(VLOOKUP(A33,Capacity!$A$3:$D$532,4,), "0")</f>
        <v>150.2073961875</v>
      </c>
      <c r="C33" s="4">
        <f>IFERROR(VLOOKUP(A33,Capacity!$A$3:$F$532,6,), "0")</f>
        <v>0.75</v>
      </c>
      <c r="D33">
        <v>134</v>
      </c>
      <c r="E33">
        <f>IFERROR(VLOOKUP(D33,Capacity!$A$3:$D$532,4,), "0")</f>
        <v>273.90760481250004</v>
      </c>
      <c r="F33" s="4">
        <f>IFERROR(VLOOKUP(D33,Capacity!$A$3:$F$532,6,), "0")</f>
        <v>0.75</v>
      </c>
      <c r="G33">
        <v>128</v>
      </c>
      <c r="H33">
        <f>IFERROR(VLOOKUP(G33,Capacity!$A$3:$D$532,4,), "0")</f>
        <v>31.101766740000002</v>
      </c>
      <c r="I33" s="4">
        <f>IFERROR(VLOOKUP(G33,Capacity!$A$3:$F$532,6,), "0")</f>
        <v>0.3</v>
      </c>
      <c r="J33">
        <v>276</v>
      </c>
      <c r="K33">
        <f>IFERROR(VLOOKUP(J33,Capacity!$A$3:$D$532,4,), "0")</f>
        <v>24.052818343749998</v>
      </c>
      <c r="L33" s="4">
        <f>IFERROR(VLOOKUP(J33,Capacity!$A$3:$F$532,6,), "0")</f>
        <v>0.17499999999999999</v>
      </c>
      <c r="M33" s="5">
        <f t="shared" si="0"/>
        <v>329.06218989625006</v>
      </c>
      <c r="N33" s="5">
        <f t="shared" si="1"/>
        <v>1.2250000000000001</v>
      </c>
      <c r="O33">
        <v>137</v>
      </c>
      <c r="P33">
        <f>IFERROR(VLOOKUP(O33,Capacity!$A$3:$D$532,4,), "0")</f>
        <v>267.035371</v>
      </c>
      <c r="Q33" s="4">
        <f>IFERROR(VLOOKUP(O33,Capacity!$A$3:$F$532,6,), "0")</f>
        <v>1</v>
      </c>
      <c r="R33" s="5">
        <f t="shared" si="3"/>
        <v>267.035371</v>
      </c>
      <c r="S33" s="5">
        <f t="shared" si="4"/>
        <v>1</v>
      </c>
      <c r="T33">
        <v>136</v>
      </c>
      <c r="U33">
        <v>3</v>
      </c>
      <c r="V33">
        <v>3</v>
      </c>
      <c r="W33">
        <v>1</v>
      </c>
      <c r="X33">
        <f t="shared" si="5"/>
        <v>1.232279411764706</v>
      </c>
      <c r="Y33">
        <f t="shared" si="6"/>
        <v>2.1907189542483665</v>
      </c>
      <c r="Z33">
        <f t="shared" si="7"/>
        <v>1.2250000000000001</v>
      </c>
      <c r="AA33">
        <f t="shared" si="8"/>
        <v>1.6333333333333335</v>
      </c>
      <c r="AC33">
        <f t="shared" si="9"/>
        <v>0.78865882352941186</v>
      </c>
      <c r="AD33">
        <f t="shared" si="2"/>
        <v>2.3659764705882358</v>
      </c>
    </row>
    <row r="34" spans="1:30" x14ac:dyDescent="0.25">
      <c r="A34">
        <v>142</v>
      </c>
      <c r="B34">
        <f>IFERROR(VLOOKUP(A34,Capacity!$A$3:$D$532,4,), "0")</f>
        <v>17.799085574374995</v>
      </c>
      <c r="C34" s="4">
        <f>IFERROR(VLOOKUP(A34,Capacity!$A$3:$F$532,6,), "0")</f>
        <v>0.17499999999999999</v>
      </c>
      <c r="D34">
        <v>141</v>
      </c>
      <c r="E34">
        <f>IFERROR(VLOOKUP(D34,Capacity!$A$3:$D$532,4,), "0")</f>
        <v>17.799085574374995</v>
      </c>
      <c r="F34" s="4">
        <f>IFERROR(VLOOKUP(D34,Capacity!$A$3:$F$532,6,), "0")</f>
        <v>0.17499999999999999</v>
      </c>
      <c r="H34" t="str">
        <f>IFERROR(VLOOKUP(G34,Capacity!$A$3:$D$532,4,), "0")</f>
        <v>0</v>
      </c>
      <c r="I34" s="4" t="str">
        <f>IFERROR(VLOOKUP(G34,Capacity!$A$3:$F$532,6,), "0")</f>
        <v>0</v>
      </c>
      <c r="K34" t="str">
        <f>IFERROR(VLOOKUP(J34,Capacity!$A$3:$D$532,4,), "0")</f>
        <v>0</v>
      </c>
      <c r="L34" s="4" t="str">
        <f>IFERROR(VLOOKUP(J34,Capacity!$A$3:$F$532,6,), "0")</f>
        <v>0</v>
      </c>
      <c r="M34" s="5">
        <f t="shared" si="0"/>
        <v>17.799085574374995</v>
      </c>
      <c r="N34" s="5">
        <f t="shared" si="1"/>
        <v>0.17499999999999999</v>
      </c>
      <c r="O34">
        <v>143</v>
      </c>
      <c r="P34">
        <f>IFERROR(VLOOKUP(O34,Capacity!$A$3:$D$532,4,), "0")</f>
        <v>17.799085574374995</v>
      </c>
      <c r="Q34" s="4">
        <f>IFERROR(VLOOKUP(O34,Capacity!$A$3:$F$532,6,), "0")</f>
        <v>0.17499999999999999</v>
      </c>
      <c r="R34" s="5">
        <f t="shared" si="3"/>
        <v>17.799085574374995</v>
      </c>
      <c r="S34" s="5">
        <f t="shared" si="4"/>
        <v>0.17499999999999999</v>
      </c>
      <c r="T34">
        <v>142</v>
      </c>
      <c r="U34">
        <v>1</v>
      </c>
      <c r="V34">
        <v>1</v>
      </c>
      <c r="W34">
        <v>1</v>
      </c>
      <c r="X34">
        <f t="shared" si="5"/>
        <v>1</v>
      </c>
      <c r="Y34">
        <f t="shared" si="6"/>
        <v>1</v>
      </c>
      <c r="Z34">
        <f t="shared" si="7"/>
        <v>1</v>
      </c>
      <c r="AA34">
        <f t="shared" si="8"/>
        <v>1</v>
      </c>
      <c r="AC34">
        <f t="shared" si="9"/>
        <v>0.5</v>
      </c>
      <c r="AD34">
        <f t="shared" si="2"/>
        <v>0.5</v>
      </c>
    </row>
    <row r="35" spans="1:30" x14ac:dyDescent="0.25">
      <c r="A35">
        <v>145</v>
      </c>
      <c r="B35">
        <f>IFERROR(VLOOKUP(A35,Capacity!$A$3:$D$532,4,), "0")</f>
        <v>23.876103760000007</v>
      </c>
      <c r="C35" s="4">
        <f>IFERROR(VLOOKUP(A35,Capacity!$A$3:$F$532,6,), "0")</f>
        <v>0.2</v>
      </c>
      <c r="D35">
        <v>445</v>
      </c>
      <c r="E35">
        <f>IFERROR(VLOOKUP(D35,Capacity!$A$3:$D$532,4,), "0")</f>
        <v>7.6969018699999987</v>
      </c>
      <c r="F35" s="4">
        <f>IFERROR(VLOOKUP(D35,Capacity!$A$3:$F$532,6,), "0")</f>
        <v>0.17499999999999999</v>
      </c>
      <c r="G35">
        <v>89</v>
      </c>
      <c r="H35">
        <f>IFERROR(VLOOKUP(G35,Capacity!$A$3:$D$532,4,), "0")</f>
        <v>27.646014880000006</v>
      </c>
      <c r="I35" s="4">
        <f>IFERROR(VLOOKUP(G35,Capacity!$A$3:$F$532,6,), "0")</f>
        <v>0.2</v>
      </c>
      <c r="K35" t="str">
        <f>IFERROR(VLOOKUP(J35,Capacity!$A$3:$D$532,4,), "0")</f>
        <v>0</v>
      </c>
      <c r="L35" s="4" t="str">
        <f>IFERROR(VLOOKUP(J35,Capacity!$A$3:$F$532,6,), "0")</f>
        <v>0</v>
      </c>
      <c r="M35" s="5">
        <f t="shared" si="0"/>
        <v>35.342916750000008</v>
      </c>
      <c r="N35" s="5">
        <f t="shared" si="1"/>
        <v>0.375</v>
      </c>
      <c r="O35">
        <v>147</v>
      </c>
      <c r="P35">
        <f>IFERROR(VLOOKUP(O35,Capacity!$A$3:$D$532,4,), "0")</f>
        <v>23.876103760000007</v>
      </c>
      <c r="Q35" s="4">
        <f>IFERROR(VLOOKUP(O35,Capacity!$A$3:$F$532,6,), "0")</f>
        <v>0.2</v>
      </c>
      <c r="R35" s="5">
        <f t="shared" si="3"/>
        <v>23.876103760000007</v>
      </c>
      <c r="S35" s="5">
        <f t="shared" si="4"/>
        <v>0.2</v>
      </c>
      <c r="T35">
        <v>145</v>
      </c>
      <c r="U35">
        <v>2</v>
      </c>
      <c r="V35">
        <v>2</v>
      </c>
      <c r="W35">
        <v>1</v>
      </c>
      <c r="X35">
        <f t="shared" si="5"/>
        <v>1.4802631578947367</v>
      </c>
      <c r="Y35">
        <f t="shared" si="6"/>
        <v>1.4802631578947367</v>
      </c>
      <c r="Z35">
        <f t="shared" si="7"/>
        <v>1.875</v>
      </c>
      <c r="AA35">
        <f t="shared" si="8"/>
        <v>1.875</v>
      </c>
      <c r="AC35">
        <f t="shared" si="9"/>
        <v>0.74013157894736836</v>
      </c>
      <c r="AD35">
        <f t="shared" si="2"/>
        <v>1.4802631578947367</v>
      </c>
    </row>
    <row r="36" spans="1:30" x14ac:dyDescent="0.25">
      <c r="A36">
        <v>446</v>
      </c>
      <c r="B36">
        <f>IFERROR(VLOOKUP(A36,Capacity!$A$3:$D$532,4,), "0")</f>
        <v>40.212385280000007</v>
      </c>
      <c r="C36" s="4">
        <f>IFERROR(VLOOKUP(A36,Capacity!$A$3:$F$532,6,), "0")</f>
        <v>0.4</v>
      </c>
      <c r="E36" t="str">
        <f>IFERROR(VLOOKUP(D36,Capacity!$A$3:$D$532,4,), "0")</f>
        <v>0</v>
      </c>
      <c r="F36" s="4" t="str">
        <f>IFERROR(VLOOKUP(D36,Capacity!$A$3:$F$532,6,), "0")</f>
        <v>0</v>
      </c>
      <c r="H36" t="str">
        <f>IFERROR(VLOOKUP(G36,Capacity!$A$3:$D$532,4,), "0")</f>
        <v>0</v>
      </c>
      <c r="I36" s="4" t="str">
        <f>IFERROR(VLOOKUP(G36,Capacity!$A$3:$F$532,6,), "0")</f>
        <v>0</v>
      </c>
      <c r="K36" t="str">
        <f>IFERROR(VLOOKUP(J36,Capacity!$A$3:$D$532,4,), "0")</f>
        <v>0</v>
      </c>
      <c r="L36" s="4" t="str">
        <f>IFERROR(VLOOKUP(J36,Capacity!$A$3:$F$532,6,), "0")</f>
        <v>0</v>
      </c>
      <c r="M36" s="5">
        <f t="shared" si="0"/>
        <v>0</v>
      </c>
      <c r="N36" s="5">
        <f t="shared" si="1"/>
        <v>0</v>
      </c>
      <c r="O36">
        <v>150</v>
      </c>
      <c r="P36">
        <f>IFERROR(VLOOKUP(O36,Capacity!$A$3:$D$532,4,), "0")</f>
        <v>19.242254674999998</v>
      </c>
      <c r="Q36" s="4">
        <f>IFERROR(VLOOKUP(O36,Capacity!$A$3:$F$532,6,), "0")</f>
        <v>0.17499999999999999</v>
      </c>
      <c r="R36" s="5">
        <f t="shared" si="3"/>
        <v>19.242254674999998</v>
      </c>
      <c r="S36" s="5">
        <f t="shared" si="4"/>
        <v>0.17499999999999999</v>
      </c>
      <c r="T36">
        <v>446</v>
      </c>
      <c r="U36">
        <v>0</v>
      </c>
      <c r="V36">
        <v>0</v>
      </c>
      <c r="W36">
        <v>1</v>
      </c>
      <c r="X36">
        <f t="shared" si="5"/>
        <v>0</v>
      </c>
      <c r="Y36">
        <f t="shared" si="6"/>
        <v>0</v>
      </c>
      <c r="Z36">
        <f t="shared" si="7"/>
        <v>0</v>
      </c>
      <c r="AA36">
        <f t="shared" si="8"/>
        <v>0</v>
      </c>
      <c r="AC36">
        <f t="shared" si="9"/>
        <v>0</v>
      </c>
      <c r="AD36">
        <f t="shared" si="2"/>
        <v>0</v>
      </c>
    </row>
    <row r="37" spans="1:30" x14ac:dyDescent="0.25">
      <c r="A37">
        <v>88</v>
      </c>
      <c r="B37">
        <f>IFERROR(VLOOKUP(A37,Capacity!$A$3:$D$532,4,), "0")</f>
        <v>172.78759300000002</v>
      </c>
      <c r="C37" s="4">
        <f>IFERROR(VLOOKUP(A37,Capacity!$A$3:$F$532,6,), "0")</f>
        <v>0.5</v>
      </c>
      <c r="D37">
        <v>420</v>
      </c>
      <c r="E37">
        <f>IFERROR(VLOOKUP(D37,Capacity!$A$3:$D$532,4,), "0")</f>
        <v>7.6969018699999987</v>
      </c>
      <c r="F37" s="4">
        <f>IFERROR(VLOOKUP(D37,Capacity!$A$3:$F$532,6,), "0")</f>
        <v>0.17499999999999999</v>
      </c>
      <c r="G37">
        <v>49</v>
      </c>
      <c r="H37">
        <f>IFERROR(VLOOKUP(G37,Capacity!$A$3:$D$532,4,), "0")</f>
        <v>21.647536509374998</v>
      </c>
      <c r="I37" s="4">
        <f>IFERROR(VLOOKUP(G37,Capacity!$A$3:$F$532,6,), "0")</f>
        <v>0.17499999999999999</v>
      </c>
      <c r="K37" t="str">
        <f>IFERROR(VLOOKUP(J37,Capacity!$A$3:$D$532,4,), "0")</f>
        <v>0</v>
      </c>
      <c r="L37" s="4" t="str">
        <f>IFERROR(VLOOKUP(J37,Capacity!$A$3:$F$532,6,), "0")</f>
        <v>0</v>
      </c>
      <c r="M37" s="5">
        <f t="shared" si="0"/>
        <v>29.344438379374996</v>
      </c>
      <c r="N37" s="5">
        <f t="shared" si="1"/>
        <v>0.35</v>
      </c>
      <c r="O37">
        <v>150</v>
      </c>
      <c r="P37">
        <f>IFERROR(VLOOKUP(O37,Capacity!$A$3:$D$532,4,), "0")</f>
        <v>19.242254674999998</v>
      </c>
      <c r="Q37" s="4">
        <f>IFERROR(VLOOKUP(O37,Capacity!$A$3:$F$532,6,), "0")</f>
        <v>0.17499999999999999</v>
      </c>
      <c r="R37" s="5">
        <f t="shared" si="3"/>
        <v>19.242254674999998</v>
      </c>
      <c r="S37" s="5">
        <f t="shared" si="4"/>
        <v>0.17499999999999999</v>
      </c>
      <c r="T37">
        <v>88</v>
      </c>
      <c r="U37">
        <v>2</v>
      </c>
      <c r="V37">
        <v>2</v>
      </c>
      <c r="W37">
        <v>1</v>
      </c>
      <c r="X37">
        <f t="shared" si="5"/>
        <v>1.5249999999999999</v>
      </c>
      <c r="Y37">
        <f t="shared" si="6"/>
        <v>0.16982954545454543</v>
      </c>
      <c r="Z37">
        <f t="shared" si="7"/>
        <v>2</v>
      </c>
      <c r="AA37">
        <f t="shared" si="8"/>
        <v>0.7</v>
      </c>
      <c r="AC37">
        <f t="shared" si="9"/>
        <v>0.15281186094069527</v>
      </c>
      <c r="AD37">
        <f t="shared" si="2"/>
        <v>0.30562372188139053</v>
      </c>
    </row>
    <row r="38" spans="1:30" x14ac:dyDescent="0.25">
      <c r="A38">
        <v>86</v>
      </c>
      <c r="B38">
        <f>IFERROR(VLOOKUP(A38,Capacity!$A$3:$D$532,4,), "0")</f>
        <v>90.477866879999993</v>
      </c>
      <c r="C38" s="4">
        <f>IFERROR(VLOOKUP(A38,Capacity!$A$3:$F$532,6,), "0")</f>
        <v>0.6</v>
      </c>
      <c r="D38">
        <v>85</v>
      </c>
      <c r="E38">
        <f>IFERROR(VLOOKUP(D38,Capacity!$A$3:$D$532,4,), "0")</f>
        <v>90.477866879999993</v>
      </c>
      <c r="F38" s="4">
        <f>IFERROR(VLOOKUP(D38,Capacity!$A$3:$F$532,6,), "0")</f>
        <v>0.6</v>
      </c>
      <c r="H38" t="str">
        <f>IFERROR(VLOOKUP(G38,Capacity!$A$3:$D$532,4,), "0")</f>
        <v>0</v>
      </c>
      <c r="I38" s="4" t="str">
        <f>IFERROR(VLOOKUP(G38,Capacity!$A$3:$F$532,6,), "0")</f>
        <v>0</v>
      </c>
      <c r="K38" t="str">
        <f>IFERROR(VLOOKUP(J38,Capacity!$A$3:$D$532,4,), "0")</f>
        <v>0</v>
      </c>
      <c r="L38" s="4" t="str">
        <f>IFERROR(VLOOKUP(J38,Capacity!$A$3:$F$532,6,), "0")</f>
        <v>0</v>
      </c>
      <c r="M38" s="5">
        <f t="shared" si="0"/>
        <v>90.477866879999993</v>
      </c>
      <c r="N38" s="5">
        <f t="shared" si="1"/>
        <v>0.6</v>
      </c>
      <c r="O38">
        <v>87</v>
      </c>
      <c r="P38">
        <f>IFERROR(VLOOKUP(O38,Capacity!$A$3:$D$532,4,), "0")</f>
        <v>388.77208425000003</v>
      </c>
      <c r="Q38" s="4">
        <f>IFERROR(VLOOKUP(O38,Capacity!$A$3:$F$532,6,), "0")</f>
        <v>0.75</v>
      </c>
      <c r="R38" s="5">
        <f t="shared" si="3"/>
        <v>388.77208425000003</v>
      </c>
      <c r="S38" s="5">
        <f t="shared" si="4"/>
        <v>0.75</v>
      </c>
      <c r="T38">
        <v>86</v>
      </c>
      <c r="U38">
        <v>1</v>
      </c>
      <c r="V38">
        <v>1</v>
      </c>
      <c r="W38">
        <v>1</v>
      </c>
      <c r="X38">
        <f t="shared" si="5"/>
        <v>0.2327272727272727</v>
      </c>
      <c r="Y38">
        <f t="shared" si="6"/>
        <v>1</v>
      </c>
      <c r="Z38">
        <f t="shared" si="7"/>
        <v>0.79999999999999993</v>
      </c>
      <c r="AA38">
        <f t="shared" si="8"/>
        <v>1</v>
      </c>
      <c r="AC38">
        <f t="shared" si="9"/>
        <v>0.1887905604719764</v>
      </c>
      <c r="AD38">
        <f t="shared" si="2"/>
        <v>0.1887905604719764</v>
      </c>
    </row>
    <row r="39" spans="1:30" x14ac:dyDescent="0.25">
      <c r="A39">
        <v>48</v>
      </c>
      <c r="B39">
        <f>IFERROR(VLOOKUP(A39,Capacity!$A$3:$D$532,4,), "0")</f>
        <v>397.6078134375</v>
      </c>
      <c r="C39" s="4">
        <f>IFERROR(VLOOKUP(A39,Capacity!$A$3:$F$532,6,), "0")</f>
        <v>0.75</v>
      </c>
      <c r="D39">
        <v>23</v>
      </c>
      <c r="E39">
        <f>IFERROR(VLOOKUP(D39,Capacity!$A$3:$D$532,4,), "0")</f>
        <v>125.66370400000002</v>
      </c>
      <c r="F39" s="4">
        <f>IFERROR(VLOOKUP(D39,Capacity!$A$3:$F$532,6,), "0")</f>
        <v>0.4</v>
      </c>
      <c r="H39" t="str">
        <f>IFERROR(VLOOKUP(G39,Capacity!$A$3:$D$532,4,), "0")</f>
        <v>0</v>
      </c>
      <c r="I39" s="4" t="str">
        <f>IFERROR(VLOOKUP(G39,Capacity!$A$3:$F$532,6,), "0")</f>
        <v>0</v>
      </c>
      <c r="K39" t="str">
        <f>IFERROR(VLOOKUP(J39,Capacity!$A$3:$D$532,4,), "0")</f>
        <v>0</v>
      </c>
      <c r="L39" s="4" t="str">
        <f>IFERROR(VLOOKUP(J39,Capacity!$A$3:$F$532,6,), "0")</f>
        <v>0</v>
      </c>
      <c r="M39" s="5">
        <f t="shared" si="0"/>
        <v>125.66370400000002</v>
      </c>
      <c r="N39" s="5">
        <f t="shared" si="1"/>
        <v>0.4</v>
      </c>
      <c r="O39">
        <v>87</v>
      </c>
      <c r="P39">
        <f>IFERROR(VLOOKUP(O39,Capacity!$A$3:$D$532,4,), "0")</f>
        <v>388.77208425000003</v>
      </c>
      <c r="Q39" s="4">
        <f>IFERROR(VLOOKUP(O39,Capacity!$A$3:$F$532,6,), "0")</f>
        <v>0.75</v>
      </c>
      <c r="R39" s="5">
        <f t="shared" si="3"/>
        <v>388.77208425000003</v>
      </c>
      <c r="S39" s="5">
        <f t="shared" si="4"/>
        <v>0.75</v>
      </c>
      <c r="T39">
        <v>48</v>
      </c>
      <c r="U39">
        <v>1</v>
      </c>
      <c r="V39">
        <v>1</v>
      </c>
      <c r="W39">
        <v>1</v>
      </c>
      <c r="X39">
        <f t="shared" si="5"/>
        <v>0.32323232323232326</v>
      </c>
      <c r="Y39">
        <f t="shared" si="6"/>
        <v>0.31604938271604943</v>
      </c>
      <c r="Z39">
        <f t="shared" si="7"/>
        <v>0.53333333333333333</v>
      </c>
      <c r="AA39">
        <f t="shared" si="8"/>
        <v>0.53333333333333333</v>
      </c>
      <c r="AC39">
        <f t="shared" si="9"/>
        <v>0.15980024968789017</v>
      </c>
      <c r="AD39">
        <f t="shared" si="2"/>
        <v>0.15980024968789017</v>
      </c>
    </row>
    <row r="40" spans="1:30" x14ac:dyDescent="0.25">
      <c r="A40">
        <v>419</v>
      </c>
      <c r="B40">
        <f>IFERROR(VLOOKUP(A40,Capacity!$A$3:$D$532,4,), "0")</f>
        <v>21.166480142499999</v>
      </c>
      <c r="C40" s="4">
        <f>IFERROR(VLOOKUP(A40,Capacity!$A$3:$F$532,6,), "0")</f>
        <v>0.17499999999999999</v>
      </c>
      <c r="E40" t="str">
        <f>IFERROR(VLOOKUP(D40,Capacity!$A$3:$D$532,4,), "0")</f>
        <v>0</v>
      </c>
      <c r="F40" s="4" t="str">
        <f>IFERROR(VLOOKUP(D40,Capacity!$A$3:$F$532,6,), "0")</f>
        <v>0</v>
      </c>
      <c r="H40" t="str">
        <f>IFERROR(VLOOKUP(G40,Capacity!$A$3:$D$532,4,), "0")</f>
        <v>0</v>
      </c>
      <c r="I40" s="4" t="str">
        <f>IFERROR(VLOOKUP(G40,Capacity!$A$3:$F$532,6,), "0")</f>
        <v>0</v>
      </c>
      <c r="K40" t="str">
        <f>IFERROR(VLOOKUP(J40,Capacity!$A$3:$D$532,4,), "0")</f>
        <v>0</v>
      </c>
      <c r="L40" s="4" t="str">
        <f>IFERROR(VLOOKUP(J40,Capacity!$A$3:$F$532,6,), "0")</f>
        <v>0</v>
      </c>
      <c r="M40" s="5">
        <f t="shared" si="0"/>
        <v>0</v>
      </c>
      <c r="N40" s="5">
        <f t="shared" si="1"/>
        <v>0</v>
      </c>
      <c r="O40">
        <v>159</v>
      </c>
      <c r="P40">
        <f>IFERROR(VLOOKUP(O40,Capacity!$A$3:$D$532,4,), "0")</f>
        <v>22.619466719999998</v>
      </c>
      <c r="Q40" s="4">
        <f>IFERROR(VLOOKUP(O40,Capacity!$A$3:$F$532,6,), "0")</f>
        <v>0.3</v>
      </c>
      <c r="R40" s="5">
        <f t="shared" si="3"/>
        <v>22.619466719999998</v>
      </c>
      <c r="S40" s="5">
        <f t="shared" si="4"/>
        <v>0.3</v>
      </c>
      <c r="T40">
        <v>419</v>
      </c>
      <c r="U40">
        <v>0</v>
      </c>
      <c r="V40">
        <v>0</v>
      </c>
      <c r="W40">
        <v>1</v>
      </c>
      <c r="X40">
        <f t="shared" si="5"/>
        <v>0</v>
      </c>
      <c r="Y40">
        <f t="shared" si="6"/>
        <v>0</v>
      </c>
      <c r="Z40">
        <f t="shared" si="7"/>
        <v>0</v>
      </c>
      <c r="AA40">
        <f t="shared" si="8"/>
        <v>0</v>
      </c>
      <c r="AC40">
        <f t="shared" si="9"/>
        <v>0</v>
      </c>
      <c r="AD40">
        <f t="shared" si="2"/>
        <v>0</v>
      </c>
    </row>
    <row r="41" spans="1:30" x14ac:dyDescent="0.25">
      <c r="A41">
        <v>164</v>
      </c>
      <c r="B41">
        <f>IFERROR(VLOOKUP(A41,Capacity!$A$3:$D$532,4,), "0")</f>
        <v>22.619466719999998</v>
      </c>
      <c r="C41" s="4">
        <f>IFERROR(VLOOKUP(A41,Capacity!$A$3:$F$532,6,), "0")</f>
        <v>0.3</v>
      </c>
      <c r="D41">
        <v>417</v>
      </c>
      <c r="E41">
        <f>IFERROR(VLOOKUP(D41,Capacity!$A$3:$D$532,4,), "0")</f>
        <v>21.166480142499999</v>
      </c>
      <c r="F41" s="4">
        <f>IFERROR(VLOOKUP(D41,Capacity!$A$3:$F$532,6,), "0")</f>
        <v>0.17499999999999999</v>
      </c>
      <c r="G41">
        <v>170</v>
      </c>
      <c r="H41">
        <f>IFERROR(VLOOKUP(G41,Capacity!$A$3:$D$532,4,), "0")</f>
        <v>22.619466719999998</v>
      </c>
      <c r="I41" s="4">
        <f>IFERROR(VLOOKUP(G41,Capacity!$A$3:$F$532,6,), "0")</f>
        <v>0.3</v>
      </c>
      <c r="K41" t="str">
        <f>IFERROR(VLOOKUP(J41,Capacity!$A$3:$D$532,4,), "0")</f>
        <v>0</v>
      </c>
      <c r="L41" s="4" t="str">
        <f>IFERROR(VLOOKUP(J41,Capacity!$A$3:$F$532,6,), "0")</f>
        <v>0</v>
      </c>
      <c r="M41" s="5">
        <f t="shared" si="0"/>
        <v>43.785946862499998</v>
      </c>
      <c r="N41" s="5">
        <f t="shared" si="1"/>
        <v>0.47499999999999998</v>
      </c>
      <c r="O41">
        <v>159</v>
      </c>
      <c r="P41">
        <f>IFERROR(VLOOKUP(O41,Capacity!$A$3:$D$532,4,), "0")</f>
        <v>22.619466719999998</v>
      </c>
      <c r="Q41" s="4">
        <f>IFERROR(VLOOKUP(O41,Capacity!$A$3:$F$532,6,), "0")</f>
        <v>0.3</v>
      </c>
      <c r="R41" s="5">
        <f t="shared" si="3"/>
        <v>22.619466719999998</v>
      </c>
      <c r="S41" s="5">
        <f t="shared" si="4"/>
        <v>0.3</v>
      </c>
      <c r="T41">
        <v>164</v>
      </c>
      <c r="U41">
        <v>2</v>
      </c>
      <c r="V41">
        <v>2</v>
      </c>
      <c r="W41">
        <v>1</v>
      </c>
      <c r="X41">
        <f t="shared" si="5"/>
        <v>1.9357638888888888</v>
      </c>
      <c r="Y41">
        <f t="shared" si="6"/>
        <v>1.9357638888888888</v>
      </c>
      <c r="Z41">
        <f t="shared" si="7"/>
        <v>1.5833333333333333</v>
      </c>
      <c r="AA41">
        <f t="shared" si="8"/>
        <v>1.5833333333333333</v>
      </c>
      <c r="AC41">
        <f t="shared" si="9"/>
        <v>0.96788194444444442</v>
      </c>
      <c r="AD41">
        <f t="shared" si="2"/>
        <v>1.9357638888888888</v>
      </c>
    </row>
    <row r="42" spans="1:30" x14ac:dyDescent="0.25">
      <c r="A42">
        <v>172</v>
      </c>
      <c r="B42">
        <f>IFERROR(VLOOKUP(A42,Capacity!$A$3:$D$532,4,), "0")</f>
        <v>22.619466719999998</v>
      </c>
      <c r="C42" s="4">
        <f>IFERROR(VLOOKUP(A42,Capacity!$A$3:$F$532,6,), "0")</f>
        <v>0.3</v>
      </c>
      <c r="D42">
        <v>171</v>
      </c>
      <c r="E42">
        <f>IFERROR(VLOOKUP(D42,Capacity!$A$3:$D$532,4,), "0")</f>
        <v>291.57906318750003</v>
      </c>
      <c r="F42" s="4">
        <f>IFERROR(VLOOKUP(D42,Capacity!$A$3:$F$532,6,), "0")</f>
        <v>0.75</v>
      </c>
      <c r="G42">
        <v>175</v>
      </c>
      <c r="H42">
        <f>IFERROR(VLOOKUP(G42,Capacity!$A$3:$D$532,4,), "0")</f>
        <v>17.649467226800002</v>
      </c>
      <c r="I42" s="4">
        <f>IFERROR(VLOOKUP(G42,Capacity!$A$3:$F$532,6,), "0")</f>
        <v>0.26500000000000001</v>
      </c>
      <c r="K42" t="str">
        <f>IFERROR(VLOOKUP(J42,Capacity!$A$3:$D$532,4,), "0")</f>
        <v>0</v>
      </c>
      <c r="L42" s="4" t="str">
        <f>IFERROR(VLOOKUP(J42,Capacity!$A$3:$F$532,6,), "0")</f>
        <v>0</v>
      </c>
      <c r="M42" s="5">
        <f t="shared" si="0"/>
        <v>309.22853041430005</v>
      </c>
      <c r="N42" s="5">
        <f t="shared" si="1"/>
        <v>1.0150000000000001</v>
      </c>
      <c r="O42">
        <v>166</v>
      </c>
      <c r="P42">
        <f>IFERROR(VLOOKUP(O42,Capacity!$A$3:$D$532,4,), "0")</f>
        <v>47.432943172025006</v>
      </c>
      <c r="Q42" s="4">
        <f>IFERROR(VLOOKUP(O42,Capacity!$A$3:$F$532,6,), "0")</f>
        <v>0.26500000000000001</v>
      </c>
      <c r="R42" s="5">
        <f t="shared" si="3"/>
        <v>47.432943172025006</v>
      </c>
      <c r="S42" s="5">
        <f t="shared" si="4"/>
        <v>0.26500000000000001</v>
      </c>
      <c r="T42">
        <v>172</v>
      </c>
      <c r="U42">
        <v>2</v>
      </c>
      <c r="V42">
        <v>2</v>
      </c>
      <c r="W42">
        <v>1</v>
      </c>
      <c r="X42">
        <f t="shared" si="5"/>
        <v>6.5192777368425414</v>
      </c>
      <c r="Y42">
        <f t="shared" si="6"/>
        <v>13.670902777777782</v>
      </c>
      <c r="Z42">
        <f t="shared" si="7"/>
        <v>3.8301886792452833</v>
      </c>
      <c r="AA42">
        <f t="shared" si="8"/>
        <v>3.3833333333333337</v>
      </c>
      <c r="AC42">
        <f t="shared" si="9"/>
        <v>4.4142454326828755</v>
      </c>
      <c r="AD42">
        <f t="shared" si="2"/>
        <v>8.828490865365751</v>
      </c>
    </row>
    <row r="43" spans="1:30" x14ac:dyDescent="0.25">
      <c r="A43">
        <v>165</v>
      </c>
      <c r="B43">
        <f>IFERROR(VLOOKUP(A43,Capacity!$A$3:$D$532,4,), "0")</f>
        <v>15.874860106874999</v>
      </c>
      <c r="C43" s="4">
        <f>IFERROR(VLOOKUP(A43,Capacity!$A$3:$F$532,6,), "0")</f>
        <v>0.17499999999999999</v>
      </c>
      <c r="D43">
        <v>452</v>
      </c>
      <c r="E43">
        <f>IFERROR(VLOOKUP(D43,Capacity!$A$3:$D$532,4,), "0")</f>
        <v>15.874860106874999</v>
      </c>
      <c r="F43" s="4">
        <f>IFERROR(VLOOKUP(D43,Capacity!$A$3:$F$532,6,), "0")</f>
        <v>0.17499999999999999</v>
      </c>
      <c r="H43" t="str">
        <f>IFERROR(VLOOKUP(G43,Capacity!$A$3:$D$532,4,), "0")</f>
        <v>0</v>
      </c>
      <c r="I43" s="4" t="str">
        <f>IFERROR(VLOOKUP(G43,Capacity!$A$3:$F$532,6,), "0")</f>
        <v>0</v>
      </c>
      <c r="K43" t="str">
        <f>IFERROR(VLOOKUP(J43,Capacity!$A$3:$D$532,4,), "0")</f>
        <v>0</v>
      </c>
      <c r="L43" s="4" t="str">
        <f>IFERROR(VLOOKUP(J43,Capacity!$A$3:$F$532,6,), "0")</f>
        <v>0</v>
      </c>
      <c r="M43" s="5">
        <f t="shared" si="0"/>
        <v>15.874860106874999</v>
      </c>
      <c r="N43" s="5">
        <f t="shared" si="1"/>
        <v>0.17499999999999999</v>
      </c>
      <c r="O43">
        <v>166</v>
      </c>
      <c r="P43">
        <f>IFERROR(VLOOKUP(O43,Capacity!$A$3:$D$532,4,), "0")</f>
        <v>47.432943172025006</v>
      </c>
      <c r="Q43" s="4">
        <f>IFERROR(VLOOKUP(O43,Capacity!$A$3:$F$532,6,), "0")</f>
        <v>0.26500000000000001</v>
      </c>
      <c r="R43" s="5">
        <f t="shared" si="3"/>
        <v>47.432943172025006</v>
      </c>
      <c r="S43" s="5">
        <f t="shared" si="4"/>
        <v>0.26500000000000001</v>
      </c>
      <c r="T43">
        <v>165</v>
      </c>
      <c r="U43">
        <v>1</v>
      </c>
      <c r="V43">
        <v>1</v>
      </c>
      <c r="W43">
        <v>1</v>
      </c>
      <c r="X43">
        <f t="shared" si="5"/>
        <v>0.33468005662861067</v>
      </c>
      <c r="Y43">
        <f t="shared" si="6"/>
        <v>1</v>
      </c>
      <c r="Z43">
        <f t="shared" si="7"/>
        <v>0.660377358490566</v>
      </c>
      <c r="AA43">
        <f t="shared" si="8"/>
        <v>1</v>
      </c>
      <c r="AC43">
        <f t="shared" si="9"/>
        <v>0.25075676748629133</v>
      </c>
      <c r="AD43">
        <f t="shared" si="2"/>
        <v>0.25075676748629133</v>
      </c>
    </row>
    <row r="44" spans="1:30" x14ac:dyDescent="0.25">
      <c r="A44">
        <v>456</v>
      </c>
      <c r="B44">
        <f>IFERROR(VLOOKUP(A44,Capacity!$A$3:$D$532,4,), "0")</f>
        <v>19.242254674999998</v>
      </c>
      <c r="C44" s="4">
        <f>IFERROR(VLOOKUP(A44,Capacity!$A$3:$F$532,6,), "0")</f>
        <v>0.17499999999999999</v>
      </c>
      <c r="E44" t="str">
        <f>IFERROR(VLOOKUP(D44,Capacity!$A$3:$D$532,4,), "0")</f>
        <v>0</v>
      </c>
      <c r="F44" s="4" t="str">
        <f>IFERROR(VLOOKUP(D44,Capacity!$A$3:$F$532,6,), "0")</f>
        <v>0</v>
      </c>
      <c r="H44" t="str">
        <f>IFERROR(VLOOKUP(G44,Capacity!$A$3:$D$532,4,), "0")</f>
        <v>0</v>
      </c>
      <c r="I44" s="4" t="str">
        <f>IFERROR(VLOOKUP(G44,Capacity!$A$3:$F$532,6,), "0")</f>
        <v>0</v>
      </c>
      <c r="K44" t="str">
        <f>IFERROR(VLOOKUP(J44,Capacity!$A$3:$D$532,4,), "0")</f>
        <v>0</v>
      </c>
      <c r="L44" s="4" t="str">
        <f>IFERROR(VLOOKUP(J44,Capacity!$A$3:$F$532,6,), "0")</f>
        <v>0</v>
      </c>
      <c r="M44" s="5">
        <f t="shared" si="0"/>
        <v>0</v>
      </c>
      <c r="N44" s="5">
        <f t="shared" si="1"/>
        <v>0</v>
      </c>
      <c r="O44">
        <v>176</v>
      </c>
      <c r="P44">
        <f>IFERROR(VLOOKUP(O44,Capacity!$A$3:$D$532,4,), "0")</f>
        <v>19.242254674999998</v>
      </c>
      <c r="Q44" s="4">
        <f>IFERROR(VLOOKUP(O44,Capacity!$A$3:$F$532,6,), "0")</f>
        <v>0.17499999999999999</v>
      </c>
      <c r="R44" s="5">
        <f t="shared" si="3"/>
        <v>19.242254674999998</v>
      </c>
      <c r="S44" s="5">
        <f t="shared" si="4"/>
        <v>0.17499999999999999</v>
      </c>
      <c r="T44">
        <v>456</v>
      </c>
      <c r="U44">
        <v>0</v>
      </c>
      <c r="V44">
        <v>0</v>
      </c>
      <c r="W44">
        <v>1</v>
      </c>
      <c r="X44">
        <f t="shared" si="5"/>
        <v>0</v>
      </c>
      <c r="Y44">
        <f t="shared" si="6"/>
        <v>0</v>
      </c>
      <c r="Z44">
        <f t="shared" si="7"/>
        <v>0</v>
      </c>
      <c r="AA44">
        <f t="shared" si="8"/>
        <v>0</v>
      </c>
      <c r="AC44">
        <f t="shared" si="9"/>
        <v>0</v>
      </c>
      <c r="AD44">
        <f t="shared" si="2"/>
        <v>0</v>
      </c>
    </row>
    <row r="45" spans="1:30" x14ac:dyDescent="0.25">
      <c r="A45">
        <v>188</v>
      </c>
      <c r="B45">
        <f>IFERROR(VLOOKUP(A45,Capacity!$A$3:$D$532,4,), "0")</f>
        <v>40.212385280000007</v>
      </c>
      <c r="C45" s="4">
        <f>IFERROR(VLOOKUP(A45,Capacity!$A$3:$F$532,6,), "0")</f>
        <v>0.4</v>
      </c>
      <c r="D45">
        <v>187</v>
      </c>
      <c r="E45">
        <f>IFERROR(VLOOKUP(D45,Capacity!$A$3:$D$532,4,), "0")</f>
        <v>100.53096320000003</v>
      </c>
      <c r="F45" s="4">
        <f>IFERROR(VLOOKUP(D45,Capacity!$A$3:$F$532,6,), "0")</f>
        <v>0.4</v>
      </c>
      <c r="G45">
        <v>195</v>
      </c>
      <c r="H45">
        <f>IFERROR(VLOOKUP(G45,Capacity!$A$3:$D$532,4,), "0")</f>
        <v>20.734511160000007</v>
      </c>
      <c r="I45" s="4">
        <f>IFERROR(VLOOKUP(G45,Capacity!$A$3:$F$532,6,), "0")</f>
        <v>0.2</v>
      </c>
      <c r="K45" t="str">
        <f>IFERROR(VLOOKUP(J45,Capacity!$A$3:$D$532,4,), "0")</f>
        <v>0</v>
      </c>
      <c r="L45" s="4" t="str">
        <f>IFERROR(VLOOKUP(J45,Capacity!$A$3:$F$532,6,), "0")</f>
        <v>0</v>
      </c>
      <c r="M45" s="5">
        <f t="shared" si="0"/>
        <v>121.26547436000004</v>
      </c>
      <c r="N45" s="5">
        <f t="shared" si="1"/>
        <v>0.60000000000000009</v>
      </c>
      <c r="O45">
        <v>183</v>
      </c>
      <c r="P45">
        <f>IFERROR(VLOOKUP(O45,Capacity!$A$3:$D$532,4,), "0")</f>
        <v>40.212385280000007</v>
      </c>
      <c r="Q45" s="4">
        <f>IFERROR(VLOOKUP(O45,Capacity!$A$3:$F$532,6,), "0")</f>
        <v>0.4</v>
      </c>
      <c r="R45" s="5">
        <f t="shared" si="3"/>
        <v>40.212385280000007</v>
      </c>
      <c r="S45" s="5">
        <f t="shared" si="4"/>
        <v>0.4</v>
      </c>
      <c r="T45">
        <v>188</v>
      </c>
      <c r="U45">
        <v>2</v>
      </c>
      <c r="V45">
        <v>2</v>
      </c>
      <c r="W45">
        <v>1</v>
      </c>
      <c r="X45">
        <f t="shared" si="5"/>
        <v>3.0156250000000004</v>
      </c>
      <c r="Y45">
        <f t="shared" si="6"/>
        <v>3.0156250000000004</v>
      </c>
      <c r="Z45">
        <f t="shared" si="7"/>
        <v>1.5000000000000002</v>
      </c>
      <c r="AA45">
        <f t="shared" si="8"/>
        <v>1.5000000000000002</v>
      </c>
      <c r="AC45">
        <f t="shared" si="9"/>
        <v>1.5078125000000002</v>
      </c>
      <c r="AD45">
        <f t="shared" si="2"/>
        <v>3.0156250000000004</v>
      </c>
    </row>
    <row r="46" spans="1:30" x14ac:dyDescent="0.25">
      <c r="A46">
        <v>182</v>
      </c>
      <c r="B46">
        <f>IFERROR(VLOOKUP(A46,Capacity!$A$3:$D$532,4,), "0")</f>
        <v>19.242254674999998</v>
      </c>
      <c r="C46" s="4">
        <f>IFERROR(VLOOKUP(A46,Capacity!$A$3:$F$532,6,), "0")</f>
        <v>0.17499999999999999</v>
      </c>
      <c r="E46" t="str">
        <f>IFERROR(VLOOKUP(D46,Capacity!$A$3:$D$532,4,), "0")</f>
        <v>0</v>
      </c>
      <c r="F46" s="4" t="str">
        <f>IFERROR(VLOOKUP(D46,Capacity!$A$3:$F$532,6,), "0")</f>
        <v>0</v>
      </c>
      <c r="H46" t="str">
        <f>IFERROR(VLOOKUP(G46,Capacity!$A$3:$D$532,4,), "0")</f>
        <v>0</v>
      </c>
      <c r="I46" s="4" t="str">
        <f>IFERROR(VLOOKUP(G46,Capacity!$A$3:$F$532,6,), "0")</f>
        <v>0</v>
      </c>
      <c r="K46" t="str">
        <f>IFERROR(VLOOKUP(J46,Capacity!$A$3:$D$532,4,), "0")</f>
        <v>0</v>
      </c>
      <c r="L46" s="4" t="str">
        <f>IFERROR(VLOOKUP(J46,Capacity!$A$3:$F$532,6,), "0")</f>
        <v>0</v>
      </c>
      <c r="M46" s="5">
        <f t="shared" si="0"/>
        <v>0</v>
      </c>
      <c r="N46" s="5">
        <f t="shared" si="1"/>
        <v>0</v>
      </c>
      <c r="O46">
        <v>183</v>
      </c>
      <c r="P46">
        <f>IFERROR(VLOOKUP(O46,Capacity!$A$3:$D$532,4,), "0")</f>
        <v>40.212385280000007</v>
      </c>
      <c r="Q46" s="4">
        <f>IFERROR(VLOOKUP(O46,Capacity!$A$3:$F$532,6,), "0")</f>
        <v>0.4</v>
      </c>
      <c r="R46" s="5">
        <f t="shared" si="3"/>
        <v>40.212385280000007</v>
      </c>
      <c r="S46" s="5">
        <f t="shared" si="4"/>
        <v>0.4</v>
      </c>
      <c r="T46">
        <v>182</v>
      </c>
      <c r="U46">
        <v>0</v>
      </c>
      <c r="V46">
        <v>0</v>
      </c>
      <c r="W46">
        <v>1</v>
      </c>
      <c r="X46">
        <f t="shared" si="5"/>
        <v>0</v>
      </c>
      <c r="Y46">
        <f t="shared" si="6"/>
        <v>0</v>
      </c>
      <c r="Z46">
        <f t="shared" si="7"/>
        <v>0</v>
      </c>
      <c r="AA46">
        <f t="shared" si="8"/>
        <v>0</v>
      </c>
      <c r="AC46">
        <f t="shared" si="9"/>
        <v>0</v>
      </c>
      <c r="AD46">
        <f t="shared" si="2"/>
        <v>0</v>
      </c>
    </row>
    <row r="47" spans="1:30" x14ac:dyDescent="0.25">
      <c r="A47">
        <v>276</v>
      </c>
      <c r="B47">
        <f>IFERROR(VLOOKUP(A47,Capacity!$A$3:$D$532,4,), "0")</f>
        <v>24.052818343749998</v>
      </c>
      <c r="C47" s="4">
        <f>IFERROR(VLOOKUP(A47,Capacity!$A$3:$F$532,6,), "0")</f>
        <v>0.17499999999999999</v>
      </c>
      <c r="E47" t="str">
        <f>IFERROR(VLOOKUP(D47,Capacity!$A$3:$D$532,4,), "0")</f>
        <v>0</v>
      </c>
      <c r="F47" s="4" t="str">
        <f>IFERROR(VLOOKUP(D47,Capacity!$A$3:$F$532,6,), "0")</f>
        <v>0</v>
      </c>
      <c r="H47" t="str">
        <f>IFERROR(VLOOKUP(G47,Capacity!$A$3:$D$532,4,), "0")</f>
        <v>0</v>
      </c>
      <c r="I47" s="4" t="str">
        <f>IFERROR(VLOOKUP(G47,Capacity!$A$3:$F$532,6,), "0")</f>
        <v>0</v>
      </c>
      <c r="K47" t="str">
        <f>IFERROR(VLOOKUP(J47,Capacity!$A$3:$D$532,4,), "0")</f>
        <v>0</v>
      </c>
      <c r="L47" s="4" t="str">
        <f>IFERROR(VLOOKUP(J47,Capacity!$A$3:$F$532,6,), "0")</f>
        <v>0</v>
      </c>
      <c r="M47" s="5">
        <f t="shared" si="0"/>
        <v>0</v>
      </c>
      <c r="N47" s="5">
        <f t="shared" si="1"/>
        <v>0</v>
      </c>
      <c r="O47">
        <v>136</v>
      </c>
      <c r="P47">
        <f>IFERROR(VLOOKUP(O47,Capacity!$A$3:$D$532,4,), "0")</f>
        <v>150.2073961875</v>
      </c>
      <c r="Q47" s="4">
        <f>IFERROR(VLOOKUP(O47,Capacity!$A$3:$F$532,6,), "0")</f>
        <v>0.75</v>
      </c>
      <c r="R47" s="5">
        <f t="shared" si="3"/>
        <v>150.2073961875</v>
      </c>
      <c r="S47" s="5">
        <f t="shared" si="4"/>
        <v>0.75</v>
      </c>
      <c r="T47">
        <v>276</v>
      </c>
      <c r="U47">
        <v>0</v>
      </c>
      <c r="V47">
        <v>0</v>
      </c>
      <c r="W47">
        <v>1</v>
      </c>
      <c r="X47">
        <f t="shared" si="5"/>
        <v>0</v>
      </c>
      <c r="Y47">
        <f t="shared" si="6"/>
        <v>0</v>
      </c>
      <c r="Z47">
        <f t="shared" si="7"/>
        <v>0</v>
      </c>
      <c r="AA47">
        <f t="shared" si="8"/>
        <v>0</v>
      </c>
      <c r="AC47">
        <f t="shared" si="9"/>
        <v>0</v>
      </c>
      <c r="AD47">
        <f t="shared" si="2"/>
        <v>0</v>
      </c>
    </row>
    <row r="48" spans="1:30" x14ac:dyDescent="0.25">
      <c r="A48">
        <v>134</v>
      </c>
      <c r="B48">
        <f>IFERROR(VLOOKUP(A48,Capacity!$A$3:$D$532,4,), "0")</f>
        <v>273.90760481250004</v>
      </c>
      <c r="C48" s="4">
        <f>IFERROR(VLOOKUP(A48,Capacity!$A$3:$F$532,6,), "0")</f>
        <v>0.75</v>
      </c>
      <c r="D48">
        <v>133</v>
      </c>
      <c r="E48">
        <f>IFERROR(VLOOKUP(D48,Capacity!$A$3:$D$532,4,), "0")</f>
        <v>273.90760481250004</v>
      </c>
      <c r="F48" s="4">
        <f>IFERROR(VLOOKUP(D48,Capacity!$A$3:$F$532,6,), "0")</f>
        <v>0.75</v>
      </c>
      <c r="H48" t="str">
        <f>IFERROR(VLOOKUP(G48,Capacity!$A$3:$D$532,4,), "0")</f>
        <v>0</v>
      </c>
      <c r="I48" s="4" t="str">
        <f>IFERROR(VLOOKUP(G48,Capacity!$A$3:$F$532,6,), "0")</f>
        <v>0</v>
      </c>
      <c r="K48" t="str">
        <f>IFERROR(VLOOKUP(J48,Capacity!$A$3:$D$532,4,), "0")</f>
        <v>0</v>
      </c>
      <c r="L48" s="4" t="str">
        <f>IFERROR(VLOOKUP(J48,Capacity!$A$3:$F$532,6,), "0")</f>
        <v>0</v>
      </c>
      <c r="M48" s="5">
        <f t="shared" si="0"/>
        <v>273.90760481250004</v>
      </c>
      <c r="N48" s="5">
        <f t="shared" si="1"/>
        <v>0.75</v>
      </c>
      <c r="O48">
        <v>136</v>
      </c>
      <c r="P48">
        <f>IFERROR(VLOOKUP(O48,Capacity!$A$3:$D$532,4,), "0")</f>
        <v>150.2073961875</v>
      </c>
      <c r="Q48" s="4">
        <f>IFERROR(VLOOKUP(O48,Capacity!$A$3:$F$532,6,), "0")</f>
        <v>0.75</v>
      </c>
      <c r="R48" s="5">
        <f t="shared" si="3"/>
        <v>150.2073961875</v>
      </c>
      <c r="S48" s="5">
        <f t="shared" si="4"/>
        <v>0.75</v>
      </c>
      <c r="T48">
        <v>134</v>
      </c>
      <c r="U48">
        <v>1</v>
      </c>
      <c r="V48">
        <v>1</v>
      </c>
      <c r="W48">
        <v>1</v>
      </c>
      <c r="X48">
        <f t="shared" si="5"/>
        <v>1.8235294117647063</v>
      </c>
      <c r="Y48">
        <f t="shared" si="6"/>
        <v>1</v>
      </c>
      <c r="Z48">
        <f t="shared" si="7"/>
        <v>1</v>
      </c>
      <c r="AA48">
        <f t="shared" si="8"/>
        <v>1</v>
      </c>
      <c r="AC48">
        <f t="shared" si="9"/>
        <v>0.64583333333333337</v>
      </c>
      <c r="AD48">
        <f t="shared" si="2"/>
        <v>0.64583333333333337</v>
      </c>
    </row>
    <row r="49" spans="1:30" x14ac:dyDescent="0.25">
      <c r="A49">
        <v>128</v>
      </c>
      <c r="B49">
        <f>IFERROR(VLOOKUP(A49,Capacity!$A$3:$D$532,4,), "0")</f>
        <v>31.101766740000002</v>
      </c>
      <c r="C49" s="4">
        <f>IFERROR(VLOOKUP(A49,Capacity!$A$3:$F$532,6,), "0")</f>
        <v>0.3</v>
      </c>
      <c r="D49">
        <v>127</v>
      </c>
      <c r="E49">
        <f>IFERROR(VLOOKUP(D49,Capacity!$A$3:$D$532,4,), "0")</f>
        <v>45.238933439999997</v>
      </c>
      <c r="F49" s="4">
        <f>IFERROR(VLOOKUP(D49,Capacity!$A$3:$F$532,6,), "0")</f>
        <v>0.3</v>
      </c>
      <c r="G49">
        <v>129</v>
      </c>
      <c r="H49">
        <f>IFERROR(VLOOKUP(G49,Capacity!$A$3:$D$532,4,), "0")</f>
        <v>15.393803739999997</v>
      </c>
      <c r="I49" s="4">
        <f>IFERROR(VLOOKUP(G49,Capacity!$A$3:$F$532,6,), "0")</f>
        <v>0.17499999999999999</v>
      </c>
      <c r="K49" t="str">
        <f>IFERROR(VLOOKUP(J49,Capacity!$A$3:$D$532,4,), "0")</f>
        <v>0</v>
      </c>
      <c r="L49" s="4" t="str">
        <f>IFERROR(VLOOKUP(J49,Capacity!$A$3:$F$532,6,), "0")</f>
        <v>0</v>
      </c>
      <c r="M49" s="5">
        <f t="shared" si="0"/>
        <v>60.632737179999992</v>
      </c>
      <c r="N49" s="5">
        <f t="shared" si="1"/>
        <v>0.47499999999999998</v>
      </c>
      <c r="O49">
        <v>136</v>
      </c>
      <c r="P49">
        <f>IFERROR(VLOOKUP(O49,Capacity!$A$3:$D$532,4,), "0")</f>
        <v>150.2073961875</v>
      </c>
      <c r="Q49" s="4">
        <f>IFERROR(VLOOKUP(O49,Capacity!$A$3:$F$532,6,), "0")</f>
        <v>0.75</v>
      </c>
      <c r="R49" s="5">
        <f t="shared" si="3"/>
        <v>150.2073961875</v>
      </c>
      <c r="S49" s="5">
        <f t="shared" si="4"/>
        <v>0.75</v>
      </c>
      <c r="T49">
        <v>128</v>
      </c>
      <c r="U49">
        <v>2</v>
      </c>
      <c r="V49">
        <v>2</v>
      </c>
      <c r="W49">
        <v>1</v>
      </c>
      <c r="X49">
        <f t="shared" si="5"/>
        <v>0.40366013071895424</v>
      </c>
      <c r="Y49">
        <f t="shared" si="6"/>
        <v>1.9494949494949492</v>
      </c>
      <c r="Z49">
        <f t="shared" si="7"/>
        <v>0.6333333333333333</v>
      </c>
      <c r="AA49">
        <f t="shared" si="8"/>
        <v>1.5833333333333333</v>
      </c>
      <c r="AC49">
        <f t="shared" si="9"/>
        <v>0.3344162876326619</v>
      </c>
      <c r="AD49">
        <f t="shared" si="2"/>
        <v>0.6688325752653238</v>
      </c>
    </row>
    <row r="50" spans="1:30" x14ac:dyDescent="0.25">
      <c r="A50">
        <v>139</v>
      </c>
      <c r="B50">
        <f>IFERROR(VLOOKUP(A50,Capacity!$A$3:$D$532,4,), "0")</f>
        <v>48.066366779999996</v>
      </c>
      <c r="C50" s="4">
        <f>IFERROR(VLOOKUP(A50,Capacity!$A$3:$F$532,6,), "0")</f>
        <v>0.3</v>
      </c>
      <c r="D50">
        <v>140</v>
      </c>
      <c r="E50">
        <f>IFERROR(VLOOKUP(D50,Capacity!$A$3:$D$532,4,), "0")</f>
        <v>45.238933439999997</v>
      </c>
      <c r="F50" s="4">
        <f>IFERROR(VLOOKUP(D50,Capacity!$A$3:$F$532,6,), "0")</f>
        <v>0.3</v>
      </c>
      <c r="H50" t="str">
        <f>IFERROR(VLOOKUP(G50,Capacity!$A$3:$D$532,4,), "0")</f>
        <v>0</v>
      </c>
      <c r="I50" s="4" t="str">
        <f>IFERROR(VLOOKUP(G50,Capacity!$A$3:$F$532,6,), "0")</f>
        <v>0</v>
      </c>
      <c r="K50" t="str">
        <f>IFERROR(VLOOKUP(J50,Capacity!$A$3:$D$532,4,), "0")</f>
        <v>0</v>
      </c>
      <c r="L50" s="4" t="str">
        <f>IFERROR(VLOOKUP(J50,Capacity!$A$3:$F$532,6,), "0")</f>
        <v>0</v>
      </c>
      <c r="M50" s="5">
        <f t="shared" si="0"/>
        <v>45.238933439999997</v>
      </c>
      <c r="N50" s="5">
        <f t="shared" si="1"/>
        <v>0.3</v>
      </c>
      <c r="O50">
        <v>138</v>
      </c>
      <c r="P50">
        <f>IFERROR(VLOOKUP(O50,Capacity!$A$3:$D$532,4,), "0")</f>
        <v>48.066366779999996</v>
      </c>
      <c r="Q50" s="4">
        <f>IFERROR(VLOOKUP(O50,Capacity!$A$3:$F$532,6,), "0")</f>
        <v>0.3</v>
      </c>
      <c r="R50" s="5">
        <f t="shared" si="3"/>
        <v>48.066366779999996</v>
      </c>
      <c r="S50" s="5">
        <f t="shared" si="4"/>
        <v>0.3</v>
      </c>
      <c r="T50">
        <v>139</v>
      </c>
      <c r="U50">
        <v>1</v>
      </c>
      <c r="V50">
        <v>1</v>
      </c>
      <c r="W50">
        <v>1</v>
      </c>
      <c r="X50">
        <f t="shared" si="5"/>
        <v>0.94117647058823528</v>
      </c>
      <c r="Y50">
        <f t="shared" si="6"/>
        <v>0.94117647058823528</v>
      </c>
      <c r="Z50">
        <f t="shared" si="7"/>
        <v>1</v>
      </c>
      <c r="AA50">
        <f t="shared" si="8"/>
        <v>1</v>
      </c>
      <c r="AC50">
        <f t="shared" si="9"/>
        <v>0.47058823529411764</v>
      </c>
      <c r="AD50">
        <f t="shared" si="2"/>
        <v>0.47058823529411764</v>
      </c>
    </row>
    <row r="51" spans="1:30" x14ac:dyDescent="0.25">
      <c r="A51">
        <v>141</v>
      </c>
      <c r="B51">
        <f>IFERROR(VLOOKUP(A51,Capacity!$A$3:$D$532,4,), "0")</f>
        <v>17.799085574374995</v>
      </c>
      <c r="C51" s="4">
        <f>IFERROR(VLOOKUP(A51,Capacity!$A$3:$F$532,6,), "0")</f>
        <v>0.17499999999999999</v>
      </c>
      <c r="D51">
        <v>444</v>
      </c>
      <c r="E51">
        <f>IFERROR(VLOOKUP(D51,Capacity!$A$3:$D$532,4,), "0")</f>
        <v>7.6969018699999987</v>
      </c>
      <c r="F51" s="4">
        <f>IFERROR(VLOOKUP(D51,Capacity!$A$3:$F$532,6,), "0")</f>
        <v>0.17499999999999999</v>
      </c>
      <c r="G51">
        <v>91</v>
      </c>
      <c r="H51">
        <f>IFERROR(VLOOKUP(G51,Capacity!$A$3:$D$532,4,), "0")</f>
        <v>21.166480142499999</v>
      </c>
      <c r="I51" s="4">
        <f>IFERROR(VLOOKUP(G51,Capacity!$A$3:$F$532,6,), "0")</f>
        <v>0.17499999999999999</v>
      </c>
      <c r="K51" t="str">
        <f>IFERROR(VLOOKUP(J51,Capacity!$A$3:$D$532,4,), "0")</f>
        <v>0</v>
      </c>
      <c r="L51" s="4" t="str">
        <f>IFERROR(VLOOKUP(J51,Capacity!$A$3:$F$532,6,), "0")</f>
        <v>0</v>
      </c>
      <c r="M51" s="5">
        <f t="shared" si="0"/>
        <v>28.863382012499997</v>
      </c>
      <c r="N51" s="5">
        <f t="shared" si="1"/>
        <v>0.35</v>
      </c>
      <c r="O51">
        <v>142</v>
      </c>
      <c r="P51">
        <f>IFERROR(VLOOKUP(O51,Capacity!$A$3:$D$532,4,), "0")</f>
        <v>17.799085574374995</v>
      </c>
      <c r="Q51" s="4">
        <f>IFERROR(VLOOKUP(O51,Capacity!$A$3:$F$532,6,), "0")</f>
        <v>0.17499999999999999</v>
      </c>
      <c r="R51" s="5">
        <f t="shared" si="3"/>
        <v>17.799085574374995</v>
      </c>
      <c r="S51" s="5">
        <f t="shared" si="4"/>
        <v>0.17499999999999999</v>
      </c>
      <c r="T51">
        <v>141</v>
      </c>
      <c r="U51">
        <v>2</v>
      </c>
      <c r="V51">
        <v>2</v>
      </c>
      <c r="W51">
        <v>1</v>
      </c>
      <c r="X51">
        <f t="shared" si="5"/>
        <v>1.6216216216216219</v>
      </c>
      <c r="Y51">
        <f t="shared" si="6"/>
        <v>1.6216216216216219</v>
      </c>
      <c r="Z51">
        <f t="shared" si="7"/>
        <v>2</v>
      </c>
      <c r="AA51">
        <f t="shared" si="8"/>
        <v>2</v>
      </c>
      <c r="AC51">
        <f t="shared" si="9"/>
        <v>0.81081081081081097</v>
      </c>
      <c r="AD51">
        <f t="shared" si="2"/>
        <v>1.6216216216216219</v>
      </c>
    </row>
    <row r="52" spans="1:30" x14ac:dyDescent="0.25">
      <c r="A52">
        <v>445</v>
      </c>
      <c r="B52">
        <f>IFERROR(VLOOKUP(A52,Capacity!$A$3:$D$532,4,), "0")</f>
        <v>7.6969018699999987</v>
      </c>
      <c r="C52" s="4">
        <f>IFERROR(VLOOKUP(A52,Capacity!$A$3:$F$532,6,), "0")</f>
        <v>0.17499999999999999</v>
      </c>
      <c r="E52" t="str">
        <f>IFERROR(VLOOKUP(D52,Capacity!$A$3:$D$532,4,), "0")</f>
        <v>0</v>
      </c>
      <c r="F52" s="4" t="str">
        <f>IFERROR(VLOOKUP(D52,Capacity!$A$3:$F$532,6,), "0")</f>
        <v>0</v>
      </c>
      <c r="H52" t="str">
        <f>IFERROR(VLOOKUP(G52,Capacity!$A$3:$D$532,4,), "0")</f>
        <v>0</v>
      </c>
      <c r="I52" s="4" t="str">
        <f>IFERROR(VLOOKUP(G52,Capacity!$A$3:$F$532,6,), "0")</f>
        <v>0</v>
      </c>
      <c r="K52" t="str">
        <f>IFERROR(VLOOKUP(J52,Capacity!$A$3:$D$532,4,), "0")</f>
        <v>0</v>
      </c>
      <c r="L52" s="4" t="str">
        <f>IFERROR(VLOOKUP(J52,Capacity!$A$3:$F$532,6,), "0")</f>
        <v>0</v>
      </c>
      <c r="M52" s="5">
        <f t="shared" si="0"/>
        <v>0</v>
      </c>
      <c r="N52" s="5">
        <f t="shared" si="1"/>
        <v>0</v>
      </c>
      <c r="O52">
        <v>145</v>
      </c>
      <c r="P52">
        <f>IFERROR(VLOOKUP(O52,Capacity!$A$3:$D$532,4,), "0")</f>
        <v>23.876103760000007</v>
      </c>
      <c r="Q52" s="4">
        <f>IFERROR(VLOOKUP(O52,Capacity!$A$3:$F$532,6,), "0")</f>
        <v>0.2</v>
      </c>
      <c r="R52" s="5">
        <f t="shared" si="3"/>
        <v>23.876103760000007</v>
      </c>
      <c r="S52" s="5">
        <f t="shared" si="4"/>
        <v>0.2</v>
      </c>
      <c r="T52">
        <v>445</v>
      </c>
      <c r="U52">
        <v>0</v>
      </c>
      <c r="V52">
        <v>0</v>
      </c>
      <c r="W52">
        <v>1</v>
      </c>
      <c r="X52">
        <f t="shared" si="5"/>
        <v>0</v>
      </c>
      <c r="Y52">
        <f t="shared" si="6"/>
        <v>0</v>
      </c>
      <c r="Z52">
        <f t="shared" si="7"/>
        <v>0</v>
      </c>
      <c r="AA52">
        <f t="shared" si="8"/>
        <v>0</v>
      </c>
      <c r="AC52">
        <f t="shared" si="9"/>
        <v>0</v>
      </c>
      <c r="AD52">
        <f t="shared" si="2"/>
        <v>0</v>
      </c>
    </row>
    <row r="53" spans="1:30" x14ac:dyDescent="0.25">
      <c r="A53">
        <v>89</v>
      </c>
      <c r="B53">
        <f>IFERROR(VLOOKUP(A53,Capacity!$A$3:$D$532,4,), "0")</f>
        <v>27.646014880000006</v>
      </c>
      <c r="C53" s="4">
        <f>IFERROR(VLOOKUP(A53,Capacity!$A$3:$F$532,6,), "0")</f>
        <v>0.2</v>
      </c>
      <c r="D53">
        <v>421</v>
      </c>
      <c r="E53">
        <f>IFERROR(VLOOKUP(D53,Capacity!$A$3:$D$532,4,), "0")</f>
        <v>7.6969018699999987</v>
      </c>
      <c r="F53" s="4">
        <f>IFERROR(VLOOKUP(D53,Capacity!$A$3:$F$532,6,), "0")</f>
        <v>0.17499999999999999</v>
      </c>
      <c r="G53">
        <v>50</v>
      </c>
      <c r="H53">
        <f>IFERROR(VLOOKUP(G53,Capacity!$A$3:$D$532,4,), "0")</f>
        <v>28.274333400000007</v>
      </c>
      <c r="I53" s="4">
        <f>IFERROR(VLOOKUP(G53,Capacity!$A$3:$F$532,6,), "0")</f>
        <v>0.2</v>
      </c>
      <c r="K53" t="str">
        <f>IFERROR(VLOOKUP(J53,Capacity!$A$3:$D$532,4,), "0")</f>
        <v>0</v>
      </c>
      <c r="L53" s="4" t="str">
        <f>IFERROR(VLOOKUP(J53,Capacity!$A$3:$F$532,6,), "0")</f>
        <v>0</v>
      </c>
      <c r="M53" s="5">
        <f t="shared" si="0"/>
        <v>35.971235270000008</v>
      </c>
      <c r="N53" s="5">
        <f t="shared" si="1"/>
        <v>0.375</v>
      </c>
      <c r="O53">
        <v>145</v>
      </c>
      <c r="P53">
        <f>IFERROR(VLOOKUP(O53,Capacity!$A$3:$D$532,4,), "0")</f>
        <v>23.876103760000007</v>
      </c>
      <c r="Q53" s="4">
        <f>IFERROR(VLOOKUP(O53,Capacity!$A$3:$F$532,6,), "0")</f>
        <v>0.2</v>
      </c>
      <c r="R53" s="5">
        <f t="shared" si="3"/>
        <v>23.876103760000007</v>
      </c>
      <c r="S53" s="5">
        <f t="shared" si="4"/>
        <v>0.2</v>
      </c>
      <c r="T53">
        <v>89</v>
      </c>
      <c r="U53">
        <v>2</v>
      </c>
      <c r="V53">
        <v>2</v>
      </c>
      <c r="W53">
        <v>1</v>
      </c>
      <c r="X53">
        <f t="shared" si="5"/>
        <v>1.506578947368421</v>
      </c>
      <c r="Y53">
        <f t="shared" si="6"/>
        <v>1.3011363636363635</v>
      </c>
      <c r="Z53">
        <f t="shared" si="7"/>
        <v>1.875</v>
      </c>
      <c r="AA53">
        <f t="shared" si="8"/>
        <v>1.875</v>
      </c>
      <c r="AC53">
        <f t="shared" si="9"/>
        <v>0.69817073170731703</v>
      </c>
      <c r="AD53">
        <f t="shared" si="2"/>
        <v>1.3963414634146341</v>
      </c>
    </row>
    <row r="54" spans="1:30" x14ac:dyDescent="0.25">
      <c r="A54">
        <v>420</v>
      </c>
      <c r="B54">
        <f>IFERROR(VLOOKUP(A54,Capacity!$A$3:$D$532,4,), "0")</f>
        <v>7.6969018699999987</v>
      </c>
      <c r="C54" s="4">
        <f>IFERROR(VLOOKUP(A54,Capacity!$A$3:$F$532,6,), "0")</f>
        <v>0.17499999999999999</v>
      </c>
      <c r="E54" t="str">
        <f>IFERROR(VLOOKUP(D54,Capacity!$A$3:$D$532,4,), "0")</f>
        <v>0</v>
      </c>
      <c r="F54" s="4" t="str">
        <f>IFERROR(VLOOKUP(D54,Capacity!$A$3:$F$532,6,), "0")</f>
        <v>0</v>
      </c>
      <c r="H54" t="str">
        <f>IFERROR(VLOOKUP(G54,Capacity!$A$3:$D$532,4,), "0")</f>
        <v>0</v>
      </c>
      <c r="I54" s="4" t="str">
        <f>IFERROR(VLOOKUP(G54,Capacity!$A$3:$F$532,6,), "0")</f>
        <v>0</v>
      </c>
      <c r="K54" t="str">
        <f>IFERROR(VLOOKUP(J54,Capacity!$A$3:$D$532,4,), "0")</f>
        <v>0</v>
      </c>
      <c r="L54" s="4" t="str">
        <f>IFERROR(VLOOKUP(J54,Capacity!$A$3:$F$532,6,), "0")</f>
        <v>0</v>
      </c>
      <c r="M54" s="5">
        <f t="shared" si="0"/>
        <v>0</v>
      </c>
      <c r="N54" s="5">
        <f t="shared" si="1"/>
        <v>0</v>
      </c>
      <c r="O54">
        <v>88</v>
      </c>
      <c r="P54">
        <f>IFERROR(VLOOKUP(O54,Capacity!$A$3:$D$532,4,), "0")</f>
        <v>172.78759300000002</v>
      </c>
      <c r="Q54" s="4">
        <f>IFERROR(VLOOKUP(O54,Capacity!$A$3:$F$532,6,), "0")</f>
        <v>0.5</v>
      </c>
      <c r="R54" s="5">
        <f t="shared" si="3"/>
        <v>172.78759300000002</v>
      </c>
      <c r="S54" s="5">
        <f t="shared" si="4"/>
        <v>0.5</v>
      </c>
      <c r="T54">
        <v>420</v>
      </c>
      <c r="U54">
        <v>0</v>
      </c>
      <c r="V54">
        <v>0</v>
      </c>
      <c r="W54">
        <v>1</v>
      </c>
      <c r="X54">
        <f t="shared" si="5"/>
        <v>0</v>
      </c>
      <c r="Y54">
        <f t="shared" si="6"/>
        <v>0</v>
      </c>
      <c r="Z54">
        <f t="shared" si="7"/>
        <v>0</v>
      </c>
      <c r="AA54">
        <f t="shared" si="8"/>
        <v>0</v>
      </c>
      <c r="AC54">
        <f t="shared" si="9"/>
        <v>0</v>
      </c>
      <c r="AD54">
        <f t="shared" si="2"/>
        <v>0</v>
      </c>
    </row>
    <row r="55" spans="1:30" x14ac:dyDescent="0.25">
      <c r="A55">
        <v>49</v>
      </c>
      <c r="B55">
        <f>IFERROR(VLOOKUP(A55,Capacity!$A$3:$D$532,4,), "0")</f>
        <v>21.647536509374998</v>
      </c>
      <c r="C55" s="4">
        <f>IFERROR(VLOOKUP(A55,Capacity!$A$3:$F$532,6,), "0")</f>
        <v>0.17499999999999999</v>
      </c>
      <c r="D55">
        <v>375</v>
      </c>
      <c r="E55">
        <f>IFERROR(VLOOKUP(D55,Capacity!$A$3:$D$532,4,), "0")</f>
        <v>7.6969018699999987</v>
      </c>
      <c r="F55" s="4">
        <f>IFERROR(VLOOKUP(D55,Capacity!$A$3:$F$532,6,), "0")</f>
        <v>0.17499999999999999</v>
      </c>
      <c r="G55">
        <v>22</v>
      </c>
      <c r="H55">
        <f>IFERROR(VLOOKUP(G55,Capacity!$A$3:$D$532,4,), "0")</f>
        <v>24.052818343749998</v>
      </c>
      <c r="I55" s="4">
        <f>IFERROR(VLOOKUP(G55,Capacity!$A$3:$F$532,6,), "0")</f>
        <v>0.17499999999999999</v>
      </c>
      <c r="K55" t="str">
        <f>IFERROR(VLOOKUP(J55,Capacity!$A$3:$D$532,4,), "0")</f>
        <v>0</v>
      </c>
      <c r="L55" s="4" t="str">
        <f>IFERROR(VLOOKUP(J55,Capacity!$A$3:$F$532,6,), "0")</f>
        <v>0</v>
      </c>
      <c r="M55" s="5">
        <f t="shared" si="0"/>
        <v>31.749720213749995</v>
      </c>
      <c r="N55" s="5">
        <f t="shared" si="1"/>
        <v>0.35</v>
      </c>
      <c r="O55">
        <v>88</v>
      </c>
      <c r="P55">
        <f>IFERROR(VLOOKUP(O55,Capacity!$A$3:$D$532,4,), "0")</f>
        <v>172.78759300000002</v>
      </c>
      <c r="Q55" s="4">
        <f>IFERROR(VLOOKUP(O55,Capacity!$A$3:$F$532,6,), "0")</f>
        <v>0.5</v>
      </c>
      <c r="R55" s="5">
        <f t="shared" si="3"/>
        <v>172.78759300000002</v>
      </c>
      <c r="S55" s="5">
        <f t="shared" si="4"/>
        <v>0.5</v>
      </c>
      <c r="T55">
        <v>49</v>
      </c>
      <c r="U55">
        <v>2</v>
      </c>
      <c r="V55">
        <v>2</v>
      </c>
      <c r="W55">
        <v>1</v>
      </c>
      <c r="X55">
        <f t="shared" si="5"/>
        <v>0.18374999999999997</v>
      </c>
      <c r="Y55">
        <f t="shared" si="6"/>
        <v>1.4666666666666666</v>
      </c>
      <c r="Z55">
        <f t="shared" si="7"/>
        <v>0.7</v>
      </c>
      <c r="AA55">
        <f t="shared" si="8"/>
        <v>2</v>
      </c>
      <c r="AC55">
        <f t="shared" si="9"/>
        <v>0.16329209795506183</v>
      </c>
      <c r="AD55">
        <f t="shared" si="2"/>
        <v>0.32658419591012366</v>
      </c>
    </row>
    <row r="56" spans="1:30" x14ac:dyDescent="0.25">
      <c r="A56">
        <v>374</v>
      </c>
      <c r="B56">
        <f>IFERROR(VLOOKUP(A56,Capacity!$A$3:$D$532,4,), "0")</f>
        <v>7.6969018699999987</v>
      </c>
      <c r="C56" s="4">
        <f>IFERROR(VLOOKUP(A56,Capacity!$A$3:$F$532,6,), "0")</f>
        <v>0.17499999999999999</v>
      </c>
      <c r="E56" t="str">
        <f>IFERROR(VLOOKUP(D56,Capacity!$A$3:$D$532,4,), "0")</f>
        <v>0</v>
      </c>
      <c r="F56" s="4" t="str">
        <f>IFERROR(VLOOKUP(D56,Capacity!$A$3:$F$532,6,), "0")</f>
        <v>0</v>
      </c>
      <c r="H56" t="str">
        <f>IFERROR(VLOOKUP(G56,Capacity!$A$3:$D$532,4,), "0")</f>
        <v>0</v>
      </c>
      <c r="I56" s="4" t="str">
        <f>IFERROR(VLOOKUP(G56,Capacity!$A$3:$F$532,6,), "0")</f>
        <v>0</v>
      </c>
      <c r="K56" t="str">
        <f>IFERROR(VLOOKUP(J56,Capacity!$A$3:$D$532,4,), "0")</f>
        <v>0</v>
      </c>
      <c r="L56" s="4" t="str">
        <f>IFERROR(VLOOKUP(J56,Capacity!$A$3:$F$532,6,), "0")</f>
        <v>0</v>
      </c>
      <c r="M56" s="5">
        <f t="shared" si="0"/>
        <v>0</v>
      </c>
      <c r="N56" s="5">
        <f t="shared" si="1"/>
        <v>0</v>
      </c>
      <c r="O56">
        <v>48</v>
      </c>
      <c r="P56">
        <f>IFERROR(VLOOKUP(O56,Capacity!$A$3:$D$532,4,), "0")</f>
        <v>397.6078134375</v>
      </c>
      <c r="Q56" s="4">
        <f>IFERROR(VLOOKUP(O56,Capacity!$A$3:$F$532,6,), "0")</f>
        <v>0.75</v>
      </c>
      <c r="R56" s="5">
        <f t="shared" si="3"/>
        <v>397.6078134375</v>
      </c>
      <c r="S56" s="5">
        <f t="shared" si="4"/>
        <v>0.75</v>
      </c>
      <c r="T56">
        <v>374</v>
      </c>
      <c r="U56">
        <v>0</v>
      </c>
      <c r="V56">
        <v>0</v>
      </c>
      <c r="W56">
        <v>1</v>
      </c>
      <c r="X56">
        <f t="shared" si="5"/>
        <v>0</v>
      </c>
      <c r="Y56">
        <f t="shared" si="6"/>
        <v>0</v>
      </c>
      <c r="Z56">
        <f t="shared" si="7"/>
        <v>0</v>
      </c>
      <c r="AA56">
        <f t="shared" si="8"/>
        <v>0</v>
      </c>
      <c r="AC56">
        <f t="shared" si="9"/>
        <v>0</v>
      </c>
      <c r="AD56">
        <f t="shared" si="2"/>
        <v>0</v>
      </c>
    </row>
    <row r="57" spans="1:30" x14ac:dyDescent="0.25">
      <c r="A57">
        <v>47</v>
      </c>
      <c r="B57">
        <f>IFERROR(VLOOKUP(A57,Capacity!$A$3:$D$532,4,), "0")</f>
        <v>141.371667</v>
      </c>
      <c r="C57" s="4">
        <f>IFERROR(VLOOKUP(A57,Capacity!$A$3:$F$532,6,), "0")</f>
        <v>0.75</v>
      </c>
      <c r="D57">
        <v>25</v>
      </c>
      <c r="E57">
        <f>IFERROR(VLOOKUP(D57,Capacity!$A$3:$D$532,4,), "0")</f>
        <v>424.11500100000001</v>
      </c>
      <c r="F57" s="4">
        <f>IFERROR(VLOOKUP(D57,Capacity!$A$3:$F$532,6,), "0")</f>
        <v>0.75</v>
      </c>
      <c r="G57">
        <v>45</v>
      </c>
      <c r="H57">
        <f>IFERROR(VLOOKUP(G57,Capacity!$A$3:$D$532,4,), "0")</f>
        <v>40.212385280000007</v>
      </c>
      <c r="I57" s="4">
        <f>IFERROR(VLOOKUP(G57,Capacity!$A$3:$F$532,6,), "0")</f>
        <v>0.4</v>
      </c>
      <c r="J57">
        <v>418</v>
      </c>
      <c r="K57">
        <f>IFERROR(VLOOKUP(J57,Capacity!$A$3:$D$532,4,), "0")</f>
        <v>21.647536509374998</v>
      </c>
      <c r="L57" s="4">
        <f>IFERROR(VLOOKUP(J57,Capacity!$A$3:$F$532,6,), "0")</f>
        <v>0.17499999999999999</v>
      </c>
      <c r="M57" s="5">
        <f t="shared" si="0"/>
        <v>485.97492278937506</v>
      </c>
      <c r="N57" s="5">
        <f t="shared" si="1"/>
        <v>1.325</v>
      </c>
      <c r="O57">
        <v>48</v>
      </c>
      <c r="P57">
        <f>IFERROR(VLOOKUP(O57,Capacity!$A$3:$D$532,4,), "0")</f>
        <v>397.6078134375</v>
      </c>
      <c r="Q57" s="4">
        <f>IFERROR(VLOOKUP(O57,Capacity!$A$3:$F$532,6,), "0")</f>
        <v>0.75</v>
      </c>
      <c r="R57" s="5">
        <f t="shared" si="3"/>
        <v>397.6078134375</v>
      </c>
      <c r="S57" s="5">
        <f t="shared" si="4"/>
        <v>0.75</v>
      </c>
      <c r="T57">
        <v>47</v>
      </c>
      <c r="U57">
        <v>3</v>
      </c>
      <c r="V57">
        <v>3</v>
      </c>
      <c r="W57">
        <v>1</v>
      </c>
      <c r="X57">
        <f t="shared" si="5"/>
        <v>1.222246913580247</v>
      </c>
      <c r="Y57">
        <f t="shared" si="6"/>
        <v>3.4375694444444447</v>
      </c>
      <c r="Z57">
        <f t="shared" si="7"/>
        <v>1.7666666666666666</v>
      </c>
      <c r="AA57">
        <f t="shared" si="8"/>
        <v>1.7666666666666666</v>
      </c>
      <c r="AC57">
        <f t="shared" si="9"/>
        <v>0.90165755919854296</v>
      </c>
      <c r="AD57">
        <f t="shared" si="2"/>
        <v>2.7049726775956291</v>
      </c>
    </row>
    <row r="58" spans="1:30" x14ac:dyDescent="0.25">
      <c r="A58">
        <v>23</v>
      </c>
      <c r="B58">
        <f>IFERROR(VLOOKUP(A58,Capacity!$A$3:$D$532,4,), "0")</f>
        <v>125.66370400000002</v>
      </c>
      <c r="C58" s="4">
        <f>IFERROR(VLOOKUP(A58,Capacity!$A$3:$F$532,6,), "0")</f>
        <v>0.4</v>
      </c>
      <c r="D58">
        <v>348</v>
      </c>
      <c r="E58">
        <f>IFERROR(VLOOKUP(D58,Capacity!$A$3:$D$532,4,), "0")</f>
        <v>108.07078544000002</v>
      </c>
      <c r="F58" s="4">
        <f>IFERROR(VLOOKUP(D58,Capacity!$A$3:$F$532,6,), "0")</f>
        <v>0.4</v>
      </c>
      <c r="G58">
        <v>365</v>
      </c>
      <c r="H58">
        <f>IFERROR(VLOOKUP(G58,Capacity!$A$3:$D$532,4,), "0")</f>
        <v>3.8484509349999994</v>
      </c>
      <c r="I58" s="4">
        <f>IFERROR(VLOOKUP(G58,Capacity!$A$3:$F$532,6,), "0")</f>
        <v>0.17499999999999999</v>
      </c>
      <c r="K58" t="str">
        <f>IFERROR(VLOOKUP(J58,Capacity!$A$3:$D$532,4,), "0")</f>
        <v>0</v>
      </c>
      <c r="L58" s="4" t="str">
        <f>IFERROR(VLOOKUP(J58,Capacity!$A$3:$F$532,6,), "0")</f>
        <v>0</v>
      </c>
      <c r="M58" s="5">
        <f t="shared" si="0"/>
        <v>111.91923637500003</v>
      </c>
      <c r="N58" s="5">
        <f t="shared" si="1"/>
        <v>0.57499999999999996</v>
      </c>
      <c r="O58">
        <v>48</v>
      </c>
      <c r="P58">
        <f>IFERROR(VLOOKUP(O58,Capacity!$A$3:$D$532,4,), "0")</f>
        <v>397.6078134375</v>
      </c>
      <c r="Q58" s="4">
        <f>IFERROR(VLOOKUP(O58,Capacity!$A$3:$F$532,6,), "0")</f>
        <v>0.75</v>
      </c>
      <c r="R58" s="5">
        <f t="shared" si="3"/>
        <v>397.6078134375</v>
      </c>
      <c r="S58" s="5">
        <f t="shared" si="4"/>
        <v>0.75</v>
      </c>
      <c r="T58">
        <v>23</v>
      </c>
      <c r="U58">
        <v>2</v>
      </c>
      <c r="V58">
        <v>2</v>
      </c>
      <c r="W58">
        <v>1</v>
      </c>
      <c r="X58">
        <f t="shared" si="5"/>
        <v>0.28148148148148155</v>
      </c>
      <c r="Y58">
        <f t="shared" si="6"/>
        <v>0.890625</v>
      </c>
      <c r="Z58">
        <f t="shared" si="7"/>
        <v>0.76666666666666661</v>
      </c>
      <c r="AA58">
        <f t="shared" si="8"/>
        <v>1.4374999999999998</v>
      </c>
      <c r="AC58">
        <f t="shared" si="9"/>
        <v>0.21388367729831148</v>
      </c>
      <c r="AD58">
        <f t="shared" si="2"/>
        <v>0.42776735459662296</v>
      </c>
    </row>
    <row r="59" spans="1:30" x14ac:dyDescent="0.25">
      <c r="A59">
        <v>85</v>
      </c>
      <c r="B59">
        <f>IFERROR(VLOOKUP(A59,Capacity!$A$3:$D$532,4,), "0")</f>
        <v>90.477866879999993</v>
      </c>
      <c r="C59" s="4">
        <f>IFERROR(VLOOKUP(A59,Capacity!$A$3:$F$532,6,), "0")</f>
        <v>0.6</v>
      </c>
      <c r="D59">
        <v>84</v>
      </c>
      <c r="E59">
        <f>IFERROR(VLOOKUP(D59,Capacity!$A$3:$D$532,4,), "0")</f>
        <v>90.477866879999993</v>
      </c>
      <c r="F59" s="4">
        <f>IFERROR(VLOOKUP(D59,Capacity!$A$3:$F$532,6,), "0")</f>
        <v>0.6</v>
      </c>
      <c r="H59" t="str">
        <f>IFERROR(VLOOKUP(G59,Capacity!$A$3:$D$532,4,), "0")</f>
        <v>0</v>
      </c>
      <c r="I59" s="4" t="str">
        <f>IFERROR(VLOOKUP(G59,Capacity!$A$3:$F$532,6,), "0")</f>
        <v>0</v>
      </c>
      <c r="K59" t="str">
        <f>IFERROR(VLOOKUP(J59,Capacity!$A$3:$D$532,4,), "0")</f>
        <v>0</v>
      </c>
      <c r="L59" s="4" t="str">
        <f>IFERROR(VLOOKUP(J59,Capacity!$A$3:$F$532,6,), "0")</f>
        <v>0</v>
      </c>
      <c r="M59" s="5">
        <f t="shared" si="0"/>
        <v>90.477866879999993</v>
      </c>
      <c r="N59" s="5">
        <f t="shared" si="1"/>
        <v>0.6</v>
      </c>
      <c r="O59">
        <v>86</v>
      </c>
      <c r="P59">
        <f>IFERROR(VLOOKUP(O59,Capacity!$A$3:$D$532,4,), "0")</f>
        <v>90.477866879999993</v>
      </c>
      <c r="Q59" s="4">
        <f>IFERROR(VLOOKUP(O59,Capacity!$A$3:$F$532,6,), "0")</f>
        <v>0.6</v>
      </c>
      <c r="R59" s="5">
        <f t="shared" si="3"/>
        <v>90.477866879999993</v>
      </c>
      <c r="S59" s="5">
        <f t="shared" si="4"/>
        <v>0.6</v>
      </c>
      <c r="T59">
        <v>85</v>
      </c>
      <c r="U59">
        <v>1</v>
      </c>
      <c r="V59">
        <v>1</v>
      </c>
      <c r="W59">
        <v>1</v>
      </c>
      <c r="X59">
        <f t="shared" si="5"/>
        <v>1</v>
      </c>
      <c r="Y59">
        <f t="shared" si="6"/>
        <v>1</v>
      </c>
      <c r="Z59">
        <f t="shared" si="7"/>
        <v>1</v>
      </c>
      <c r="AA59">
        <f t="shared" si="8"/>
        <v>1</v>
      </c>
      <c r="AC59">
        <f t="shared" si="9"/>
        <v>0.5</v>
      </c>
      <c r="AD59">
        <f t="shared" si="2"/>
        <v>0.5</v>
      </c>
    </row>
    <row r="60" spans="1:30" x14ac:dyDescent="0.25">
      <c r="A60">
        <v>417</v>
      </c>
      <c r="B60">
        <f>IFERROR(VLOOKUP(A60,Capacity!$A$3:$D$532,4,), "0")</f>
        <v>21.166480142499999</v>
      </c>
      <c r="C60" s="4">
        <f>IFERROR(VLOOKUP(A60,Capacity!$A$3:$F$532,6,), "0")</f>
        <v>0.17499999999999999</v>
      </c>
      <c r="E60" t="str">
        <f>IFERROR(VLOOKUP(D60,Capacity!$A$3:$D$532,4,), "0")</f>
        <v>0</v>
      </c>
      <c r="F60" s="4" t="str">
        <f>IFERROR(VLOOKUP(D60,Capacity!$A$3:$F$532,6,), "0")</f>
        <v>0</v>
      </c>
      <c r="H60" t="str">
        <f>IFERROR(VLOOKUP(G60,Capacity!$A$3:$D$532,4,), "0")</f>
        <v>0</v>
      </c>
      <c r="I60" s="4" t="str">
        <f>IFERROR(VLOOKUP(G60,Capacity!$A$3:$F$532,6,), "0")</f>
        <v>0</v>
      </c>
      <c r="K60" t="str">
        <f>IFERROR(VLOOKUP(J60,Capacity!$A$3:$D$532,4,), "0")</f>
        <v>0</v>
      </c>
      <c r="L60" s="4" t="str">
        <f>IFERROR(VLOOKUP(J60,Capacity!$A$3:$F$532,6,), "0")</f>
        <v>0</v>
      </c>
      <c r="M60" s="5">
        <f t="shared" si="0"/>
        <v>0</v>
      </c>
      <c r="N60" s="5">
        <f t="shared" si="1"/>
        <v>0</v>
      </c>
      <c r="O60">
        <v>164</v>
      </c>
      <c r="P60">
        <f>IFERROR(VLOOKUP(O60,Capacity!$A$3:$D$532,4,), "0")</f>
        <v>22.619466719999998</v>
      </c>
      <c r="Q60" s="4">
        <f>IFERROR(VLOOKUP(O60,Capacity!$A$3:$F$532,6,), "0")</f>
        <v>0.3</v>
      </c>
      <c r="R60" s="5">
        <f t="shared" si="3"/>
        <v>22.619466719999998</v>
      </c>
      <c r="S60" s="5">
        <f t="shared" si="4"/>
        <v>0.3</v>
      </c>
      <c r="T60">
        <v>417</v>
      </c>
      <c r="U60">
        <v>0</v>
      </c>
      <c r="V60">
        <v>0</v>
      </c>
      <c r="W60">
        <v>1</v>
      </c>
      <c r="X60">
        <f t="shared" si="5"/>
        <v>0</v>
      </c>
      <c r="Y60">
        <f t="shared" si="6"/>
        <v>0</v>
      </c>
      <c r="Z60">
        <f t="shared" si="7"/>
        <v>0</v>
      </c>
      <c r="AA60">
        <f t="shared" si="8"/>
        <v>0</v>
      </c>
      <c r="AC60">
        <f t="shared" si="9"/>
        <v>0</v>
      </c>
      <c r="AD60">
        <f t="shared" si="2"/>
        <v>0</v>
      </c>
    </row>
    <row r="61" spans="1:30" x14ac:dyDescent="0.25">
      <c r="A61">
        <v>170</v>
      </c>
      <c r="B61">
        <f>IFERROR(VLOOKUP(A61,Capacity!$A$3:$D$532,4,), "0")</f>
        <v>22.619466719999998</v>
      </c>
      <c r="C61" s="4">
        <f>IFERROR(VLOOKUP(A61,Capacity!$A$3:$F$532,6,), "0")</f>
        <v>0.3</v>
      </c>
      <c r="D61">
        <v>415</v>
      </c>
      <c r="E61">
        <f>IFERROR(VLOOKUP(D61,Capacity!$A$3:$D$532,4,), "0")</f>
        <v>21.166480142499999</v>
      </c>
      <c r="F61" s="4">
        <f>IFERROR(VLOOKUP(D61,Capacity!$A$3:$F$532,6,), "0")</f>
        <v>0.17499999999999999</v>
      </c>
      <c r="G61">
        <v>173</v>
      </c>
      <c r="H61">
        <f>IFERROR(VLOOKUP(G61,Capacity!$A$3:$D$532,4,), "0")</f>
        <v>22.619466719999998</v>
      </c>
      <c r="I61" s="4">
        <f>IFERROR(VLOOKUP(G61,Capacity!$A$3:$F$532,6,), "0")</f>
        <v>0.3</v>
      </c>
      <c r="K61" t="str">
        <f>IFERROR(VLOOKUP(J61,Capacity!$A$3:$D$532,4,), "0")</f>
        <v>0</v>
      </c>
      <c r="L61" s="4" t="str">
        <f>IFERROR(VLOOKUP(J61,Capacity!$A$3:$F$532,6,), "0")</f>
        <v>0</v>
      </c>
      <c r="M61" s="5">
        <f t="shared" si="0"/>
        <v>43.785946862499998</v>
      </c>
      <c r="N61" s="5">
        <f t="shared" si="1"/>
        <v>0.47499999999999998</v>
      </c>
      <c r="O61">
        <v>164</v>
      </c>
      <c r="P61">
        <f>IFERROR(VLOOKUP(O61,Capacity!$A$3:$D$532,4,), "0")</f>
        <v>22.619466719999998</v>
      </c>
      <c r="Q61" s="4">
        <f>IFERROR(VLOOKUP(O61,Capacity!$A$3:$F$532,6,), "0")</f>
        <v>0.3</v>
      </c>
      <c r="R61" s="5">
        <f t="shared" si="3"/>
        <v>22.619466719999998</v>
      </c>
      <c r="S61" s="5">
        <f t="shared" si="4"/>
        <v>0.3</v>
      </c>
      <c r="T61">
        <v>170</v>
      </c>
      <c r="U61">
        <v>2</v>
      </c>
      <c r="V61">
        <v>2</v>
      </c>
      <c r="W61">
        <v>1</v>
      </c>
      <c r="X61">
        <f t="shared" si="5"/>
        <v>1.9357638888888888</v>
      </c>
      <c r="Y61">
        <f t="shared" si="6"/>
        <v>1.9357638888888888</v>
      </c>
      <c r="Z61">
        <f t="shared" si="7"/>
        <v>1.5833333333333333</v>
      </c>
      <c r="AA61">
        <f t="shared" si="8"/>
        <v>1.5833333333333333</v>
      </c>
      <c r="AC61">
        <f t="shared" si="9"/>
        <v>0.96788194444444442</v>
      </c>
      <c r="AD61">
        <f t="shared" si="2"/>
        <v>1.9357638888888888</v>
      </c>
    </row>
    <row r="62" spans="1:30" x14ac:dyDescent="0.25">
      <c r="A62">
        <v>452</v>
      </c>
      <c r="B62">
        <f>IFERROR(VLOOKUP(A62,Capacity!$A$3:$D$532,4,), "0")</f>
        <v>15.874860106874999</v>
      </c>
      <c r="C62" s="4">
        <f>IFERROR(VLOOKUP(A62,Capacity!$A$3:$F$532,6,), "0")</f>
        <v>0.17499999999999999</v>
      </c>
      <c r="E62" t="str">
        <f>IFERROR(VLOOKUP(D62,Capacity!$A$3:$D$532,4,), "0")</f>
        <v>0</v>
      </c>
      <c r="F62" s="4" t="str">
        <f>IFERROR(VLOOKUP(D62,Capacity!$A$3:$F$532,6,), "0")</f>
        <v>0</v>
      </c>
      <c r="H62" t="str">
        <f>IFERROR(VLOOKUP(G62,Capacity!$A$3:$D$532,4,), "0")</f>
        <v>0</v>
      </c>
      <c r="I62" s="4" t="str">
        <f>IFERROR(VLOOKUP(G62,Capacity!$A$3:$F$532,6,), "0")</f>
        <v>0</v>
      </c>
      <c r="K62" t="str">
        <f>IFERROR(VLOOKUP(J62,Capacity!$A$3:$D$532,4,), "0")</f>
        <v>0</v>
      </c>
      <c r="L62" s="4" t="str">
        <f>IFERROR(VLOOKUP(J62,Capacity!$A$3:$F$532,6,), "0")</f>
        <v>0</v>
      </c>
      <c r="M62" s="5">
        <f t="shared" si="0"/>
        <v>0</v>
      </c>
      <c r="N62" s="5">
        <f t="shared" si="1"/>
        <v>0</v>
      </c>
      <c r="O62">
        <v>165</v>
      </c>
      <c r="P62">
        <f>IFERROR(VLOOKUP(O62,Capacity!$A$3:$D$532,4,), "0")</f>
        <v>15.874860106874999</v>
      </c>
      <c r="Q62" s="4">
        <f>IFERROR(VLOOKUP(O62,Capacity!$A$3:$F$532,6,), "0")</f>
        <v>0.17499999999999999</v>
      </c>
      <c r="R62" s="5">
        <f t="shared" si="3"/>
        <v>15.874860106874999</v>
      </c>
      <c r="S62" s="5">
        <f t="shared" si="4"/>
        <v>0.17499999999999999</v>
      </c>
      <c r="T62">
        <v>452</v>
      </c>
      <c r="U62">
        <v>0</v>
      </c>
      <c r="V62">
        <v>0</v>
      </c>
      <c r="W62">
        <v>1</v>
      </c>
      <c r="X62">
        <f t="shared" si="5"/>
        <v>0</v>
      </c>
      <c r="Y62">
        <f t="shared" si="6"/>
        <v>0</v>
      </c>
      <c r="Z62">
        <f t="shared" si="7"/>
        <v>0</v>
      </c>
      <c r="AA62">
        <f t="shared" si="8"/>
        <v>0</v>
      </c>
      <c r="AC62">
        <f t="shared" si="9"/>
        <v>0</v>
      </c>
      <c r="AD62">
        <f t="shared" si="2"/>
        <v>0</v>
      </c>
    </row>
    <row r="63" spans="1:30" x14ac:dyDescent="0.25">
      <c r="A63">
        <v>175</v>
      </c>
      <c r="B63">
        <f>IFERROR(VLOOKUP(A63,Capacity!$A$3:$D$532,4,), "0")</f>
        <v>17.649467226800002</v>
      </c>
      <c r="C63" s="4">
        <f>IFERROR(VLOOKUP(A63,Capacity!$A$3:$F$532,6,), "0")</f>
        <v>0.26500000000000001</v>
      </c>
      <c r="D63">
        <v>174</v>
      </c>
      <c r="E63">
        <f>IFERROR(VLOOKUP(D63,Capacity!$A$3:$D$532,4,), "0")</f>
        <v>15.874860106874999</v>
      </c>
      <c r="F63" s="4">
        <f>IFERROR(VLOOKUP(D63,Capacity!$A$3:$F$532,6,), "0")</f>
        <v>0.17499999999999999</v>
      </c>
      <c r="G63">
        <v>181</v>
      </c>
      <c r="H63">
        <f>IFERROR(VLOOKUP(G63,Capacity!$A$3:$D$532,4,), "0")</f>
        <v>7.6969018699999987</v>
      </c>
      <c r="I63" s="4">
        <f>IFERROR(VLOOKUP(G63,Capacity!$A$3:$F$532,6,), "0")</f>
        <v>0.17499999999999999</v>
      </c>
      <c r="K63" t="str">
        <f>IFERROR(VLOOKUP(J63,Capacity!$A$3:$D$532,4,), "0")</f>
        <v>0</v>
      </c>
      <c r="L63" s="4" t="str">
        <f>IFERROR(VLOOKUP(J63,Capacity!$A$3:$F$532,6,), "0")</f>
        <v>0</v>
      </c>
      <c r="M63" s="5">
        <f t="shared" si="0"/>
        <v>23.571761976874999</v>
      </c>
      <c r="N63" s="5">
        <f t="shared" si="1"/>
        <v>0.35</v>
      </c>
      <c r="O63">
        <v>172</v>
      </c>
      <c r="P63">
        <f>IFERROR(VLOOKUP(O63,Capacity!$A$3:$D$532,4,), "0")</f>
        <v>22.619466719999998</v>
      </c>
      <c r="Q63" s="4">
        <f>IFERROR(VLOOKUP(O63,Capacity!$A$3:$F$532,6,), "0")</f>
        <v>0.3</v>
      </c>
      <c r="R63" s="5">
        <f t="shared" si="3"/>
        <v>22.619466719999998</v>
      </c>
      <c r="S63" s="5">
        <f t="shared" si="4"/>
        <v>0.3</v>
      </c>
      <c r="T63">
        <v>175</v>
      </c>
      <c r="U63">
        <v>2</v>
      </c>
      <c r="V63">
        <v>2</v>
      </c>
      <c r="W63">
        <v>1</v>
      </c>
      <c r="X63">
        <f t="shared" si="5"/>
        <v>1.0421006944444444</v>
      </c>
      <c r="Y63">
        <f t="shared" si="6"/>
        <v>1.3355509077963685</v>
      </c>
      <c r="Z63">
        <f t="shared" si="7"/>
        <v>1.1666666666666667</v>
      </c>
      <c r="AA63">
        <f t="shared" si="8"/>
        <v>1.320754716981132</v>
      </c>
      <c r="AC63">
        <f t="shared" si="9"/>
        <v>0.58535848026213133</v>
      </c>
      <c r="AD63">
        <f t="shared" si="2"/>
        <v>1.1707169605242627</v>
      </c>
    </row>
    <row r="64" spans="1:30" x14ac:dyDescent="0.25">
      <c r="A64">
        <v>171</v>
      </c>
      <c r="B64">
        <f>IFERROR(VLOOKUP(A64,Capacity!$A$3:$D$532,4,), "0")</f>
        <v>291.57906318750003</v>
      </c>
      <c r="C64" s="4">
        <f>IFERROR(VLOOKUP(A64,Capacity!$A$3:$F$532,6,), "0")</f>
        <v>0.75</v>
      </c>
      <c r="D64">
        <v>453</v>
      </c>
      <c r="E64">
        <f>IFERROR(VLOOKUP(D64,Capacity!$A$3:$D$532,4,), "0")</f>
        <v>15.874860106874999</v>
      </c>
      <c r="F64" s="4">
        <f>IFERROR(VLOOKUP(D64,Capacity!$A$3:$F$532,6,), "0")</f>
        <v>0.17499999999999999</v>
      </c>
      <c r="H64" t="str">
        <f>IFERROR(VLOOKUP(G64,Capacity!$A$3:$D$532,4,), "0")</f>
        <v>0</v>
      </c>
      <c r="I64" s="4" t="str">
        <f>IFERROR(VLOOKUP(G64,Capacity!$A$3:$F$532,6,), "0")</f>
        <v>0</v>
      </c>
      <c r="K64" t="str">
        <f>IFERROR(VLOOKUP(J64,Capacity!$A$3:$D$532,4,), "0")</f>
        <v>0</v>
      </c>
      <c r="L64" s="4" t="str">
        <f>IFERROR(VLOOKUP(J64,Capacity!$A$3:$F$532,6,), "0")</f>
        <v>0</v>
      </c>
      <c r="M64" s="5">
        <f t="shared" si="0"/>
        <v>15.874860106874999</v>
      </c>
      <c r="N64" s="5">
        <f t="shared" si="1"/>
        <v>0.17499999999999999</v>
      </c>
      <c r="O64">
        <v>172</v>
      </c>
      <c r="P64">
        <f>IFERROR(VLOOKUP(O64,Capacity!$A$3:$D$532,4,), "0")</f>
        <v>22.619466719999998</v>
      </c>
      <c r="Q64" s="4">
        <f>IFERROR(VLOOKUP(O64,Capacity!$A$3:$F$532,6,), "0")</f>
        <v>0.3</v>
      </c>
      <c r="R64" s="5">
        <f t="shared" si="3"/>
        <v>22.619466719999998</v>
      </c>
      <c r="S64" s="5">
        <f t="shared" si="4"/>
        <v>0.3</v>
      </c>
      <c r="T64">
        <v>171</v>
      </c>
      <c r="U64">
        <v>1</v>
      </c>
      <c r="V64">
        <v>1</v>
      </c>
      <c r="W64">
        <v>1</v>
      </c>
      <c r="X64">
        <f t="shared" si="5"/>
        <v>0.70182291666666674</v>
      </c>
      <c r="Y64">
        <f t="shared" si="6"/>
        <v>5.4444444444444441E-2</v>
      </c>
      <c r="Z64">
        <f t="shared" si="7"/>
        <v>0.58333333333333337</v>
      </c>
      <c r="AA64">
        <f t="shared" si="8"/>
        <v>0.23333333333333331</v>
      </c>
      <c r="AC64">
        <f t="shared" si="9"/>
        <v>5.0524934383202096E-2</v>
      </c>
      <c r="AD64">
        <f t="shared" si="2"/>
        <v>5.0524934383202096E-2</v>
      </c>
    </row>
    <row r="65" spans="1:30" x14ac:dyDescent="0.25">
      <c r="A65">
        <v>195</v>
      </c>
      <c r="B65">
        <f>IFERROR(VLOOKUP(A65,Capacity!$A$3:$D$532,4,), "0")</f>
        <v>20.734511160000007</v>
      </c>
      <c r="C65" s="4">
        <f>IFERROR(VLOOKUP(A65,Capacity!$A$3:$F$532,6,), "0")</f>
        <v>0.2</v>
      </c>
      <c r="D65">
        <v>464</v>
      </c>
      <c r="E65">
        <f>IFERROR(VLOOKUP(D65,Capacity!$A$3:$D$532,4,), "0")</f>
        <v>19.242254674999998</v>
      </c>
      <c r="F65" s="4">
        <f>IFERROR(VLOOKUP(D65,Capacity!$A$3:$F$532,6,), "0")</f>
        <v>0.17499999999999999</v>
      </c>
      <c r="G65">
        <v>216</v>
      </c>
      <c r="H65">
        <f>IFERROR(VLOOKUP(G65,Capacity!$A$3:$D$532,4,), "0")</f>
        <v>14.451325960000002</v>
      </c>
      <c r="I65" s="4">
        <f>IFERROR(VLOOKUP(G65,Capacity!$A$3:$F$532,6,), "0")</f>
        <v>0.2</v>
      </c>
      <c r="K65" t="str">
        <f>IFERROR(VLOOKUP(J65,Capacity!$A$3:$D$532,4,), "0")</f>
        <v>0</v>
      </c>
      <c r="L65" s="4" t="str">
        <f>IFERROR(VLOOKUP(J65,Capacity!$A$3:$F$532,6,), "0")</f>
        <v>0</v>
      </c>
      <c r="M65" s="5">
        <f t="shared" si="0"/>
        <v>33.693580635000004</v>
      </c>
      <c r="N65" s="5">
        <f t="shared" si="1"/>
        <v>0.375</v>
      </c>
      <c r="O65">
        <v>188</v>
      </c>
      <c r="P65">
        <f>IFERROR(VLOOKUP(O65,Capacity!$A$3:$D$532,4,), "0")</f>
        <v>40.212385280000007</v>
      </c>
      <c r="Q65" s="4">
        <f>IFERROR(VLOOKUP(O65,Capacity!$A$3:$F$532,6,), "0")</f>
        <v>0.4</v>
      </c>
      <c r="R65" s="5">
        <f t="shared" si="3"/>
        <v>40.212385280000007</v>
      </c>
      <c r="S65" s="5">
        <f t="shared" si="4"/>
        <v>0.4</v>
      </c>
      <c r="T65">
        <v>195</v>
      </c>
      <c r="U65">
        <v>2</v>
      </c>
      <c r="V65">
        <v>2</v>
      </c>
      <c r="W65">
        <v>1</v>
      </c>
      <c r="X65">
        <f t="shared" si="5"/>
        <v>0.837890625</v>
      </c>
      <c r="Y65">
        <f t="shared" si="6"/>
        <v>1.6249999999999996</v>
      </c>
      <c r="Z65">
        <f t="shared" si="7"/>
        <v>0.9375</v>
      </c>
      <c r="AA65">
        <f t="shared" si="8"/>
        <v>1.875</v>
      </c>
      <c r="AC65">
        <f t="shared" si="9"/>
        <v>0.55283505154639168</v>
      </c>
      <c r="AD65">
        <f t="shared" si="2"/>
        <v>1.1056701030927834</v>
      </c>
    </row>
    <row r="66" spans="1:30" x14ac:dyDescent="0.25">
      <c r="A66">
        <v>187</v>
      </c>
      <c r="B66">
        <f>IFERROR(VLOOKUP(A66,Capacity!$A$3:$D$532,4,), "0")</f>
        <v>100.53096320000003</v>
      </c>
      <c r="C66" s="4">
        <f>IFERROR(VLOOKUP(A66,Capacity!$A$3:$F$532,6,), "0")</f>
        <v>0.4</v>
      </c>
      <c r="D66">
        <v>460</v>
      </c>
      <c r="E66">
        <f>IFERROR(VLOOKUP(D66,Capacity!$A$3:$D$532,4,), "0")</f>
        <v>19.242254674999998</v>
      </c>
      <c r="F66" s="4">
        <f>IFERROR(VLOOKUP(D66,Capacity!$A$3:$F$532,6,), "0")</f>
        <v>0.17499999999999999</v>
      </c>
      <c r="G66">
        <v>194</v>
      </c>
      <c r="H66">
        <f>IFERROR(VLOOKUP(G66,Capacity!$A$3:$D$532,4,), "0")</f>
        <v>80.424770560000013</v>
      </c>
      <c r="I66" s="4">
        <f>IFERROR(VLOOKUP(G66,Capacity!$A$3:$F$532,6,), "0")</f>
        <v>0.4</v>
      </c>
      <c r="K66" t="str">
        <f>IFERROR(VLOOKUP(J66,Capacity!$A$3:$D$532,4,), "0")</f>
        <v>0</v>
      </c>
      <c r="L66" s="4" t="str">
        <f>IFERROR(VLOOKUP(J66,Capacity!$A$3:$F$532,6,), "0")</f>
        <v>0</v>
      </c>
      <c r="M66" s="5">
        <f t="shared" ref="M66:M129" si="10">$E66+$H66+$K66</f>
        <v>99.667025235000011</v>
      </c>
      <c r="N66" s="5">
        <f t="shared" si="1"/>
        <v>0.57499999999999996</v>
      </c>
      <c r="O66">
        <v>188</v>
      </c>
      <c r="P66">
        <f>IFERROR(VLOOKUP(O66,Capacity!$A$3:$D$532,4,), "0")</f>
        <v>40.212385280000007</v>
      </c>
      <c r="Q66" s="4">
        <f>IFERROR(VLOOKUP(O66,Capacity!$A$3:$F$532,6,), "0")</f>
        <v>0.4</v>
      </c>
      <c r="R66" s="5">
        <f t="shared" si="3"/>
        <v>40.212385280000007</v>
      </c>
      <c r="S66" s="5">
        <f t="shared" si="4"/>
        <v>0.4</v>
      </c>
      <c r="T66">
        <v>187</v>
      </c>
      <c r="U66">
        <v>2</v>
      </c>
      <c r="V66">
        <v>2</v>
      </c>
      <c r="W66">
        <v>1</v>
      </c>
      <c r="X66">
        <f t="shared" si="5"/>
        <v>2.478515625</v>
      </c>
      <c r="Y66">
        <f t="shared" si="6"/>
        <v>0.99140624999999982</v>
      </c>
      <c r="Z66">
        <f t="shared" si="7"/>
        <v>1.4374999999999998</v>
      </c>
      <c r="AA66">
        <f t="shared" si="8"/>
        <v>1.4374999999999998</v>
      </c>
      <c r="AC66">
        <f t="shared" si="9"/>
        <v>0.70814732142857129</v>
      </c>
      <c r="AD66">
        <f t="shared" si="2"/>
        <v>1.4162946428571426</v>
      </c>
    </row>
    <row r="67" spans="1:30" x14ac:dyDescent="0.25">
      <c r="A67">
        <v>129</v>
      </c>
      <c r="B67">
        <f>IFERROR(VLOOKUP(A67,Capacity!$A$3:$D$532,4,), "0")</f>
        <v>15.393803739999997</v>
      </c>
      <c r="C67" s="4">
        <f>IFERROR(VLOOKUP(A67,Capacity!$A$3:$F$532,6,), "0")</f>
        <v>0.17499999999999999</v>
      </c>
      <c r="D67">
        <v>439</v>
      </c>
      <c r="E67">
        <f>IFERROR(VLOOKUP(D67,Capacity!$A$3:$D$532,4,), "0")</f>
        <v>15.393803739999997</v>
      </c>
      <c r="F67" s="4">
        <f>IFERROR(VLOOKUP(D67,Capacity!$A$3:$F$532,6,), "0")</f>
        <v>0.17499999999999999</v>
      </c>
      <c r="G67">
        <v>131</v>
      </c>
      <c r="H67">
        <f>IFERROR(VLOOKUP(G67,Capacity!$A$3:$D$532,4,), "0")</f>
        <v>22.128592876249996</v>
      </c>
      <c r="I67" s="4">
        <f>IFERROR(VLOOKUP(G67,Capacity!$A$3:$F$532,6,), "0")</f>
        <v>0.17499999999999999</v>
      </c>
      <c r="K67" t="str">
        <f>IFERROR(VLOOKUP(J67,Capacity!$A$3:$D$532,4,), "0")</f>
        <v>0</v>
      </c>
      <c r="L67" s="4" t="str">
        <f>IFERROR(VLOOKUP(J67,Capacity!$A$3:$F$532,6,), "0")</f>
        <v>0</v>
      </c>
      <c r="M67" s="5">
        <f t="shared" si="10"/>
        <v>37.522396616249992</v>
      </c>
      <c r="N67" s="5">
        <f t="shared" ref="N67:N130" si="11">$F67+$I67+$L67</f>
        <v>0.35</v>
      </c>
      <c r="O67">
        <v>128</v>
      </c>
      <c r="P67">
        <f>IFERROR(VLOOKUP(O67,Capacity!$A$3:$D$532,4,), "0")</f>
        <v>31.101766740000002</v>
      </c>
      <c r="Q67" s="4">
        <f>IFERROR(VLOOKUP(O67,Capacity!$A$3:$F$532,6,), "0")</f>
        <v>0.3</v>
      </c>
      <c r="R67" s="5">
        <f t="shared" si="3"/>
        <v>31.101766740000002</v>
      </c>
      <c r="S67" s="5">
        <f t="shared" si="4"/>
        <v>0.3</v>
      </c>
      <c r="T67">
        <v>129</v>
      </c>
      <c r="U67">
        <v>2</v>
      </c>
      <c r="V67">
        <v>2</v>
      </c>
      <c r="W67">
        <v>1</v>
      </c>
      <c r="X67">
        <f t="shared" ref="X67:X130" si="12">($M67/$R67)</f>
        <v>1.2064393939393936</v>
      </c>
      <c r="Y67">
        <f t="shared" ref="Y67:Y130" si="13">($M67/$B67)</f>
        <v>2.4375</v>
      </c>
      <c r="Z67">
        <f t="shared" si="7"/>
        <v>1.1666666666666667</v>
      </c>
      <c r="AA67">
        <f t="shared" si="8"/>
        <v>2</v>
      </c>
      <c r="AC67">
        <f t="shared" si="9"/>
        <v>0.80701013513513498</v>
      </c>
      <c r="AD67">
        <f t="shared" ref="AD67:AD130" si="14">U67*AC67</f>
        <v>1.61402027027027</v>
      </c>
    </row>
    <row r="68" spans="1:30" x14ac:dyDescent="0.25">
      <c r="A68">
        <v>127</v>
      </c>
      <c r="B68">
        <f>IFERROR(VLOOKUP(A68,Capacity!$A$3:$D$532,4,), "0")</f>
        <v>45.238933439999997</v>
      </c>
      <c r="C68" s="4">
        <f>IFERROR(VLOOKUP(A68,Capacity!$A$3:$F$532,6,), "0")</f>
        <v>0.3</v>
      </c>
      <c r="D68">
        <v>120</v>
      </c>
      <c r="E68">
        <f>IFERROR(VLOOKUP(D68,Capacity!$A$3:$D$532,4,), "0")</f>
        <v>10.681414840000002</v>
      </c>
      <c r="F68" s="4">
        <f>IFERROR(VLOOKUP(D68,Capacity!$A$3:$F$532,6,), "0")</f>
        <v>0.2</v>
      </c>
      <c r="G68">
        <v>126</v>
      </c>
      <c r="H68">
        <f>IFERROR(VLOOKUP(G68,Capacity!$A$3:$D$532,4,), "0")</f>
        <v>12.507465538749999</v>
      </c>
      <c r="I68" s="4">
        <f>IFERROR(VLOOKUP(G68,Capacity!$A$3:$F$532,6,), "0")</f>
        <v>0.17499999999999999</v>
      </c>
      <c r="K68" t="str">
        <f>IFERROR(VLOOKUP(J68,Capacity!$A$3:$D$532,4,), "0")</f>
        <v>0</v>
      </c>
      <c r="L68" s="4" t="str">
        <f>IFERROR(VLOOKUP(J68,Capacity!$A$3:$F$532,6,), "0")</f>
        <v>0</v>
      </c>
      <c r="M68" s="5">
        <f t="shared" si="10"/>
        <v>23.18888037875</v>
      </c>
      <c r="N68" s="5">
        <f t="shared" si="11"/>
        <v>0.375</v>
      </c>
      <c r="O68">
        <v>128</v>
      </c>
      <c r="P68">
        <f>IFERROR(VLOOKUP(O68,Capacity!$A$3:$D$532,4,), "0")</f>
        <v>31.101766740000002</v>
      </c>
      <c r="Q68" s="4">
        <f>IFERROR(VLOOKUP(O68,Capacity!$A$3:$F$532,6,), "0")</f>
        <v>0.3</v>
      </c>
      <c r="R68" s="5">
        <f t="shared" ref="R68:R131" si="15">$P68</f>
        <v>31.101766740000002</v>
      </c>
      <c r="S68" s="5">
        <f t="shared" ref="S68:S131" si="16">$Q68</f>
        <v>0.3</v>
      </c>
      <c r="T68">
        <v>127</v>
      </c>
      <c r="U68">
        <v>2</v>
      </c>
      <c r="V68">
        <v>2</v>
      </c>
      <c r="W68">
        <v>1</v>
      </c>
      <c r="X68">
        <f t="shared" si="12"/>
        <v>0.74558080808080807</v>
      </c>
      <c r="Y68">
        <f t="shared" si="13"/>
        <v>0.51258680555555558</v>
      </c>
      <c r="Z68">
        <f t="shared" ref="Z68:Z131" si="17">($N68/$S68)</f>
        <v>1.25</v>
      </c>
      <c r="AA68">
        <f t="shared" ref="AA68:AA131" si="18">($N68/$C68)</f>
        <v>1.25</v>
      </c>
      <c r="AC68">
        <f t="shared" ref="AC68:AC131" si="19">$M68/($R68+$B68)</f>
        <v>0.30375514403292181</v>
      </c>
      <c r="AD68">
        <f t="shared" si="14"/>
        <v>0.60751028806584362</v>
      </c>
    </row>
    <row r="69" spans="1:30" x14ac:dyDescent="0.25">
      <c r="A69">
        <v>133</v>
      </c>
      <c r="B69">
        <f>IFERROR(VLOOKUP(A69,Capacity!$A$3:$D$532,4,), "0")</f>
        <v>273.90760481250004</v>
      </c>
      <c r="C69" s="4">
        <f>IFERROR(VLOOKUP(A69,Capacity!$A$3:$F$532,6,), "0")</f>
        <v>0.75</v>
      </c>
      <c r="D69">
        <v>132</v>
      </c>
      <c r="E69">
        <f>IFERROR(VLOOKUP(D69,Capacity!$A$3:$D$532,4,), "0")</f>
        <v>175.30086708000002</v>
      </c>
      <c r="F69" s="4">
        <f>IFERROR(VLOOKUP(D69,Capacity!$A$3:$F$532,6,), "0")</f>
        <v>0.6</v>
      </c>
      <c r="H69" t="str">
        <f>IFERROR(VLOOKUP(G69,Capacity!$A$3:$D$532,4,), "0")</f>
        <v>0</v>
      </c>
      <c r="I69" s="4" t="str">
        <f>IFERROR(VLOOKUP(G69,Capacity!$A$3:$F$532,6,), "0")</f>
        <v>0</v>
      </c>
      <c r="K69" t="str">
        <f>IFERROR(VLOOKUP(J69,Capacity!$A$3:$D$532,4,), "0")</f>
        <v>0</v>
      </c>
      <c r="L69" s="4" t="str">
        <f>IFERROR(VLOOKUP(J69,Capacity!$A$3:$F$532,6,), "0")</f>
        <v>0</v>
      </c>
      <c r="M69" s="5">
        <f t="shared" si="10"/>
        <v>175.30086708000002</v>
      </c>
      <c r="N69" s="5">
        <f t="shared" si="11"/>
        <v>0.6</v>
      </c>
      <c r="O69">
        <v>134</v>
      </c>
      <c r="P69">
        <f>IFERROR(VLOOKUP(O69,Capacity!$A$3:$D$532,4,), "0")</f>
        <v>273.90760481250004</v>
      </c>
      <c r="Q69" s="4">
        <f>IFERROR(VLOOKUP(O69,Capacity!$A$3:$F$532,6,), "0")</f>
        <v>0.75</v>
      </c>
      <c r="R69" s="5">
        <f t="shared" si="15"/>
        <v>273.90760481250004</v>
      </c>
      <c r="S69" s="5">
        <f t="shared" si="16"/>
        <v>0.75</v>
      </c>
      <c r="T69">
        <v>133</v>
      </c>
      <c r="U69">
        <v>1</v>
      </c>
      <c r="V69">
        <v>1</v>
      </c>
      <c r="W69">
        <v>1</v>
      </c>
      <c r="X69">
        <f t="shared" si="12"/>
        <v>0.64</v>
      </c>
      <c r="Y69">
        <f t="shared" si="13"/>
        <v>0.64</v>
      </c>
      <c r="Z69">
        <f t="shared" si="17"/>
        <v>0.79999999999999993</v>
      </c>
      <c r="AA69">
        <f t="shared" si="18"/>
        <v>0.79999999999999993</v>
      </c>
      <c r="AC69">
        <f t="shared" si="19"/>
        <v>0.32</v>
      </c>
      <c r="AD69">
        <f t="shared" si="14"/>
        <v>0.32</v>
      </c>
    </row>
    <row r="70" spans="1:30" x14ac:dyDescent="0.25">
      <c r="A70">
        <v>140</v>
      </c>
      <c r="B70">
        <f>IFERROR(VLOOKUP(A70,Capacity!$A$3:$D$532,4,), "0")</f>
        <v>45.238933439999997</v>
      </c>
      <c r="C70" s="4">
        <f>IFERROR(VLOOKUP(A70,Capacity!$A$3:$F$532,6,), "0")</f>
        <v>0.3</v>
      </c>
      <c r="D70">
        <v>443</v>
      </c>
      <c r="E70">
        <f>IFERROR(VLOOKUP(D70,Capacity!$A$3:$D$532,4,), "0")</f>
        <v>7.6969018699999987</v>
      </c>
      <c r="F70" s="4">
        <f>IFERROR(VLOOKUP(D70,Capacity!$A$3:$F$532,6,), "0")</f>
        <v>0.17499999999999999</v>
      </c>
      <c r="G70">
        <v>92</v>
      </c>
      <c r="H70">
        <f>IFERROR(VLOOKUP(G70,Capacity!$A$3:$D$532,4,), "0")</f>
        <v>48.536034873700011</v>
      </c>
      <c r="I70" s="4">
        <f>IFERROR(VLOOKUP(G70,Capacity!$A$3:$F$532,6,), "0")</f>
        <v>0.26500000000000001</v>
      </c>
      <c r="K70" t="str">
        <f>IFERROR(VLOOKUP(J70,Capacity!$A$3:$D$532,4,), "0")</f>
        <v>0</v>
      </c>
      <c r="L70" s="4" t="str">
        <f>IFERROR(VLOOKUP(J70,Capacity!$A$3:$F$532,6,), "0")</f>
        <v>0</v>
      </c>
      <c r="M70" s="5">
        <f t="shared" si="10"/>
        <v>56.232936743700009</v>
      </c>
      <c r="N70" s="5">
        <f t="shared" si="11"/>
        <v>0.44</v>
      </c>
      <c r="O70">
        <v>139</v>
      </c>
      <c r="P70">
        <f>IFERROR(VLOOKUP(O70,Capacity!$A$3:$D$532,4,), "0")</f>
        <v>48.066366779999996</v>
      </c>
      <c r="Q70" s="4">
        <f>IFERROR(VLOOKUP(O70,Capacity!$A$3:$F$532,6,), "0")</f>
        <v>0.3</v>
      </c>
      <c r="R70" s="5">
        <f t="shared" si="15"/>
        <v>48.066366779999996</v>
      </c>
      <c r="S70" s="5">
        <f t="shared" si="16"/>
        <v>0.3</v>
      </c>
      <c r="T70">
        <v>140</v>
      </c>
      <c r="U70">
        <v>2</v>
      </c>
      <c r="V70">
        <v>2</v>
      </c>
      <c r="W70">
        <v>1</v>
      </c>
      <c r="X70">
        <f t="shared" si="12"/>
        <v>1.169901960784314</v>
      </c>
      <c r="Y70">
        <f t="shared" si="13"/>
        <v>1.2430208333333337</v>
      </c>
      <c r="Z70">
        <f t="shared" si="17"/>
        <v>1.4666666666666668</v>
      </c>
      <c r="AA70">
        <f t="shared" si="18"/>
        <v>1.4666666666666668</v>
      </c>
      <c r="AC70">
        <f t="shared" si="19"/>
        <v>0.60267676767676781</v>
      </c>
      <c r="AD70">
        <f t="shared" si="14"/>
        <v>1.2053535353535356</v>
      </c>
    </row>
    <row r="71" spans="1:30" x14ac:dyDescent="0.25">
      <c r="A71">
        <v>444</v>
      </c>
      <c r="B71">
        <f>IFERROR(VLOOKUP(A71,Capacity!$A$3:$D$532,4,), "0")</f>
        <v>7.6969018699999987</v>
      </c>
      <c r="C71" s="4">
        <f>IFERROR(VLOOKUP(A71,Capacity!$A$3:$F$532,6,), "0")</f>
        <v>0.17499999999999999</v>
      </c>
      <c r="E71" t="str">
        <f>IFERROR(VLOOKUP(D71,Capacity!$A$3:$D$532,4,), "0")</f>
        <v>0</v>
      </c>
      <c r="F71" s="4" t="str">
        <f>IFERROR(VLOOKUP(D71,Capacity!$A$3:$F$532,6,), "0")</f>
        <v>0</v>
      </c>
      <c r="H71" t="str">
        <f>IFERROR(VLOOKUP(G71,Capacity!$A$3:$D$532,4,), "0")</f>
        <v>0</v>
      </c>
      <c r="I71" s="4" t="str">
        <f>IFERROR(VLOOKUP(G71,Capacity!$A$3:$F$532,6,), "0")</f>
        <v>0</v>
      </c>
      <c r="K71" t="str">
        <f>IFERROR(VLOOKUP(J71,Capacity!$A$3:$D$532,4,), "0")</f>
        <v>0</v>
      </c>
      <c r="L71" s="4" t="str">
        <f>IFERROR(VLOOKUP(J71,Capacity!$A$3:$F$532,6,), "0")</f>
        <v>0</v>
      </c>
      <c r="M71" s="5">
        <f t="shared" si="10"/>
        <v>0</v>
      </c>
      <c r="N71" s="5">
        <f t="shared" si="11"/>
        <v>0</v>
      </c>
      <c r="O71">
        <v>141</v>
      </c>
      <c r="P71">
        <f>IFERROR(VLOOKUP(O71,Capacity!$A$3:$D$532,4,), "0")</f>
        <v>17.799085574374995</v>
      </c>
      <c r="Q71" s="4">
        <f>IFERROR(VLOOKUP(O71,Capacity!$A$3:$F$532,6,), "0")</f>
        <v>0.17499999999999999</v>
      </c>
      <c r="R71" s="5">
        <f t="shared" si="15"/>
        <v>17.799085574374995</v>
      </c>
      <c r="S71" s="5">
        <f t="shared" si="16"/>
        <v>0.17499999999999999</v>
      </c>
      <c r="T71">
        <v>444</v>
      </c>
      <c r="U71">
        <v>0</v>
      </c>
      <c r="V71">
        <v>0</v>
      </c>
      <c r="W71">
        <v>1</v>
      </c>
      <c r="X71">
        <f t="shared" si="12"/>
        <v>0</v>
      </c>
      <c r="Y71">
        <f t="shared" si="13"/>
        <v>0</v>
      </c>
      <c r="Z71">
        <f t="shared" si="17"/>
        <v>0</v>
      </c>
      <c r="AA71">
        <f t="shared" si="18"/>
        <v>0</v>
      </c>
      <c r="AC71">
        <f t="shared" si="19"/>
        <v>0</v>
      </c>
      <c r="AD71">
        <f t="shared" si="14"/>
        <v>0</v>
      </c>
    </row>
    <row r="72" spans="1:30" x14ac:dyDescent="0.25">
      <c r="A72">
        <v>91</v>
      </c>
      <c r="B72">
        <f>IFERROR(VLOOKUP(A72,Capacity!$A$3:$D$532,4,), "0")</f>
        <v>21.166480142499999</v>
      </c>
      <c r="C72" s="4">
        <f>IFERROR(VLOOKUP(A72,Capacity!$A$3:$F$532,6,), "0")</f>
        <v>0.17499999999999999</v>
      </c>
      <c r="D72">
        <v>422</v>
      </c>
      <c r="E72">
        <f>IFERROR(VLOOKUP(D72,Capacity!$A$3:$D$532,4,), "0")</f>
        <v>7.6969018699999987</v>
      </c>
      <c r="F72" s="4">
        <f>IFERROR(VLOOKUP(D72,Capacity!$A$3:$F$532,6,), "0")</f>
        <v>0.17499999999999999</v>
      </c>
      <c r="G72">
        <v>51</v>
      </c>
      <c r="H72">
        <f>IFERROR(VLOOKUP(G72,Capacity!$A$3:$D$532,4,), "0")</f>
        <v>21.647536509374998</v>
      </c>
      <c r="I72" s="4">
        <f>IFERROR(VLOOKUP(G72,Capacity!$A$3:$F$532,6,), "0")</f>
        <v>0.17499999999999999</v>
      </c>
      <c r="K72" t="str">
        <f>IFERROR(VLOOKUP(J72,Capacity!$A$3:$D$532,4,), "0")</f>
        <v>0</v>
      </c>
      <c r="L72" s="4" t="str">
        <f>IFERROR(VLOOKUP(J72,Capacity!$A$3:$F$532,6,), "0")</f>
        <v>0</v>
      </c>
      <c r="M72" s="5">
        <f t="shared" si="10"/>
        <v>29.344438379374996</v>
      </c>
      <c r="N72" s="5">
        <f t="shared" si="11"/>
        <v>0.35</v>
      </c>
      <c r="O72">
        <v>141</v>
      </c>
      <c r="P72">
        <f>IFERROR(VLOOKUP(O72,Capacity!$A$3:$D$532,4,), "0")</f>
        <v>17.799085574374995</v>
      </c>
      <c r="Q72" s="4">
        <f>IFERROR(VLOOKUP(O72,Capacity!$A$3:$F$532,6,), "0")</f>
        <v>0.17499999999999999</v>
      </c>
      <c r="R72" s="5">
        <f t="shared" si="15"/>
        <v>17.799085574374995</v>
      </c>
      <c r="S72" s="5">
        <f t="shared" si="16"/>
        <v>0.17499999999999999</v>
      </c>
      <c r="T72">
        <v>91</v>
      </c>
      <c r="U72">
        <v>2</v>
      </c>
      <c r="V72">
        <v>2</v>
      </c>
      <c r="W72">
        <v>1</v>
      </c>
      <c r="X72">
        <f t="shared" si="12"/>
        <v>1.6486486486486489</v>
      </c>
      <c r="Y72">
        <f t="shared" si="13"/>
        <v>1.3863636363636362</v>
      </c>
      <c r="Z72">
        <f t="shared" si="17"/>
        <v>2</v>
      </c>
      <c r="AA72">
        <f t="shared" si="18"/>
        <v>2</v>
      </c>
      <c r="AC72">
        <f t="shared" si="19"/>
        <v>0.75308641975308643</v>
      </c>
      <c r="AD72">
        <f t="shared" si="14"/>
        <v>1.5061728395061729</v>
      </c>
    </row>
    <row r="73" spans="1:30" x14ac:dyDescent="0.25">
      <c r="A73">
        <v>421</v>
      </c>
      <c r="B73">
        <f>IFERROR(VLOOKUP(A73,Capacity!$A$3:$D$532,4,), "0")</f>
        <v>7.6969018699999987</v>
      </c>
      <c r="C73" s="4">
        <f>IFERROR(VLOOKUP(A73,Capacity!$A$3:$F$532,6,), "0")</f>
        <v>0.17499999999999999</v>
      </c>
      <c r="E73" t="str">
        <f>IFERROR(VLOOKUP(D73,Capacity!$A$3:$D$532,4,), "0")</f>
        <v>0</v>
      </c>
      <c r="F73" s="4" t="str">
        <f>IFERROR(VLOOKUP(D73,Capacity!$A$3:$F$532,6,), "0")</f>
        <v>0</v>
      </c>
      <c r="H73" t="str">
        <f>IFERROR(VLOOKUP(G73,Capacity!$A$3:$D$532,4,), "0")</f>
        <v>0</v>
      </c>
      <c r="I73" s="4" t="str">
        <f>IFERROR(VLOOKUP(G73,Capacity!$A$3:$F$532,6,), "0")</f>
        <v>0</v>
      </c>
      <c r="K73" t="str">
        <f>IFERROR(VLOOKUP(J73,Capacity!$A$3:$D$532,4,), "0")</f>
        <v>0</v>
      </c>
      <c r="L73" s="4" t="str">
        <f>IFERROR(VLOOKUP(J73,Capacity!$A$3:$F$532,6,), "0")</f>
        <v>0</v>
      </c>
      <c r="M73" s="5">
        <f t="shared" si="10"/>
        <v>0</v>
      </c>
      <c r="N73" s="5">
        <f t="shared" si="11"/>
        <v>0</v>
      </c>
      <c r="O73">
        <v>89</v>
      </c>
      <c r="P73">
        <f>IFERROR(VLOOKUP(O73,Capacity!$A$3:$D$532,4,), "0")</f>
        <v>27.646014880000006</v>
      </c>
      <c r="Q73" s="4">
        <f>IFERROR(VLOOKUP(O73,Capacity!$A$3:$F$532,6,), "0")</f>
        <v>0.2</v>
      </c>
      <c r="R73" s="5">
        <f t="shared" si="15"/>
        <v>27.646014880000006</v>
      </c>
      <c r="S73" s="5">
        <f t="shared" si="16"/>
        <v>0.2</v>
      </c>
      <c r="T73">
        <v>421</v>
      </c>
      <c r="U73">
        <v>0</v>
      </c>
      <c r="V73">
        <v>0</v>
      </c>
      <c r="W73">
        <v>1</v>
      </c>
      <c r="X73">
        <f t="shared" si="12"/>
        <v>0</v>
      </c>
      <c r="Y73">
        <f t="shared" si="13"/>
        <v>0</v>
      </c>
      <c r="Z73">
        <f t="shared" si="17"/>
        <v>0</v>
      </c>
      <c r="AA73">
        <f t="shared" si="18"/>
        <v>0</v>
      </c>
      <c r="AC73">
        <f t="shared" si="19"/>
        <v>0</v>
      </c>
      <c r="AD73">
        <f t="shared" si="14"/>
        <v>0</v>
      </c>
    </row>
    <row r="74" spans="1:30" x14ac:dyDescent="0.25">
      <c r="A74">
        <v>50</v>
      </c>
      <c r="B74">
        <f>IFERROR(VLOOKUP(A74,Capacity!$A$3:$D$532,4,), "0")</f>
        <v>28.274333400000007</v>
      </c>
      <c r="C74" s="4">
        <f>IFERROR(VLOOKUP(A74,Capacity!$A$3:$F$532,6,), "0")</f>
        <v>0.2</v>
      </c>
      <c r="D74">
        <v>376</v>
      </c>
      <c r="E74">
        <f>IFERROR(VLOOKUP(D74,Capacity!$A$3:$D$532,4,), "0")</f>
        <v>7.6969018699999987</v>
      </c>
      <c r="F74" s="4">
        <f>IFERROR(VLOOKUP(D74,Capacity!$A$3:$F$532,6,), "0")</f>
        <v>0.17499999999999999</v>
      </c>
      <c r="G74">
        <v>21</v>
      </c>
      <c r="H74">
        <f>IFERROR(VLOOKUP(G74,Capacity!$A$3:$D$532,4,), "0")</f>
        <v>31.415926000000006</v>
      </c>
      <c r="I74" s="4">
        <f>IFERROR(VLOOKUP(G74,Capacity!$A$3:$F$532,6,), "0")</f>
        <v>0.2</v>
      </c>
      <c r="K74" t="str">
        <f>IFERROR(VLOOKUP(J74,Capacity!$A$3:$D$532,4,), "0")</f>
        <v>0</v>
      </c>
      <c r="L74" s="4" t="str">
        <f>IFERROR(VLOOKUP(J74,Capacity!$A$3:$F$532,6,), "0")</f>
        <v>0</v>
      </c>
      <c r="M74" s="5">
        <f t="shared" si="10"/>
        <v>39.112827870000004</v>
      </c>
      <c r="N74" s="5">
        <f t="shared" si="11"/>
        <v>0.375</v>
      </c>
      <c r="O74">
        <v>89</v>
      </c>
      <c r="P74">
        <f>IFERROR(VLOOKUP(O74,Capacity!$A$3:$D$532,4,), "0")</f>
        <v>27.646014880000006</v>
      </c>
      <c r="Q74" s="4">
        <f>IFERROR(VLOOKUP(O74,Capacity!$A$3:$F$532,6,), "0")</f>
        <v>0.2</v>
      </c>
      <c r="R74" s="5">
        <f t="shared" si="15"/>
        <v>27.646014880000006</v>
      </c>
      <c r="S74" s="5">
        <f t="shared" si="16"/>
        <v>0.2</v>
      </c>
      <c r="T74">
        <v>50</v>
      </c>
      <c r="U74">
        <v>2</v>
      </c>
      <c r="V74">
        <v>2</v>
      </c>
      <c r="W74">
        <v>1</v>
      </c>
      <c r="X74">
        <f t="shared" si="12"/>
        <v>1.4147727272727271</v>
      </c>
      <c r="Y74">
        <f t="shared" si="13"/>
        <v>1.3833333333333331</v>
      </c>
      <c r="Z74">
        <f t="shared" si="17"/>
        <v>1.875</v>
      </c>
      <c r="AA74">
        <f t="shared" si="18"/>
        <v>1.875</v>
      </c>
      <c r="AC74">
        <f t="shared" si="19"/>
        <v>0.69943820224719089</v>
      </c>
      <c r="AD74">
        <f t="shared" si="14"/>
        <v>1.3988764044943818</v>
      </c>
    </row>
    <row r="75" spans="1:30" x14ac:dyDescent="0.25">
      <c r="A75">
        <v>375</v>
      </c>
      <c r="B75">
        <f>IFERROR(VLOOKUP(A75,Capacity!$A$3:$D$532,4,), "0")</f>
        <v>7.6969018699999987</v>
      </c>
      <c r="C75" s="4">
        <f>IFERROR(VLOOKUP(A75,Capacity!$A$3:$F$532,6,), "0")</f>
        <v>0.17499999999999999</v>
      </c>
      <c r="E75" t="str">
        <f>IFERROR(VLOOKUP(D75,Capacity!$A$3:$D$532,4,), "0")</f>
        <v>0</v>
      </c>
      <c r="F75" s="4" t="str">
        <f>IFERROR(VLOOKUP(D75,Capacity!$A$3:$F$532,6,), "0")</f>
        <v>0</v>
      </c>
      <c r="H75" t="str">
        <f>IFERROR(VLOOKUP(G75,Capacity!$A$3:$D$532,4,), "0")</f>
        <v>0</v>
      </c>
      <c r="I75" s="4" t="str">
        <f>IFERROR(VLOOKUP(G75,Capacity!$A$3:$F$532,6,), "0")</f>
        <v>0</v>
      </c>
      <c r="K75" t="str">
        <f>IFERROR(VLOOKUP(J75,Capacity!$A$3:$D$532,4,), "0")</f>
        <v>0</v>
      </c>
      <c r="L75" s="4" t="str">
        <f>IFERROR(VLOOKUP(J75,Capacity!$A$3:$F$532,6,), "0")</f>
        <v>0</v>
      </c>
      <c r="M75" s="5">
        <f t="shared" si="10"/>
        <v>0</v>
      </c>
      <c r="N75" s="5">
        <f t="shared" si="11"/>
        <v>0</v>
      </c>
      <c r="O75">
        <v>49</v>
      </c>
      <c r="P75">
        <f>IFERROR(VLOOKUP(O75,Capacity!$A$3:$D$532,4,), "0")</f>
        <v>21.647536509374998</v>
      </c>
      <c r="Q75" s="4">
        <f>IFERROR(VLOOKUP(O75,Capacity!$A$3:$F$532,6,), "0")</f>
        <v>0.17499999999999999</v>
      </c>
      <c r="R75" s="5">
        <f t="shared" si="15"/>
        <v>21.647536509374998</v>
      </c>
      <c r="S75" s="5">
        <f t="shared" si="16"/>
        <v>0.17499999999999999</v>
      </c>
      <c r="T75">
        <v>375</v>
      </c>
      <c r="U75">
        <v>0</v>
      </c>
      <c r="V75">
        <v>0</v>
      </c>
      <c r="W75">
        <v>1</v>
      </c>
      <c r="X75">
        <f t="shared" si="12"/>
        <v>0</v>
      </c>
      <c r="Y75">
        <f t="shared" si="13"/>
        <v>0</v>
      </c>
      <c r="Z75">
        <f t="shared" si="17"/>
        <v>0</v>
      </c>
      <c r="AA75">
        <f t="shared" si="18"/>
        <v>0</v>
      </c>
      <c r="AC75">
        <f t="shared" si="19"/>
        <v>0</v>
      </c>
      <c r="AD75">
        <f t="shared" si="14"/>
        <v>0</v>
      </c>
    </row>
    <row r="76" spans="1:30" x14ac:dyDescent="0.25">
      <c r="A76">
        <v>22</v>
      </c>
      <c r="B76">
        <f>IFERROR(VLOOKUP(A76,Capacity!$A$3:$D$532,4,), "0")</f>
        <v>24.052818343749998</v>
      </c>
      <c r="C76" s="4">
        <f>IFERROR(VLOOKUP(A76,Capacity!$A$3:$F$532,6,), "0")</f>
        <v>0.17499999999999999</v>
      </c>
      <c r="D76">
        <v>364</v>
      </c>
      <c r="E76">
        <f>IFERROR(VLOOKUP(D76,Capacity!$A$3:$D$532,4,), "0")</f>
        <v>7.6969018699999987</v>
      </c>
      <c r="F76" s="4">
        <f>IFERROR(VLOOKUP(D76,Capacity!$A$3:$F$532,6,), "0")</f>
        <v>0.17499999999999999</v>
      </c>
      <c r="H76" t="str">
        <f>IFERROR(VLOOKUP(G76,Capacity!$A$3:$D$532,4,), "0")</f>
        <v>0</v>
      </c>
      <c r="I76" s="4" t="str">
        <f>IFERROR(VLOOKUP(G76,Capacity!$A$3:$F$532,6,), "0")</f>
        <v>0</v>
      </c>
      <c r="K76" t="str">
        <f>IFERROR(VLOOKUP(J76,Capacity!$A$3:$D$532,4,), "0")</f>
        <v>0</v>
      </c>
      <c r="L76" s="4" t="str">
        <f>IFERROR(VLOOKUP(J76,Capacity!$A$3:$F$532,6,), "0")</f>
        <v>0</v>
      </c>
      <c r="M76" s="5">
        <f t="shared" si="10"/>
        <v>7.6969018699999987</v>
      </c>
      <c r="N76" s="5">
        <f t="shared" si="11"/>
        <v>0.17499999999999999</v>
      </c>
      <c r="O76">
        <v>49</v>
      </c>
      <c r="P76">
        <f>IFERROR(VLOOKUP(O76,Capacity!$A$3:$D$532,4,), "0")</f>
        <v>21.647536509374998</v>
      </c>
      <c r="Q76" s="4">
        <f>IFERROR(VLOOKUP(O76,Capacity!$A$3:$F$532,6,), "0")</f>
        <v>0.17499999999999999</v>
      </c>
      <c r="R76" s="5">
        <f t="shared" si="15"/>
        <v>21.647536509374998</v>
      </c>
      <c r="S76" s="5">
        <f t="shared" si="16"/>
        <v>0.17499999999999999</v>
      </c>
      <c r="T76">
        <v>22</v>
      </c>
      <c r="U76">
        <v>1</v>
      </c>
      <c r="V76">
        <v>1</v>
      </c>
      <c r="W76">
        <v>1</v>
      </c>
      <c r="X76">
        <f t="shared" si="12"/>
        <v>0.35555555555555551</v>
      </c>
      <c r="Y76">
        <f t="shared" si="13"/>
        <v>0.31999999999999995</v>
      </c>
      <c r="Z76">
        <f t="shared" si="17"/>
        <v>1</v>
      </c>
      <c r="AA76">
        <f t="shared" si="18"/>
        <v>1</v>
      </c>
      <c r="AC76">
        <f t="shared" si="19"/>
        <v>0.16842105263157894</v>
      </c>
      <c r="AD76">
        <f t="shared" si="14"/>
        <v>0.16842105263157894</v>
      </c>
    </row>
    <row r="77" spans="1:30" x14ac:dyDescent="0.25">
      <c r="A77">
        <v>365</v>
      </c>
      <c r="B77">
        <f>IFERROR(VLOOKUP(A77,Capacity!$A$3:$D$532,4,), "0")</f>
        <v>3.8484509349999994</v>
      </c>
      <c r="C77" s="4">
        <f>IFERROR(VLOOKUP(A77,Capacity!$A$3:$F$532,6,), "0")</f>
        <v>0.17499999999999999</v>
      </c>
      <c r="E77" t="str">
        <f>IFERROR(VLOOKUP(D77,Capacity!$A$3:$D$532,4,), "0")</f>
        <v>0</v>
      </c>
      <c r="F77" s="4" t="str">
        <f>IFERROR(VLOOKUP(D77,Capacity!$A$3:$F$532,6,), "0")</f>
        <v>0</v>
      </c>
      <c r="H77" t="str">
        <f>IFERROR(VLOOKUP(G77,Capacity!$A$3:$D$532,4,), "0")</f>
        <v>0</v>
      </c>
      <c r="I77" s="4" t="str">
        <f>IFERROR(VLOOKUP(G77,Capacity!$A$3:$F$532,6,), "0")</f>
        <v>0</v>
      </c>
      <c r="K77" t="str">
        <f>IFERROR(VLOOKUP(J77,Capacity!$A$3:$D$532,4,), "0")</f>
        <v>0</v>
      </c>
      <c r="L77" s="4" t="str">
        <f>IFERROR(VLOOKUP(J77,Capacity!$A$3:$F$532,6,), "0")</f>
        <v>0</v>
      </c>
      <c r="M77" s="5">
        <f t="shared" si="10"/>
        <v>0</v>
      </c>
      <c r="N77" s="5">
        <f t="shared" si="11"/>
        <v>0</v>
      </c>
      <c r="O77">
        <v>23</v>
      </c>
      <c r="P77">
        <f>IFERROR(VLOOKUP(O77,Capacity!$A$3:$D$532,4,), "0")</f>
        <v>125.66370400000002</v>
      </c>
      <c r="Q77" s="4">
        <f>IFERROR(VLOOKUP(O77,Capacity!$A$3:$F$532,6,), "0")</f>
        <v>0.4</v>
      </c>
      <c r="R77" s="5">
        <f t="shared" si="15"/>
        <v>125.66370400000002</v>
      </c>
      <c r="S77" s="5">
        <f t="shared" si="16"/>
        <v>0.4</v>
      </c>
      <c r="T77">
        <v>365</v>
      </c>
      <c r="U77">
        <v>0</v>
      </c>
      <c r="V77">
        <v>0</v>
      </c>
      <c r="W77">
        <v>1</v>
      </c>
      <c r="X77">
        <f t="shared" si="12"/>
        <v>0</v>
      </c>
      <c r="Y77">
        <f t="shared" si="13"/>
        <v>0</v>
      </c>
      <c r="Z77">
        <f t="shared" si="17"/>
        <v>0</v>
      </c>
      <c r="AA77">
        <f t="shared" si="18"/>
        <v>0</v>
      </c>
      <c r="AC77">
        <f t="shared" si="19"/>
        <v>0</v>
      </c>
      <c r="AD77">
        <f t="shared" si="14"/>
        <v>0</v>
      </c>
    </row>
    <row r="78" spans="1:30" x14ac:dyDescent="0.25">
      <c r="A78">
        <v>348</v>
      </c>
      <c r="B78">
        <f>IFERROR(VLOOKUP(A78,Capacity!$A$3:$D$532,4,), "0")</f>
        <v>108.07078544000002</v>
      </c>
      <c r="C78" s="4">
        <f>IFERROR(VLOOKUP(A78,Capacity!$A$3:$F$532,6,), "0")</f>
        <v>0.4</v>
      </c>
      <c r="D78">
        <v>347</v>
      </c>
      <c r="E78">
        <f>IFERROR(VLOOKUP(D78,Capacity!$A$3:$D$532,4,), "0")</f>
        <v>9.4247778000000029</v>
      </c>
      <c r="F78" s="4">
        <f>IFERROR(VLOOKUP(D78,Capacity!$A$3:$F$532,6,), "0")</f>
        <v>0.2</v>
      </c>
      <c r="G78">
        <v>349</v>
      </c>
      <c r="H78">
        <f>IFERROR(VLOOKUP(G78,Capacity!$A$3:$D$532,4,), "0")</f>
        <v>21.205750049999999</v>
      </c>
      <c r="I78" s="4">
        <f>IFERROR(VLOOKUP(G78,Capacity!$A$3:$F$532,6,), "0")</f>
        <v>0.3</v>
      </c>
      <c r="J78">
        <v>248</v>
      </c>
      <c r="K78">
        <f>IFERROR(VLOOKUP(J78,Capacity!$A$3:$D$532,4,), "0")</f>
        <v>26.474200840200002</v>
      </c>
      <c r="L78" s="4">
        <f>IFERROR(VLOOKUP(J78,Capacity!$A$3:$F$532,6,), "0")</f>
        <v>0.26500000000000001</v>
      </c>
      <c r="M78" s="5">
        <f t="shared" si="10"/>
        <v>57.104728690200005</v>
      </c>
      <c r="N78" s="5">
        <f t="shared" si="11"/>
        <v>0.76500000000000001</v>
      </c>
      <c r="O78">
        <v>23</v>
      </c>
      <c r="P78">
        <f>IFERROR(VLOOKUP(O78,Capacity!$A$3:$D$532,4,), "0")</f>
        <v>125.66370400000002</v>
      </c>
      <c r="Q78" s="4">
        <f>IFERROR(VLOOKUP(O78,Capacity!$A$3:$F$532,6,), "0")</f>
        <v>0.4</v>
      </c>
      <c r="R78" s="5">
        <f t="shared" si="15"/>
        <v>125.66370400000002</v>
      </c>
      <c r="S78" s="5">
        <f t="shared" si="16"/>
        <v>0.4</v>
      </c>
      <c r="T78">
        <v>348</v>
      </c>
      <c r="U78">
        <v>3</v>
      </c>
      <c r="V78">
        <v>3</v>
      </c>
      <c r="W78">
        <v>1</v>
      </c>
      <c r="X78">
        <f t="shared" si="12"/>
        <v>0.45442499999999997</v>
      </c>
      <c r="Y78">
        <f t="shared" si="13"/>
        <v>0.5284011627906976</v>
      </c>
      <c r="Z78">
        <f t="shared" si="17"/>
        <v>1.9124999999999999</v>
      </c>
      <c r="AA78">
        <f t="shared" si="18"/>
        <v>1.9124999999999999</v>
      </c>
      <c r="AC78">
        <f t="shared" si="19"/>
        <v>0.24431451612903221</v>
      </c>
      <c r="AD78">
        <f t="shared" si="14"/>
        <v>0.73294354838709663</v>
      </c>
    </row>
    <row r="79" spans="1:30" x14ac:dyDescent="0.25">
      <c r="A79">
        <v>418</v>
      </c>
      <c r="B79">
        <f>IFERROR(VLOOKUP(A79,Capacity!$A$3:$D$532,4,), "0")</f>
        <v>21.647536509374998</v>
      </c>
      <c r="C79" s="4">
        <f>IFERROR(VLOOKUP(A79,Capacity!$A$3:$F$532,6,), "0")</f>
        <v>0.17499999999999999</v>
      </c>
      <c r="E79" t="str">
        <f>IFERROR(VLOOKUP(D79,Capacity!$A$3:$D$532,4,), "0")</f>
        <v>0</v>
      </c>
      <c r="F79" s="4" t="str">
        <f>IFERROR(VLOOKUP(D79,Capacity!$A$3:$F$532,6,), "0")</f>
        <v>0</v>
      </c>
      <c r="H79" t="str">
        <f>IFERROR(VLOOKUP(G79,Capacity!$A$3:$D$532,4,), "0")</f>
        <v>0</v>
      </c>
      <c r="I79" s="4" t="str">
        <f>IFERROR(VLOOKUP(G79,Capacity!$A$3:$F$532,6,), "0")</f>
        <v>0</v>
      </c>
      <c r="K79" t="str">
        <f>IFERROR(VLOOKUP(J79,Capacity!$A$3:$D$532,4,), "0")</f>
        <v>0</v>
      </c>
      <c r="L79" s="4" t="str">
        <f>IFERROR(VLOOKUP(J79,Capacity!$A$3:$F$532,6,), "0")</f>
        <v>0</v>
      </c>
      <c r="M79" s="5">
        <f t="shared" si="10"/>
        <v>0</v>
      </c>
      <c r="N79" s="5">
        <f t="shared" si="11"/>
        <v>0</v>
      </c>
      <c r="O79">
        <v>47</v>
      </c>
      <c r="P79">
        <f>IFERROR(VLOOKUP(O79,Capacity!$A$3:$D$532,4,), "0")</f>
        <v>141.371667</v>
      </c>
      <c r="Q79" s="4">
        <f>IFERROR(VLOOKUP(O79,Capacity!$A$3:$F$532,6,), "0")</f>
        <v>0.75</v>
      </c>
      <c r="R79" s="5">
        <f t="shared" si="15"/>
        <v>141.371667</v>
      </c>
      <c r="S79" s="5">
        <f t="shared" si="16"/>
        <v>0.75</v>
      </c>
      <c r="T79">
        <v>418</v>
      </c>
      <c r="U79">
        <v>0</v>
      </c>
      <c r="V79">
        <v>0</v>
      </c>
      <c r="W79">
        <v>1</v>
      </c>
      <c r="X79">
        <f t="shared" si="12"/>
        <v>0</v>
      </c>
      <c r="Y79">
        <f t="shared" si="13"/>
        <v>0</v>
      </c>
      <c r="Z79">
        <f t="shared" si="17"/>
        <v>0</v>
      </c>
      <c r="AA79">
        <f t="shared" si="18"/>
        <v>0</v>
      </c>
      <c r="AC79">
        <f t="shared" si="19"/>
        <v>0</v>
      </c>
      <c r="AD79">
        <f t="shared" si="14"/>
        <v>0</v>
      </c>
    </row>
    <row r="80" spans="1:30" x14ac:dyDescent="0.25">
      <c r="A80">
        <v>45</v>
      </c>
      <c r="B80">
        <f>IFERROR(VLOOKUP(A80,Capacity!$A$3:$D$532,4,), "0")</f>
        <v>40.212385280000007</v>
      </c>
      <c r="C80" s="4">
        <f>IFERROR(VLOOKUP(A80,Capacity!$A$3:$F$532,6,), "0")</f>
        <v>0.4</v>
      </c>
      <c r="D80">
        <v>368</v>
      </c>
      <c r="E80">
        <f>IFERROR(VLOOKUP(D80,Capacity!$A$3:$D$532,4,), "0")</f>
        <v>23.090705609999997</v>
      </c>
      <c r="F80" s="4">
        <f>IFERROR(VLOOKUP(D80,Capacity!$A$3:$F$532,6,), "0")</f>
        <v>0.17499999999999999</v>
      </c>
      <c r="G80">
        <v>416</v>
      </c>
      <c r="H80">
        <f>IFERROR(VLOOKUP(G80,Capacity!$A$3:$D$532,4,), "0")</f>
        <v>21.647536509374998</v>
      </c>
      <c r="I80" s="4">
        <f>IFERROR(VLOOKUP(G80,Capacity!$A$3:$F$532,6,), "0")</f>
        <v>0.17499999999999999</v>
      </c>
      <c r="J80">
        <v>44</v>
      </c>
      <c r="K80">
        <f>IFERROR(VLOOKUP(J80,Capacity!$A$3:$D$532,4,), "0")</f>
        <v>40.212385280000007</v>
      </c>
      <c r="L80" s="4">
        <f>IFERROR(VLOOKUP(J80,Capacity!$A$3:$F$532,6,), "0")</f>
        <v>0.4</v>
      </c>
      <c r="M80" s="5">
        <f t="shared" si="10"/>
        <v>84.950627399375009</v>
      </c>
      <c r="N80" s="5">
        <f t="shared" si="11"/>
        <v>0.75</v>
      </c>
      <c r="O80">
        <v>47</v>
      </c>
      <c r="P80">
        <f>IFERROR(VLOOKUP(O80,Capacity!$A$3:$D$532,4,), "0")</f>
        <v>141.371667</v>
      </c>
      <c r="Q80" s="4">
        <f>IFERROR(VLOOKUP(O80,Capacity!$A$3:$F$532,6,), "0")</f>
        <v>0.75</v>
      </c>
      <c r="R80" s="5">
        <f t="shared" si="15"/>
        <v>141.371667</v>
      </c>
      <c r="S80" s="5">
        <f t="shared" si="16"/>
        <v>0.75</v>
      </c>
      <c r="T80">
        <v>45</v>
      </c>
      <c r="U80">
        <v>3</v>
      </c>
      <c r="V80">
        <v>3</v>
      </c>
      <c r="W80">
        <v>1</v>
      </c>
      <c r="X80">
        <f t="shared" si="12"/>
        <v>0.60090277777777779</v>
      </c>
      <c r="Y80">
        <f t="shared" si="13"/>
        <v>2.112548828125</v>
      </c>
      <c r="Z80">
        <f t="shared" si="17"/>
        <v>1</v>
      </c>
      <c r="AA80">
        <f t="shared" si="18"/>
        <v>1.875</v>
      </c>
      <c r="AC80">
        <f t="shared" si="19"/>
        <v>0.46783088235294118</v>
      </c>
      <c r="AD80">
        <f t="shared" si="14"/>
        <v>1.4034926470588236</v>
      </c>
    </row>
    <row r="81" spans="1:30" x14ac:dyDescent="0.25">
      <c r="A81">
        <v>25</v>
      </c>
      <c r="B81">
        <f>IFERROR(VLOOKUP(A81,Capacity!$A$3:$D$532,4,), "0")</f>
        <v>424.11500100000001</v>
      </c>
      <c r="C81" s="4">
        <f>IFERROR(VLOOKUP(A81,Capacity!$A$3:$F$532,6,), "0")</f>
        <v>0.75</v>
      </c>
      <c r="D81">
        <v>26</v>
      </c>
      <c r="E81">
        <f>IFERROR(VLOOKUP(D81,Capacity!$A$3:$D$532,4,), "0")</f>
        <v>70.685833500000001</v>
      </c>
      <c r="F81" s="4">
        <f>IFERROR(VLOOKUP(D81,Capacity!$A$3:$F$532,6,), "0")</f>
        <v>0.75</v>
      </c>
      <c r="G81">
        <v>366</v>
      </c>
      <c r="H81">
        <f>IFERROR(VLOOKUP(G81,Capacity!$A$3:$D$532,4,), "0")</f>
        <v>7.6969018699999987</v>
      </c>
      <c r="I81" s="4">
        <f>IFERROR(VLOOKUP(G81,Capacity!$A$3:$F$532,6,), "0")</f>
        <v>0.17499999999999999</v>
      </c>
      <c r="K81" t="str">
        <f>IFERROR(VLOOKUP(J81,Capacity!$A$3:$D$532,4,), "0")</f>
        <v>0</v>
      </c>
      <c r="L81" s="4" t="str">
        <f>IFERROR(VLOOKUP(J81,Capacity!$A$3:$F$532,6,), "0")</f>
        <v>0</v>
      </c>
      <c r="M81" s="5">
        <f t="shared" si="10"/>
        <v>78.382735370000006</v>
      </c>
      <c r="N81" s="5">
        <f t="shared" si="11"/>
        <v>0.92500000000000004</v>
      </c>
      <c r="O81">
        <v>47</v>
      </c>
      <c r="P81">
        <f>IFERROR(VLOOKUP(O81,Capacity!$A$3:$D$532,4,), "0")</f>
        <v>141.371667</v>
      </c>
      <c r="Q81" s="4">
        <f>IFERROR(VLOOKUP(O81,Capacity!$A$3:$F$532,6,), "0")</f>
        <v>0.75</v>
      </c>
      <c r="R81" s="5">
        <f t="shared" si="15"/>
        <v>141.371667</v>
      </c>
      <c r="S81" s="5">
        <f t="shared" si="16"/>
        <v>0.75</v>
      </c>
      <c r="T81">
        <v>25</v>
      </c>
      <c r="U81">
        <v>2</v>
      </c>
      <c r="V81">
        <v>2</v>
      </c>
      <c r="W81">
        <v>1</v>
      </c>
      <c r="X81">
        <f t="shared" si="12"/>
        <v>0.55444444444444452</v>
      </c>
      <c r="Y81">
        <f t="shared" si="13"/>
        <v>0.18481481481481482</v>
      </c>
      <c r="Z81">
        <f t="shared" si="17"/>
        <v>1.2333333333333334</v>
      </c>
      <c r="AA81">
        <f t="shared" si="18"/>
        <v>1.2333333333333334</v>
      </c>
      <c r="AC81">
        <f t="shared" si="19"/>
        <v>0.13861111111111113</v>
      </c>
      <c r="AD81">
        <f t="shared" si="14"/>
        <v>0.27722222222222226</v>
      </c>
    </row>
    <row r="82" spans="1:30" x14ac:dyDescent="0.25">
      <c r="A82">
        <v>84</v>
      </c>
      <c r="B82">
        <f>IFERROR(VLOOKUP(A82,Capacity!$A$3:$D$532,4,), "0")</f>
        <v>90.477866879999993</v>
      </c>
      <c r="C82" s="4">
        <f>IFERROR(VLOOKUP(A82,Capacity!$A$3:$F$532,6,), "0")</f>
        <v>0.6</v>
      </c>
      <c r="D82">
        <v>83</v>
      </c>
      <c r="E82">
        <f>IFERROR(VLOOKUP(D82,Capacity!$A$3:$D$532,4,), "0")</f>
        <v>90.477866879999993</v>
      </c>
      <c r="F82" s="4">
        <f>IFERROR(VLOOKUP(D82,Capacity!$A$3:$F$532,6,), "0")</f>
        <v>0.6</v>
      </c>
      <c r="H82" t="str">
        <f>IFERROR(VLOOKUP(G82,Capacity!$A$3:$D$532,4,), "0")</f>
        <v>0</v>
      </c>
      <c r="I82" s="4" t="str">
        <f>IFERROR(VLOOKUP(G82,Capacity!$A$3:$F$532,6,), "0")</f>
        <v>0</v>
      </c>
      <c r="K82" t="str">
        <f>IFERROR(VLOOKUP(J82,Capacity!$A$3:$D$532,4,), "0")</f>
        <v>0</v>
      </c>
      <c r="L82" s="4" t="str">
        <f>IFERROR(VLOOKUP(J82,Capacity!$A$3:$F$532,6,), "0")</f>
        <v>0</v>
      </c>
      <c r="M82" s="5">
        <f t="shared" si="10"/>
        <v>90.477866879999993</v>
      </c>
      <c r="N82" s="5">
        <f t="shared" si="11"/>
        <v>0.6</v>
      </c>
      <c r="O82">
        <v>85</v>
      </c>
      <c r="P82">
        <f>IFERROR(VLOOKUP(O82,Capacity!$A$3:$D$532,4,), "0")</f>
        <v>90.477866879999993</v>
      </c>
      <c r="Q82" s="4">
        <f>IFERROR(VLOOKUP(O82,Capacity!$A$3:$F$532,6,), "0")</f>
        <v>0.6</v>
      </c>
      <c r="R82" s="5">
        <f t="shared" si="15"/>
        <v>90.477866879999993</v>
      </c>
      <c r="S82" s="5">
        <f t="shared" si="16"/>
        <v>0.6</v>
      </c>
      <c r="T82">
        <v>84</v>
      </c>
      <c r="U82">
        <v>1</v>
      </c>
      <c r="V82">
        <v>1</v>
      </c>
      <c r="W82">
        <v>1</v>
      </c>
      <c r="X82">
        <f t="shared" si="12"/>
        <v>1</v>
      </c>
      <c r="Y82">
        <f t="shared" si="13"/>
        <v>1</v>
      </c>
      <c r="Z82">
        <f t="shared" si="17"/>
        <v>1</v>
      </c>
      <c r="AA82">
        <f t="shared" si="18"/>
        <v>1</v>
      </c>
      <c r="AC82">
        <f t="shared" si="19"/>
        <v>0.5</v>
      </c>
      <c r="AD82">
        <f t="shared" si="14"/>
        <v>0.5</v>
      </c>
    </row>
    <row r="83" spans="1:30" x14ac:dyDescent="0.25">
      <c r="A83">
        <v>415</v>
      </c>
      <c r="B83">
        <f>IFERROR(VLOOKUP(A83,Capacity!$A$3:$D$532,4,), "0")</f>
        <v>21.166480142499999</v>
      </c>
      <c r="C83" s="4">
        <f>IFERROR(VLOOKUP(A83,Capacity!$A$3:$F$532,6,), "0")</f>
        <v>0.17499999999999999</v>
      </c>
      <c r="E83" t="str">
        <f>IFERROR(VLOOKUP(D83,Capacity!$A$3:$D$532,4,), "0")</f>
        <v>0</v>
      </c>
      <c r="F83" s="4" t="str">
        <f>IFERROR(VLOOKUP(D83,Capacity!$A$3:$F$532,6,), "0")</f>
        <v>0</v>
      </c>
      <c r="H83" t="str">
        <f>IFERROR(VLOOKUP(G83,Capacity!$A$3:$D$532,4,), "0")</f>
        <v>0</v>
      </c>
      <c r="I83" s="4" t="str">
        <f>IFERROR(VLOOKUP(G83,Capacity!$A$3:$F$532,6,), "0")</f>
        <v>0</v>
      </c>
      <c r="K83" t="str">
        <f>IFERROR(VLOOKUP(J83,Capacity!$A$3:$D$532,4,), "0")</f>
        <v>0</v>
      </c>
      <c r="L83" s="4" t="str">
        <f>IFERROR(VLOOKUP(J83,Capacity!$A$3:$F$532,6,), "0")</f>
        <v>0</v>
      </c>
      <c r="M83" s="5">
        <f t="shared" si="10"/>
        <v>0</v>
      </c>
      <c r="N83" s="5">
        <f t="shared" si="11"/>
        <v>0</v>
      </c>
      <c r="O83">
        <v>170</v>
      </c>
      <c r="P83">
        <f>IFERROR(VLOOKUP(O83,Capacity!$A$3:$D$532,4,), "0")</f>
        <v>22.619466719999998</v>
      </c>
      <c r="Q83" s="4">
        <f>IFERROR(VLOOKUP(O83,Capacity!$A$3:$F$532,6,), "0")</f>
        <v>0.3</v>
      </c>
      <c r="R83" s="5">
        <f t="shared" si="15"/>
        <v>22.619466719999998</v>
      </c>
      <c r="S83" s="5">
        <f t="shared" si="16"/>
        <v>0.3</v>
      </c>
      <c r="T83">
        <v>415</v>
      </c>
      <c r="U83">
        <v>0</v>
      </c>
      <c r="V83">
        <v>0</v>
      </c>
      <c r="W83">
        <v>1</v>
      </c>
      <c r="X83">
        <f t="shared" si="12"/>
        <v>0</v>
      </c>
      <c r="Y83">
        <f t="shared" si="13"/>
        <v>0</v>
      </c>
      <c r="Z83">
        <f t="shared" si="17"/>
        <v>0</v>
      </c>
      <c r="AA83">
        <f t="shared" si="18"/>
        <v>0</v>
      </c>
      <c r="AC83">
        <f t="shared" si="19"/>
        <v>0</v>
      </c>
      <c r="AD83">
        <f t="shared" si="14"/>
        <v>0</v>
      </c>
    </row>
    <row r="84" spans="1:30" x14ac:dyDescent="0.25">
      <c r="A84">
        <v>173</v>
      </c>
      <c r="B84">
        <f>IFERROR(VLOOKUP(A84,Capacity!$A$3:$D$532,4,), "0")</f>
        <v>22.619466719999998</v>
      </c>
      <c r="C84" s="4">
        <f>IFERROR(VLOOKUP(A84,Capacity!$A$3:$F$532,6,), "0")</f>
        <v>0.3</v>
      </c>
      <c r="D84">
        <v>413</v>
      </c>
      <c r="E84">
        <f>IFERROR(VLOOKUP(D84,Capacity!$A$3:$D$532,4,), "0")</f>
        <v>21.166480142499999</v>
      </c>
      <c r="F84" s="4">
        <f>IFERROR(VLOOKUP(D84,Capacity!$A$3:$F$532,6,), "0")</f>
        <v>0.17499999999999999</v>
      </c>
      <c r="G84">
        <v>178</v>
      </c>
      <c r="H84">
        <f>IFERROR(VLOOKUP(G84,Capacity!$A$3:$D$532,4,), "0")</f>
        <v>22.619466719999998</v>
      </c>
      <c r="I84" s="4">
        <f>IFERROR(VLOOKUP(G84,Capacity!$A$3:$F$532,6,), "0")</f>
        <v>0.3</v>
      </c>
      <c r="K84" t="str">
        <f>IFERROR(VLOOKUP(J84,Capacity!$A$3:$D$532,4,), "0")</f>
        <v>0</v>
      </c>
      <c r="L84" s="4" t="str">
        <f>IFERROR(VLOOKUP(J84,Capacity!$A$3:$F$532,6,), "0")</f>
        <v>0</v>
      </c>
      <c r="M84" s="5">
        <f t="shared" si="10"/>
        <v>43.785946862499998</v>
      </c>
      <c r="N84" s="5">
        <f t="shared" si="11"/>
        <v>0.47499999999999998</v>
      </c>
      <c r="O84">
        <v>170</v>
      </c>
      <c r="P84">
        <f>IFERROR(VLOOKUP(O84,Capacity!$A$3:$D$532,4,), "0")</f>
        <v>22.619466719999998</v>
      </c>
      <c r="Q84" s="4">
        <f>IFERROR(VLOOKUP(O84,Capacity!$A$3:$F$532,6,), "0")</f>
        <v>0.3</v>
      </c>
      <c r="R84" s="5">
        <f t="shared" si="15"/>
        <v>22.619466719999998</v>
      </c>
      <c r="S84" s="5">
        <f t="shared" si="16"/>
        <v>0.3</v>
      </c>
      <c r="T84">
        <v>173</v>
      </c>
      <c r="U84">
        <v>2</v>
      </c>
      <c r="V84">
        <v>2</v>
      </c>
      <c r="W84">
        <v>1</v>
      </c>
      <c r="X84">
        <f t="shared" si="12"/>
        <v>1.9357638888888888</v>
      </c>
      <c r="Y84">
        <f t="shared" si="13"/>
        <v>1.9357638888888888</v>
      </c>
      <c r="Z84">
        <f t="shared" si="17"/>
        <v>1.5833333333333333</v>
      </c>
      <c r="AA84">
        <f t="shared" si="18"/>
        <v>1.5833333333333333</v>
      </c>
      <c r="AC84">
        <f t="shared" si="19"/>
        <v>0.96788194444444442</v>
      </c>
      <c r="AD84">
        <f t="shared" si="14"/>
        <v>1.9357638888888888</v>
      </c>
    </row>
    <row r="85" spans="1:30" x14ac:dyDescent="0.25">
      <c r="A85">
        <v>453</v>
      </c>
      <c r="B85">
        <f>IFERROR(VLOOKUP(A85,Capacity!$A$3:$D$532,4,), "0")</f>
        <v>15.874860106874999</v>
      </c>
      <c r="C85" s="4">
        <f>IFERROR(VLOOKUP(A85,Capacity!$A$3:$F$532,6,), "0")</f>
        <v>0.17499999999999999</v>
      </c>
      <c r="E85" t="str">
        <f>IFERROR(VLOOKUP(D85,Capacity!$A$3:$D$532,4,), "0")</f>
        <v>0</v>
      </c>
      <c r="F85" s="4" t="str">
        <f>IFERROR(VLOOKUP(D85,Capacity!$A$3:$F$532,6,), "0")</f>
        <v>0</v>
      </c>
      <c r="H85" t="str">
        <f>IFERROR(VLOOKUP(G85,Capacity!$A$3:$D$532,4,), "0")</f>
        <v>0</v>
      </c>
      <c r="I85" s="4" t="str">
        <f>IFERROR(VLOOKUP(G85,Capacity!$A$3:$F$532,6,), "0")</f>
        <v>0</v>
      </c>
      <c r="K85" t="str">
        <f>IFERROR(VLOOKUP(J85,Capacity!$A$3:$D$532,4,), "0")</f>
        <v>0</v>
      </c>
      <c r="L85" s="4" t="str">
        <f>IFERROR(VLOOKUP(J85,Capacity!$A$3:$F$532,6,), "0")</f>
        <v>0</v>
      </c>
      <c r="M85" s="5">
        <f t="shared" si="10"/>
        <v>0</v>
      </c>
      <c r="N85" s="5">
        <f t="shared" si="11"/>
        <v>0</v>
      </c>
      <c r="O85">
        <v>171</v>
      </c>
      <c r="P85">
        <f>IFERROR(VLOOKUP(O85,Capacity!$A$3:$D$532,4,), "0")</f>
        <v>291.57906318750003</v>
      </c>
      <c r="Q85" s="4">
        <f>IFERROR(VLOOKUP(O85,Capacity!$A$3:$F$532,6,), "0")</f>
        <v>0.75</v>
      </c>
      <c r="R85" s="5">
        <f t="shared" si="15"/>
        <v>291.57906318750003</v>
      </c>
      <c r="S85" s="5">
        <f t="shared" si="16"/>
        <v>0.75</v>
      </c>
      <c r="T85">
        <v>453</v>
      </c>
      <c r="U85">
        <v>0</v>
      </c>
      <c r="V85">
        <v>0</v>
      </c>
      <c r="W85">
        <v>1</v>
      </c>
      <c r="X85">
        <f t="shared" si="12"/>
        <v>0</v>
      </c>
      <c r="Y85">
        <f t="shared" si="13"/>
        <v>0</v>
      </c>
      <c r="Z85">
        <f t="shared" si="17"/>
        <v>0</v>
      </c>
      <c r="AA85">
        <f t="shared" si="18"/>
        <v>0</v>
      </c>
      <c r="AC85">
        <f t="shared" si="19"/>
        <v>0</v>
      </c>
      <c r="AD85">
        <f t="shared" si="14"/>
        <v>0</v>
      </c>
    </row>
    <row r="86" spans="1:30" x14ac:dyDescent="0.25">
      <c r="A86">
        <v>181</v>
      </c>
      <c r="B86">
        <f>IFERROR(VLOOKUP(A86,Capacity!$A$3:$D$532,4,), "0")</f>
        <v>7.6969018699999987</v>
      </c>
      <c r="C86" s="4">
        <f>IFERROR(VLOOKUP(A86,Capacity!$A$3:$F$532,6,), "0")</f>
        <v>0.17499999999999999</v>
      </c>
      <c r="D86">
        <v>180</v>
      </c>
      <c r="E86">
        <f>IFERROR(VLOOKUP(D86,Capacity!$A$3:$D$532,4,), "0")</f>
        <v>20.734511160000007</v>
      </c>
      <c r="F86" s="4">
        <f>IFERROR(VLOOKUP(D86,Capacity!$A$3:$F$532,6,), "0")</f>
        <v>0.2</v>
      </c>
      <c r="G86">
        <v>186</v>
      </c>
      <c r="H86">
        <f>IFERROR(VLOOKUP(G86,Capacity!$A$3:$D$532,4,), "0")</f>
        <v>17.649467226800002</v>
      </c>
      <c r="I86" s="4">
        <f>IFERROR(VLOOKUP(G86,Capacity!$A$3:$F$532,6,), "0")</f>
        <v>0.26500000000000001</v>
      </c>
      <c r="J86">
        <v>458</v>
      </c>
      <c r="K86">
        <f>IFERROR(VLOOKUP(J86,Capacity!$A$3:$D$532,4,), "0")</f>
        <v>19.242254674999998</v>
      </c>
      <c r="L86" s="4">
        <f>IFERROR(VLOOKUP(J86,Capacity!$A$3:$F$532,6,), "0")</f>
        <v>0.17499999999999999</v>
      </c>
      <c r="M86" s="5">
        <f t="shared" si="10"/>
        <v>57.626233061800008</v>
      </c>
      <c r="N86" s="5">
        <f t="shared" si="11"/>
        <v>0.64</v>
      </c>
      <c r="O86">
        <v>175</v>
      </c>
      <c r="P86">
        <f>IFERROR(VLOOKUP(O86,Capacity!$A$3:$D$532,4,), "0")</f>
        <v>17.649467226800002</v>
      </c>
      <c r="Q86" s="4">
        <f>IFERROR(VLOOKUP(O86,Capacity!$A$3:$F$532,6,), "0")</f>
        <v>0.26500000000000001</v>
      </c>
      <c r="R86" s="5">
        <f t="shared" si="15"/>
        <v>17.649467226800002</v>
      </c>
      <c r="S86" s="5">
        <f t="shared" si="16"/>
        <v>0.26500000000000001</v>
      </c>
      <c r="T86">
        <v>181</v>
      </c>
      <c r="U86">
        <v>3</v>
      </c>
      <c r="V86">
        <v>3</v>
      </c>
      <c r="W86">
        <v>1</v>
      </c>
      <c r="X86">
        <f t="shared" si="12"/>
        <v>3.2650409398362408</v>
      </c>
      <c r="Y86">
        <f t="shared" si="13"/>
        <v>7.4869387755102066</v>
      </c>
      <c r="Z86">
        <f t="shared" si="17"/>
        <v>2.4150943396226414</v>
      </c>
      <c r="AA86">
        <f t="shared" si="18"/>
        <v>3.6571428571428575</v>
      </c>
      <c r="AC86">
        <f t="shared" si="19"/>
        <v>2.2735498264749632</v>
      </c>
      <c r="AD86">
        <f t="shared" si="14"/>
        <v>6.8206494794248895</v>
      </c>
    </row>
    <row r="87" spans="1:30" x14ac:dyDescent="0.25">
      <c r="A87">
        <v>174</v>
      </c>
      <c r="B87">
        <f>IFERROR(VLOOKUP(A87,Capacity!$A$3:$D$532,4,), "0")</f>
        <v>15.874860106874999</v>
      </c>
      <c r="C87" s="4">
        <f>IFERROR(VLOOKUP(A87,Capacity!$A$3:$F$532,6,), "0")</f>
        <v>0.17499999999999999</v>
      </c>
      <c r="D87">
        <v>455</v>
      </c>
      <c r="E87">
        <f>IFERROR(VLOOKUP(D87,Capacity!$A$3:$D$532,4,), "0")</f>
        <v>291.57906318750003</v>
      </c>
      <c r="F87" s="4">
        <f>IFERROR(VLOOKUP(D87,Capacity!$A$3:$F$532,6,), "0")</f>
        <v>0.75</v>
      </c>
      <c r="H87" t="str">
        <f>IFERROR(VLOOKUP(G87,Capacity!$A$3:$D$532,4,), "0")</f>
        <v>0</v>
      </c>
      <c r="I87" s="4" t="str">
        <f>IFERROR(VLOOKUP(G87,Capacity!$A$3:$F$532,6,), "0")</f>
        <v>0</v>
      </c>
      <c r="K87" t="str">
        <f>IFERROR(VLOOKUP(J87,Capacity!$A$3:$D$532,4,), "0")</f>
        <v>0</v>
      </c>
      <c r="L87" s="4" t="str">
        <f>IFERROR(VLOOKUP(J87,Capacity!$A$3:$F$532,6,), "0")</f>
        <v>0</v>
      </c>
      <c r="M87" s="5">
        <f t="shared" si="10"/>
        <v>291.57906318750003</v>
      </c>
      <c r="N87" s="5">
        <f t="shared" si="11"/>
        <v>0.75</v>
      </c>
      <c r="O87">
        <v>175</v>
      </c>
      <c r="P87">
        <f>IFERROR(VLOOKUP(O87,Capacity!$A$3:$D$532,4,), "0")</f>
        <v>17.649467226800002</v>
      </c>
      <c r="Q87" s="4">
        <f>IFERROR(VLOOKUP(O87,Capacity!$A$3:$F$532,6,), "0")</f>
        <v>0.26500000000000001</v>
      </c>
      <c r="R87" s="5">
        <f t="shared" si="15"/>
        <v>17.649467226800002</v>
      </c>
      <c r="S87" s="5">
        <f t="shared" si="16"/>
        <v>0.26500000000000001</v>
      </c>
      <c r="T87">
        <v>174</v>
      </c>
      <c r="U87">
        <v>1</v>
      </c>
      <c r="V87">
        <v>1</v>
      </c>
      <c r="W87">
        <v>1</v>
      </c>
      <c r="X87">
        <f t="shared" si="12"/>
        <v>16.52055891776433</v>
      </c>
      <c r="Y87">
        <f t="shared" si="13"/>
        <v>18.367346938775512</v>
      </c>
      <c r="Z87">
        <f t="shared" si="17"/>
        <v>2.8301886792452828</v>
      </c>
      <c r="AA87">
        <f t="shared" si="18"/>
        <v>4.2857142857142856</v>
      </c>
      <c r="AC87">
        <f t="shared" si="19"/>
        <v>8.6975365765090373</v>
      </c>
      <c r="AD87">
        <f t="shared" si="14"/>
        <v>8.6975365765090373</v>
      </c>
    </row>
    <row r="88" spans="1:30" x14ac:dyDescent="0.25">
      <c r="A88">
        <v>460</v>
      </c>
      <c r="B88">
        <f>IFERROR(VLOOKUP(A88,Capacity!$A$3:$D$532,4,), "0")</f>
        <v>19.242254674999998</v>
      </c>
      <c r="C88" s="4">
        <f>IFERROR(VLOOKUP(A88,Capacity!$A$3:$F$532,6,), "0")</f>
        <v>0.17499999999999999</v>
      </c>
      <c r="E88" t="str">
        <f>IFERROR(VLOOKUP(D88,Capacity!$A$3:$D$532,4,), "0")</f>
        <v>0</v>
      </c>
      <c r="F88" s="4" t="str">
        <f>IFERROR(VLOOKUP(D88,Capacity!$A$3:$F$532,6,), "0")</f>
        <v>0</v>
      </c>
      <c r="H88" t="str">
        <f>IFERROR(VLOOKUP(G88,Capacity!$A$3:$D$532,4,), "0")</f>
        <v>0</v>
      </c>
      <c r="I88" s="4" t="str">
        <f>IFERROR(VLOOKUP(G88,Capacity!$A$3:$F$532,6,), "0")</f>
        <v>0</v>
      </c>
      <c r="K88" t="str">
        <f>IFERROR(VLOOKUP(J88,Capacity!$A$3:$D$532,4,), "0")</f>
        <v>0</v>
      </c>
      <c r="L88" s="4" t="str">
        <f>IFERROR(VLOOKUP(J88,Capacity!$A$3:$F$532,6,), "0")</f>
        <v>0</v>
      </c>
      <c r="M88" s="5">
        <f t="shared" si="10"/>
        <v>0</v>
      </c>
      <c r="N88" s="5">
        <f t="shared" si="11"/>
        <v>0</v>
      </c>
      <c r="O88">
        <v>187</v>
      </c>
      <c r="P88">
        <f>IFERROR(VLOOKUP(O88,Capacity!$A$3:$D$532,4,), "0")</f>
        <v>100.53096320000003</v>
      </c>
      <c r="Q88" s="4">
        <f>IFERROR(VLOOKUP(O88,Capacity!$A$3:$F$532,6,), "0")</f>
        <v>0.4</v>
      </c>
      <c r="R88" s="5">
        <f t="shared" si="15"/>
        <v>100.53096320000003</v>
      </c>
      <c r="S88" s="5">
        <f t="shared" si="16"/>
        <v>0.4</v>
      </c>
      <c r="T88">
        <v>460</v>
      </c>
      <c r="U88">
        <v>0</v>
      </c>
      <c r="V88">
        <v>0</v>
      </c>
      <c r="W88">
        <v>1</v>
      </c>
      <c r="X88">
        <f t="shared" si="12"/>
        <v>0</v>
      </c>
      <c r="Y88">
        <f t="shared" si="13"/>
        <v>0</v>
      </c>
      <c r="Z88">
        <f t="shared" si="17"/>
        <v>0</v>
      </c>
      <c r="AA88">
        <f t="shared" si="18"/>
        <v>0</v>
      </c>
      <c r="AC88">
        <f t="shared" si="19"/>
        <v>0</v>
      </c>
      <c r="AD88">
        <f t="shared" si="14"/>
        <v>0</v>
      </c>
    </row>
    <row r="89" spans="1:30" x14ac:dyDescent="0.25">
      <c r="A89">
        <v>194</v>
      </c>
      <c r="B89">
        <f>IFERROR(VLOOKUP(A89,Capacity!$A$3:$D$532,4,), "0")</f>
        <v>80.424770560000013</v>
      </c>
      <c r="C89" s="4">
        <f>IFERROR(VLOOKUP(A89,Capacity!$A$3:$F$532,6,), "0")</f>
        <v>0.4</v>
      </c>
      <c r="D89">
        <v>207</v>
      </c>
      <c r="E89">
        <f>IFERROR(VLOOKUP(D89,Capacity!$A$3:$D$532,4,), "0")</f>
        <v>31.101766740000002</v>
      </c>
      <c r="F89" s="4">
        <f>IFERROR(VLOOKUP(D89,Capacity!$A$3:$F$532,6,), "0")</f>
        <v>0.3</v>
      </c>
      <c r="G89">
        <v>193</v>
      </c>
      <c r="H89">
        <f>IFERROR(VLOOKUP(G89,Capacity!$A$3:$D$532,4,), "0")</f>
        <v>19.242254674999998</v>
      </c>
      <c r="I89" s="4">
        <f>IFERROR(VLOOKUP(G89,Capacity!$A$3:$F$532,6,), "0")</f>
        <v>0.17499999999999999</v>
      </c>
      <c r="K89" t="str">
        <f>IFERROR(VLOOKUP(J89,Capacity!$A$3:$D$532,4,), "0")</f>
        <v>0</v>
      </c>
      <c r="L89" s="4" t="str">
        <f>IFERROR(VLOOKUP(J89,Capacity!$A$3:$F$532,6,), "0")</f>
        <v>0</v>
      </c>
      <c r="M89" s="5">
        <f t="shared" si="10"/>
        <v>50.344021415</v>
      </c>
      <c r="N89" s="5">
        <f t="shared" si="11"/>
        <v>0.47499999999999998</v>
      </c>
      <c r="O89">
        <v>187</v>
      </c>
      <c r="P89">
        <f>IFERROR(VLOOKUP(O89,Capacity!$A$3:$D$532,4,), "0")</f>
        <v>100.53096320000003</v>
      </c>
      <c r="Q89" s="4">
        <f>IFERROR(VLOOKUP(O89,Capacity!$A$3:$F$532,6,), "0")</f>
        <v>0.4</v>
      </c>
      <c r="R89" s="5">
        <f t="shared" si="15"/>
        <v>100.53096320000003</v>
      </c>
      <c r="S89" s="5">
        <f t="shared" si="16"/>
        <v>0.4</v>
      </c>
      <c r="T89">
        <v>194</v>
      </c>
      <c r="U89">
        <v>2</v>
      </c>
      <c r="V89">
        <v>2</v>
      </c>
      <c r="W89">
        <v>1</v>
      </c>
      <c r="X89">
        <f t="shared" si="12"/>
        <v>0.50078124999999984</v>
      </c>
      <c r="Y89">
        <f t="shared" si="13"/>
        <v>0.62597656249999989</v>
      </c>
      <c r="Z89">
        <f t="shared" si="17"/>
        <v>1.1874999999999998</v>
      </c>
      <c r="AA89">
        <f t="shared" si="18"/>
        <v>1.1874999999999998</v>
      </c>
      <c r="AC89">
        <f t="shared" si="19"/>
        <v>0.27821180555555547</v>
      </c>
      <c r="AD89">
        <f t="shared" si="14"/>
        <v>0.55642361111111094</v>
      </c>
    </row>
    <row r="90" spans="1:30" x14ac:dyDescent="0.25">
      <c r="A90">
        <v>464</v>
      </c>
      <c r="B90">
        <f>IFERROR(VLOOKUP(A90,Capacity!$A$3:$D$532,4,), "0")</f>
        <v>19.242254674999998</v>
      </c>
      <c r="C90" s="4">
        <f>IFERROR(VLOOKUP(A90,Capacity!$A$3:$F$532,6,), "0")</f>
        <v>0.17499999999999999</v>
      </c>
      <c r="E90" t="str">
        <f>IFERROR(VLOOKUP(D90,Capacity!$A$3:$D$532,4,), "0")</f>
        <v>0</v>
      </c>
      <c r="F90" s="4" t="str">
        <f>IFERROR(VLOOKUP(D90,Capacity!$A$3:$F$532,6,), "0")</f>
        <v>0</v>
      </c>
      <c r="H90" t="str">
        <f>IFERROR(VLOOKUP(G90,Capacity!$A$3:$D$532,4,), "0")</f>
        <v>0</v>
      </c>
      <c r="I90" s="4" t="str">
        <f>IFERROR(VLOOKUP(G90,Capacity!$A$3:$F$532,6,), "0")</f>
        <v>0</v>
      </c>
      <c r="K90" t="str">
        <f>IFERROR(VLOOKUP(J90,Capacity!$A$3:$D$532,4,), "0")</f>
        <v>0</v>
      </c>
      <c r="L90" s="4" t="str">
        <f>IFERROR(VLOOKUP(J90,Capacity!$A$3:$F$532,6,), "0")</f>
        <v>0</v>
      </c>
      <c r="M90" s="5">
        <f t="shared" si="10"/>
        <v>0</v>
      </c>
      <c r="N90" s="5">
        <f t="shared" si="11"/>
        <v>0</v>
      </c>
      <c r="O90">
        <v>195</v>
      </c>
      <c r="P90">
        <f>IFERROR(VLOOKUP(O90,Capacity!$A$3:$D$532,4,), "0")</f>
        <v>20.734511160000007</v>
      </c>
      <c r="Q90" s="4">
        <f>IFERROR(VLOOKUP(O90,Capacity!$A$3:$F$532,6,), "0")</f>
        <v>0.2</v>
      </c>
      <c r="R90" s="5">
        <f t="shared" si="15"/>
        <v>20.734511160000007</v>
      </c>
      <c r="S90" s="5">
        <f t="shared" si="16"/>
        <v>0.2</v>
      </c>
      <c r="T90">
        <v>464</v>
      </c>
      <c r="U90">
        <v>0</v>
      </c>
      <c r="V90">
        <v>0</v>
      </c>
      <c r="W90">
        <v>1</v>
      </c>
      <c r="X90">
        <f t="shared" si="12"/>
        <v>0</v>
      </c>
      <c r="Y90">
        <f t="shared" si="13"/>
        <v>0</v>
      </c>
      <c r="Z90">
        <f t="shared" si="17"/>
        <v>0</v>
      </c>
      <c r="AA90">
        <f t="shared" si="18"/>
        <v>0</v>
      </c>
      <c r="AC90">
        <f t="shared" si="19"/>
        <v>0</v>
      </c>
      <c r="AD90">
        <f t="shared" si="14"/>
        <v>0</v>
      </c>
    </row>
    <row r="91" spans="1:30" x14ac:dyDescent="0.25">
      <c r="A91">
        <v>216</v>
      </c>
      <c r="B91">
        <f>IFERROR(VLOOKUP(A91,Capacity!$A$3:$D$532,4,), "0")</f>
        <v>14.451325960000002</v>
      </c>
      <c r="C91" s="4">
        <f>IFERROR(VLOOKUP(A91,Capacity!$A$3:$F$532,6,), "0")</f>
        <v>0.2</v>
      </c>
      <c r="D91">
        <v>471</v>
      </c>
      <c r="E91">
        <f>IFERROR(VLOOKUP(D91,Capacity!$A$3:$D$532,4,), "0")</f>
        <v>22.705860516499996</v>
      </c>
      <c r="F91" s="4">
        <f>IFERROR(VLOOKUP(D91,Capacity!$A$3:$F$532,6,), "0")</f>
        <v>0.17499999999999999</v>
      </c>
      <c r="G91">
        <v>275</v>
      </c>
      <c r="H91">
        <f>IFERROR(VLOOKUP(G91,Capacity!$A$3:$D$532,4,), "0")</f>
        <v>28.863382012499997</v>
      </c>
      <c r="I91" s="4">
        <f>IFERROR(VLOOKUP(G91,Capacity!$A$3:$F$532,6,), "0")</f>
        <v>0.17499999999999999</v>
      </c>
      <c r="J91">
        <v>215</v>
      </c>
      <c r="K91">
        <f>IFERROR(VLOOKUP(J91,Capacity!$A$3:$D$532,4,), "0")</f>
        <v>6.2831852000000019</v>
      </c>
      <c r="L91" s="4">
        <f>IFERROR(VLOOKUP(J91,Capacity!$A$3:$F$532,6,), "0")</f>
        <v>0.2</v>
      </c>
      <c r="M91" s="5">
        <f t="shared" si="10"/>
        <v>57.852427728999999</v>
      </c>
      <c r="N91" s="5">
        <f t="shared" si="11"/>
        <v>0.55000000000000004</v>
      </c>
      <c r="O91">
        <v>195</v>
      </c>
      <c r="P91">
        <f>IFERROR(VLOOKUP(O91,Capacity!$A$3:$D$532,4,), "0")</f>
        <v>20.734511160000007</v>
      </c>
      <c r="Q91" s="4">
        <f>IFERROR(VLOOKUP(O91,Capacity!$A$3:$F$532,6,), "0")</f>
        <v>0.2</v>
      </c>
      <c r="R91" s="5">
        <f t="shared" si="15"/>
        <v>20.734511160000007</v>
      </c>
      <c r="S91" s="5">
        <f t="shared" si="16"/>
        <v>0.2</v>
      </c>
      <c r="T91">
        <v>216</v>
      </c>
      <c r="U91">
        <v>3</v>
      </c>
      <c r="V91">
        <v>3</v>
      </c>
      <c r="W91">
        <v>1</v>
      </c>
      <c r="X91">
        <f t="shared" si="12"/>
        <v>2.7901515151515142</v>
      </c>
      <c r="Y91">
        <f t="shared" si="13"/>
        <v>4.0032608695652172</v>
      </c>
      <c r="Z91">
        <f t="shared" si="17"/>
        <v>2.75</v>
      </c>
      <c r="AA91">
        <f t="shared" si="18"/>
        <v>2.75</v>
      </c>
      <c r="AC91">
        <f t="shared" si="19"/>
        <v>1.6441964285714281</v>
      </c>
      <c r="AD91">
        <f t="shared" si="14"/>
        <v>4.9325892857142843</v>
      </c>
    </row>
    <row r="92" spans="1:30" x14ac:dyDescent="0.25">
      <c r="A92">
        <v>126</v>
      </c>
      <c r="B92">
        <f>IFERROR(VLOOKUP(A92,Capacity!$A$3:$D$532,4,), "0")</f>
        <v>12.507465538749999</v>
      </c>
      <c r="C92" s="4">
        <f>IFERROR(VLOOKUP(A92,Capacity!$A$3:$F$532,6,), "0")</f>
        <v>0.17499999999999999</v>
      </c>
      <c r="D92">
        <v>125</v>
      </c>
      <c r="E92">
        <f>IFERROR(VLOOKUP(D92,Capacity!$A$3:$D$532,4,), "0")</f>
        <v>21.647536509374998</v>
      </c>
      <c r="F92" s="4">
        <f>IFERROR(VLOOKUP(D92,Capacity!$A$3:$F$532,6,), "0")</f>
        <v>0.17499999999999999</v>
      </c>
      <c r="H92" t="str">
        <f>IFERROR(VLOOKUP(G92,Capacity!$A$3:$D$532,4,), "0")</f>
        <v>0</v>
      </c>
      <c r="I92" s="4" t="str">
        <f>IFERROR(VLOOKUP(G92,Capacity!$A$3:$F$532,6,), "0")</f>
        <v>0</v>
      </c>
      <c r="K92" t="str">
        <f>IFERROR(VLOOKUP(J92,Capacity!$A$3:$D$532,4,), "0")</f>
        <v>0</v>
      </c>
      <c r="L92" s="4" t="str">
        <f>IFERROR(VLOOKUP(J92,Capacity!$A$3:$F$532,6,), "0")</f>
        <v>0</v>
      </c>
      <c r="M92" s="5">
        <f t="shared" si="10"/>
        <v>21.647536509374998</v>
      </c>
      <c r="N92" s="5">
        <f t="shared" si="11"/>
        <v>0.17499999999999999</v>
      </c>
      <c r="O92">
        <v>127</v>
      </c>
      <c r="P92">
        <f>IFERROR(VLOOKUP(O92,Capacity!$A$3:$D$532,4,), "0")</f>
        <v>45.238933439999997</v>
      </c>
      <c r="Q92" s="4">
        <f>IFERROR(VLOOKUP(O92,Capacity!$A$3:$F$532,6,), "0")</f>
        <v>0.3</v>
      </c>
      <c r="R92" s="5">
        <f t="shared" si="15"/>
        <v>45.238933439999997</v>
      </c>
      <c r="S92" s="5">
        <f t="shared" si="16"/>
        <v>0.3</v>
      </c>
      <c r="T92">
        <v>126</v>
      </c>
      <c r="U92">
        <v>1</v>
      </c>
      <c r="V92">
        <v>1</v>
      </c>
      <c r="W92">
        <v>1</v>
      </c>
      <c r="X92">
        <f t="shared" si="12"/>
        <v>0.478515625</v>
      </c>
      <c r="Y92">
        <f t="shared" si="13"/>
        <v>1.7307692307692306</v>
      </c>
      <c r="Z92">
        <f t="shared" si="17"/>
        <v>0.58333333333333337</v>
      </c>
      <c r="AA92">
        <f t="shared" si="18"/>
        <v>1</v>
      </c>
      <c r="AC92">
        <f t="shared" si="19"/>
        <v>0.37487249234954095</v>
      </c>
      <c r="AD92">
        <f t="shared" si="14"/>
        <v>0.37487249234954095</v>
      </c>
    </row>
    <row r="93" spans="1:30" x14ac:dyDescent="0.25">
      <c r="A93">
        <v>120</v>
      </c>
      <c r="B93">
        <f>IFERROR(VLOOKUP(A93,Capacity!$A$3:$D$532,4,), "0")</f>
        <v>10.681414840000002</v>
      </c>
      <c r="C93" s="4">
        <f>IFERROR(VLOOKUP(A93,Capacity!$A$3:$F$532,6,), "0")</f>
        <v>0.2</v>
      </c>
      <c r="D93">
        <v>121</v>
      </c>
      <c r="E93">
        <f>IFERROR(VLOOKUP(D93,Capacity!$A$3:$D$532,4,), "0")</f>
        <v>309.25052156250001</v>
      </c>
      <c r="F93" s="4">
        <f>IFERROR(VLOOKUP(D93,Capacity!$A$3:$F$532,6,), "0")</f>
        <v>0.75</v>
      </c>
      <c r="G93">
        <v>119</v>
      </c>
      <c r="H93">
        <f>IFERROR(VLOOKUP(G93,Capacity!$A$3:$D$532,4,), "0")</f>
        <v>361.28314899999998</v>
      </c>
      <c r="I93" s="4">
        <f>IFERROR(VLOOKUP(G93,Capacity!$A$3:$F$532,6,), "0")</f>
        <v>1</v>
      </c>
      <c r="K93" t="str">
        <f>IFERROR(VLOOKUP(J93,Capacity!$A$3:$D$532,4,), "0")</f>
        <v>0</v>
      </c>
      <c r="L93" s="4" t="str">
        <f>IFERROR(VLOOKUP(J93,Capacity!$A$3:$F$532,6,), "0")</f>
        <v>0</v>
      </c>
      <c r="M93" s="5">
        <f t="shared" si="10"/>
        <v>670.53367056249999</v>
      </c>
      <c r="N93" s="5">
        <f t="shared" si="11"/>
        <v>1.75</v>
      </c>
      <c r="O93">
        <v>127</v>
      </c>
      <c r="P93">
        <f>IFERROR(VLOOKUP(O93,Capacity!$A$3:$D$532,4,), "0")</f>
        <v>45.238933439999997</v>
      </c>
      <c r="Q93" s="4">
        <f>IFERROR(VLOOKUP(O93,Capacity!$A$3:$F$532,6,), "0")</f>
        <v>0.3</v>
      </c>
      <c r="R93" s="5">
        <f t="shared" si="15"/>
        <v>45.238933439999997</v>
      </c>
      <c r="S93" s="5">
        <f t="shared" si="16"/>
        <v>0.3</v>
      </c>
      <c r="T93">
        <v>120</v>
      </c>
      <c r="U93">
        <v>2</v>
      </c>
      <c r="V93">
        <v>2</v>
      </c>
      <c r="W93">
        <v>1</v>
      </c>
      <c r="X93">
        <f t="shared" si="12"/>
        <v>14.822048611111112</v>
      </c>
      <c r="Y93">
        <f t="shared" si="13"/>
        <v>62.775735294117631</v>
      </c>
      <c r="Z93">
        <f t="shared" si="17"/>
        <v>5.8333333333333339</v>
      </c>
      <c r="AA93">
        <f t="shared" si="18"/>
        <v>8.75</v>
      </c>
      <c r="AC93">
        <f t="shared" si="19"/>
        <v>11.990870786516854</v>
      </c>
      <c r="AD93">
        <f t="shared" si="14"/>
        <v>23.981741573033709</v>
      </c>
    </row>
    <row r="94" spans="1:30" x14ac:dyDescent="0.25">
      <c r="A94">
        <v>439</v>
      </c>
      <c r="B94">
        <f>IFERROR(VLOOKUP(A94,Capacity!$A$3:$D$532,4,), "0")</f>
        <v>15.393803739999997</v>
      </c>
      <c r="C94" s="4">
        <f>IFERROR(VLOOKUP(A94,Capacity!$A$3:$F$532,6,), "0")</f>
        <v>0.17499999999999999</v>
      </c>
      <c r="E94" t="str">
        <f>IFERROR(VLOOKUP(D94,Capacity!$A$3:$D$532,4,), "0")</f>
        <v>0</v>
      </c>
      <c r="F94" s="4" t="str">
        <f>IFERROR(VLOOKUP(D94,Capacity!$A$3:$F$532,6,), "0")</f>
        <v>0</v>
      </c>
      <c r="H94" t="str">
        <f>IFERROR(VLOOKUP(G94,Capacity!$A$3:$D$532,4,), "0")</f>
        <v>0</v>
      </c>
      <c r="I94" s="4" t="str">
        <f>IFERROR(VLOOKUP(G94,Capacity!$A$3:$F$532,6,), "0")</f>
        <v>0</v>
      </c>
      <c r="K94" t="str">
        <f>IFERROR(VLOOKUP(J94,Capacity!$A$3:$D$532,4,), "0")</f>
        <v>0</v>
      </c>
      <c r="L94" s="4" t="str">
        <f>IFERROR(VLOOKUP(J94,Capacity!$A$3:$F$532,6,), "0")</f>
        <v>0</v>
      </c>
      <c r="M94" s="5">
        <f t="shared" si="10"/>
        <v>0</v>
      </c>
      <c r="N94" s="5">
        <f t="shared" si="11"/>
        <v>0</v>
      </c>
      <c r="O94">
        <v>129</v>
      </c>
      <c r="P94">
        <f>IFERROR(VLOOKUP(O94,Capacity!$A$3:$D$532,4,), "0")</f>
        <v>15.393803739999997</v>
      </c>
      <c r="Q94" s="4">
        <f>IFERROR(VLOOKUP(O94,Capacity!$A$3:$F$532,6,), "0")</f>
        <v>0.17499999999999999</v>
      </c>
      <c r="R94" s="5">
        <f t="shared" si="15"/>
        <v>15.393803739999997</v>
      </c>
      <c r="S94" s="5">
        <f t="shared" si="16"/>
        <v>0.17499999999999999</v>
      </c>
      <c r="T94">
        <v>439</v>
      </c>
      <c r="U94">
        <v>0</v>
      </c>
      <c r="V94">
        <v>0</v>
      </c>
      <c r="W94">
        <v>1</v>
      </c>
      <c r="X94">
        <f t="shared" si="12"/>
        <v>0</v>
      </c>
      <c r="Y94">
        <f t="shared" si="13"/>
        <v>0</v>
      </c>
      <c r="Z94">
        <f t="shared" si="17"/>
        <v>0</v>
      </c>
      <c r="AA94">
        <f t="shared" si="18"/>
        <v>0</v>
      </c>
      <c r="AC94">
        <f t="shared" si="19"/>
        <v>0</v>
      </c>
      <c r="AD94">
        <f t="shared" si="14"/>
        <v>0</v>
      </c>
    </row>
    <row r="95" spans="1:30" x14ac:dyDescent="0.25">
      <c r="A95">
        <v>131</v>
      </c>
      <c r="B95">
        <f>IFERROR(VLOOKUP(A95,Capacity!$A$3:$D$532,4,), "0")</f>
        <v>22.128592876249996</v>
      </c>
      <c r="C95" s="4">
        <f>IFERROR(VLOOKUP(A95,Capacity!$A$3:$F$532,6,), "0")</f>
        <v>0.17499999999999999</v>
      </c>
      <c r="E95" t="str">
        <f>IFERROR(VLOOKUP(D95,Capacity!$A$3:$D$532,4,), "0")</f>
        <v>0</v>
      </c>
      <c r="F95" s="4" t="str">
        <f>IFERROR(VLOOKUP(D95,Capacity!$A$3:$F$532,6,), "0")</f>
        <v>0</v>
      </c>
      <c r="H95" t="str">
        <f>IFERROR(VLOOKUP(G95,Capacity!$A$3:$D$532,4,), "0")</f>
        <v>0</v>
      </c>
      <c r="I95" s="4" t="str">
        <f>IFERROR(VLOOKUP(G95,Capacity!$A$3:$F$532,6,), "0")</f>
        <v>0</v>
      </c>
      <c r="K95" t="str">
        <f>IFERROR(VLOOKUP(J95,Capacity!$A$3:$D$532,4,), "0")</f>
        <v>0</v>
      </c>
      <c r="L95" s="4" t="str">
        <f>IFERROR(VLOOKUP(J95,Capacity!$A$3:$F$532,6,), "0")</f>
        <v>0</v>
      </c>
      <c r="M95" s="5">
        <f t="shared" si="10"/>
        <v>0</v>
      </c>
      <c r="N95" s="5">
        <f t="shared" si="11"/>
        <v>0</v>
      </c>
      <c r="O95">
        <v>129</v>
      </c>
      <c r="P95">
        <f>IFERROR(VLOOKUP(O95,Capacity!$A$3:$D$532,4,), "0")</f>
        <v>15.393803739999997</v>
      </c>
      <c r="Q95" s="4">
        <f>IFERROR(VLOOKUP(O95,Capacity!$A$3:$F$532,6,), "0")</f>
        <v>0.17499999999999999</v>
      </c>
      <c r="R95" s="5">
        <f t="shared" si="15"/>
        <v>15.393803739999997</v>
      </c>
      <c r="S95" s="5">
        <f t="shared" si="16"/>
        <v>0.17499999999999999</v>
      </c>
      <c r="T95">
        <v>131</v>
      </c>
      <c r="U95">
        <v>0</v>
      </c>
      <c r="V95">
        <v>0</v>
      </c>
      <c r="W95">
        <v>1</v>
      </c>
      <c r="X95">
        <f t="shared" si="12"/>
        <v>0</v>
      </c>
      <c r="Y95">
        <f t="shared" si="13"/>
        <v>0</v>
      </c>
      <c r="Z95">
        <f t="shared" si="17"/>
        <v>0</v>
      </c>
      <c r="AA95">
        <f t="shared" si="18"/>
        <v>0</v>
      </c>
      <c r="AC95">
        <f t="shared" si="19"/>
        <v>0</v>
      </c>
      <c r="AD95">
        <f t="shared" si="14"/>
        <v>0</v>
      </c>
    </row>
    <row r="96" spans="1:30" x14ac:dyDescent="0.25">
      <c r="A96">
        <v>132</v>
      </c>
      <c r="B96">
        <f>IFERROR(VLOOKUP(A96,Capacity!$A$3:$D$532,4,), "0")</f>
        <v>175.30086708000002</v>
      </c>
      <c r="C96" s="4">
        <f>IFERROR(VLOOKUP(A96,Capacity!$A$3:$F$532,6,), "0")</f>
        <v>0.6</v>
      </c>
      <c r="D96">
        <v>442</v>
      </c>
      <c r="E96">
        <f>IFERROR(VLOOKUP(D96,Capacity!$A$3:$D$532,4,), "0")</f>
        <v>7.6969018699999987</v>
      </c>
      <c r="F96" s="4">
        <f>IFERROR(VLOOKUP(D96,Capacity!$A$3:$F$532,6,), "0")</f>
        <v>0.17499999999999999</v>
      </c>
      <c r="G96">
        <v>130</v>
      </c>
      <c r="H96">
        <f>IFERROR(VLOOKUP(G96,Capacity!$A$3:$D$532,4,), "0")</f>
        <v>133.5176855</v>
      </c>
      <c r="I96" s="4">
        <f>IFERROR(VLOOKUP(G96,Capacity!$A$3:$F$532,6,), "0")</f>
        <v>0.5</v>
      </c>
      <c r="J96">
        <v>93</v>
      </c>
      <c r="K96">
        <f>IFERROR(VLOOKUP(J96,Capacity!$A$3:$D$532,4,), "0")</f>
        <v>25.132740800000008</v>
      </c>
      <c r="L96" s="4">
        <f>IFERROR(VLOOKUP(J96,Capacity!$A$3:$F$532,6,), "0")</f>
        <v>0.2</v>
      </c>
      <c r="M96" s="5">
        <f t="shared" si="10"/>
        <v>166.34732817000003</v>
      </c>
      <c r="N96" s="5">
        <f t="shared" si="11"/>
        <v>0.875</v>
      </c>
      <c r="O96">
        <v>133</v>
      </c>
      <c r="P96">
        <f>IFERROR(VLOOKUP(O96,Capacity!$A$3:$D$532,4,), "0")</f>
        <v>273.90760481250004</v>
      </c>
      <c r="Q96" s="4">
        <f>IFERROR(VLOOKUP(O96,Capacity!$A$3:$F$532,6,), "0")</f>
        <v>0.75</v>
      </c>
      <c r="R96" s="5">
        <f t="shared" si="15"/>
        <v>273.90760481250004</v>
      </c>
      <c r="S96" s="5">
        <f t="shared" si="16"/>
        <v>0.75</v>
      </c>
      <c r="T96">
        <v>132</v>
      </c>
      <c r="U96">
        <v>3</v>
      </c>
      <c r="V96">
        <v>3</v>
      </c>
      <c r="W96">
        <v>1</v>
      </c>
      <c r="X96">
        <f t="shared" si="12"/>
        <v>0.60731182795698924</v>
      </c>
      <c r="Y96">
        <f t="shared" si="13"/>
        <v>0.94892473118279574</v>
      </c>
      <c r="Z96">
        <f t="shared" si="17"/>
        <v>1.1666666666666667</v>
      </c>
      <c r="AA96">
        <f t="shared" si="18"/>
        <v>1.4583333333333335</v>
      </c>
      <c r="AC96">
        <f t="shared" si="19"/>
        <v>0.37031209021767642</v>
      </c>
      <c r="AD96">
        <f t="shared" si="14"/>
        <v>1.1109362706530292</v>
      </c>
    </row>
    <row r="97" spans="1:30" x14ac:dyDescent="0.25">
      <c r="A97">
        <v>443</v>
      </c>
      <c r="B97">
        <f>IFERROR(VLOOKUP(A97,Capacity!$A$3:$D$532,4,), "0")</f>
        <v>7.6969018699999987</v>
      </c>
      <c r="C97" s="4">
        <f>IFERROR(VLOOKUP(A97,Capacity!$A$3:$F$532,6,), "0")</f>
        <v>0.17499999999999999</v>
      </c>
      <c r="E97" t="str">
        <f>IFERROR(VLOOKUP(D97,Capacity!$A$3:$D$532,4,), "0")</f>
        <v>0</v>
      </c>
      <c r="F97" s="4" t="str">
        <f>IFERROR(VLOOKUP(D97,Capacity!$A$3:$F$532,6,), "0")</f>
        <v>0</v>
      </c>
      <c r="H97" t="str">
        <f>IFERROR(VLOOKUP(G97,Capacity!$A$3:$D$532,4,), "0")</f>
        <v>0</v>
      </c>
      <c r="I97" s="4" t="str">
        <f>IFERROR(VLOOKUP(G97,Capacity!$A$3:$F$532,6,), "0")</f>
        <v>0</v>
      </c>
      <c r="K97" t="str">
        <f>IFERROR(VLOOKUP(J97,Capacity!$A$3:$D$532,4,), "0")</f>
        <v>0</v>
      </c>
      <c r="L97" s="4" t="str">
        <f>IFERROR(VLOOKUP(J97,Capacity!$A$3:$F$532,6,), "0")</f>
        <v>0</v>
      </c>
      <c r="M97" s="5">
        <f t="shared" si="10"/>
        <v>0</v>
      </c>
      <c r="N97" s="5">
        <f t="shared" si="11"/>
        <v>0</v>
      </c>
      <c r="O97">
        <v>140</v>
      </c>
      <c r="P97">
        <f>IFERROR(VLOOKUP(O97,Capacity!$A$3:$D$532,4,), "0")</f>
        <v>45.238933439999997</v>
      </c>
      <c r="Q97" s="4">
        <f>IFERROR(VLOOKUP(O97,Capacity!$A$3:$F$532,6,), "0")</f>
        <v>0.3</v>
      </c>
      <c r="R97" s="5">
        <f t="shared" si="15"/>
        <v>45.238933439999997</v>
      </c>
      <c r="S97" s="5">
        <f t="shared" si="16"/>
        <v>0.3</v>
      </c>
      <c r="T97">
        <v>443</v>
      </c>
      <c r="U97">
        <v>0</v>
      </c>
      <c r="V97">
        <v>0</v>
      </c>
      <c r="W97">
        <v>1</v>
      </c>
      <c r="X97">
        <f t="shared" si="12"/>
        <v>0</v>
      </c>
      <c r="Y97">
        <f t="shared" si="13"/>
        <v>0</v>
      </c>
      <c r="Z97">
        <f t="shared" si="17"/>
        <v>0</v>
      </c>
      <c r="AA97">
        <f t="shared" si="18"/>
        <v>0</v>
      </c>
      <c r="AC97">
        <f t="shared" si="19"/>
        <v>0</v>
      </c>
      <c r="AD97">
        <f t="shared" si="14"/>
        <v>0</v>
      </c>
    </row>
    <row r="98" spans="1:30" x14ac:dyDescent="0.25">
      <c r="A98">
        <v>92</v>
      </c>
      <c r="B98">
        <f>IFERROR(VLOOKUP(A98,Capacity!$A$3:$D$532,4,), "0")</f>
        <v>48.536034873700011</v>
      </c>
      <c r="C98" s="4">
        <f>IFERROR(VLOOKUP(A98,Capacity!$A$3:$F$532,6,), "0")</f>
        <v>0.26500000000000001</v>
      </c>
      <c r="D98">
        <v>423</v>
      </c>
      <c r="E98">
        <f>IFERROR(VLOOKUP(D98,Capacity!$A$3:$D$532,4,), "0")</f>
        <v>7.6969018699999987</v>
      </c>
      <c r="F98" s="4">
        <f>IFERROR(VLOOKUP(D98,Capacity!$A$3:$F$532,6,), "0")</f>
        <v>0.17499999999999999</v>
      </c>
      <c r="G98">
        <v>52</v>
      </c>
      <c r="H98">
        <f>IFERROR(VLOOKUP(G98,Capacity!$A$3:$D$532,4,), "0")</f>
        <v>49.639126575375009</v>
      </c>
      <c r="I98" s="4">
        <f>IFERROR(VLOOKUP(G98,Capacity!$A$3:$F$532,6,), "0")</f>
        <v>0.26500000000000001</v>
      </c>
      <c r="K98" t="str">
        <f>IFERROR(VLOOKUP(J98,Capacity!$A$3:$D$532,4,), "0")</f>
        <v>0</v>
      </c>
      <c r="L98" s="4" t="str">
        <f>IFERROR(VLOOKUP(J98,Capacity!$A$3:$F$532,6,), "0")</f>
        <v>0</v>
      </c>
      <c r="M98" s="5">
        <f t="shared" si="10"/>
        <v>57.336028445375007</v>
      </c>
      <c r="N98" s="5">
        <f t="shared" si="11"/>
        <v>0.44</v>
      </c>
      <c r="O98">
        <v>140</v>
      </c>
      <c r="P98">
        <f>IFERROR(VLOOKUP(O98,Capacity!$A$3:$D$532,4,), "0")</f>
        <v>45.238933439999997</v>
      </c>
      <c r="Q98" s="4">
        <f>IFERROR(VLOOKUP(O98,Capacity!$A$3:$F$532,6,), "0")</f>
        <v>0.3</v>
      </c>
      <c r="R98" s="5">
        <f t="shared" si="15"/>
        <v>45.238933439999997</v>
      </c>
      <c r="S98" s="5">
        <f t="shared" si="16"/>
        <v>0.3</v>
      </c>
      <c r="T98">
        <v>92</v>
      </c>
      <c r="U98">
        <v>2</v>
      </c>
      <c r="V98">
        <v>2</v>
      </c>
      <c r="W98">
        <v>1</v>
      </c>
      <c r="X98">
        <f t="shared" si="12"/>
        <v>1.2674045138888892</v>
      </c>
      <c r="Y98">
        <f t="shared" si="13"/>
        <v>1.1813084565843555</v>
      </c>
      <c r="Z98">
        <f t="shared" si="17"/>
        <v>1.4666666666666668</v>
      </c>
      <c r="AA98">
        <f t="shared" si="18"/>
        <v>1.6603773584905659</v>
      </c>
      <c r="AC98">
        <f t="shared" si="19"/>
        <v>0.61142146434613642</v>
      </c>
      <c r="AD98">
        <f t="shared" si="14"/>
        <v>1.2228429286922728</v>
      </c>
    </row>
    <row r="99" spans="1:30" x14ac:dyDescent="0.25">
      <c r="A99">
        <v>422</v>
      </c>
      <c r="B99">
        <f>IFERROR(VLOOKUP(A99,Capacity!$A$3:$D$532,4,), "0")</f>
        <v>7.6969018699999987</v>
      </c>
      <c r="C99" s="4">
        <f>IFERROR(VLOOKUP(A99,Capacity!$A$3:$F$532,6,), "0")</f>
        <v>0.17499999999999999</v>
      </c>
      <c r="E99" t="str">
        <f>IFERROR(VLOOKUP(D99,Capacity!$A$3:$D$532,4,), "0")</f>
        <v>0</v>
      </c>
      <c r="F99" s="4" t="str">
        <f>IFERROR(VLOOKUP(D99,Capacity!$A$3:$F$532,6,), "0")</f>
        <v>0</v>
      </c>
      <c r="H99" t="str">
        <f>IFERROR(VLOOKUP(G99,Capacity!$A$3:$D$532,4,), "0")</f>
        <v>0</v>
      </c>
      <c r="I99" s="4" t="str">
        <f>IFERROR(VLOOKUP(G99,Capacity!$A$3:$F$532,6,), "0")</f>
        <v>0</v>
      </c>
      <c r="K99" t="str">
        <f>IFERROR(VLOOKUP(J99,Capacity!$A$3:$D$532,4,), "0")</f>
        <v>0</v>
      </c>
      <c r="L99" s="4" t="str">
        <f>IFERROR(VLOOKUP(J99,Capacity!$A$3:$F$532,6,), "0")</f>
        <v>0</v>
      </c>
      <c r="M99" s="5">
        <f t="shared" si="10"/>
        <v>0</v>
      </c>
      <c r="N99" s="5">
        <f t="shared" si="11"/>
        <v>0</v>
      </c>
      <c r="O99">
        <v>91</v>
      </c>
      <c r="P99">
        <f>IFERROR(VLOOKUP(O99,Capacity!$A$3:$D$532,4,), "0")</f>
        <v>21.166480142499999</v>
      </c>
      <c r="Q99" s="4">
        <f>IFERROR(VLOOKUP(O99,Capacity!$A$3:$F$532,6,), "0")</f>
        <v>0.17499999999999999</v>
      </c>
      <c r="R99" s="5">
        <f t="shared" si="15"/>
        <v>21.166480142499999</v>
      </c>
      <c r="S99" s="5">
        <f t="shared" si="16"/>
        <v>0.17499999999999999</v>
      </c>
      <c r="T99">
        <v>422</v>
      </c>
      <c r="U99">
        <v>0</v>
      </c>
      <c r="V99">
        <v>0</v>
      </c>
      <c r="W99">
        <v>1</v>
      </c>
      <c r="X99">
        <f t="shared" si="12"/>
        <v>0</v>
      </c>
      <c r="Y99">
        <f t="shared" si="13"/>
        <v>0</v>
      </c>
      <c r="Z99">
        <f t="shared" si="17"/>
        <v>0</v>
      </c>
      <c r="AA99">
        <f t="shared" si="18"/>
        <v>0</v>
      </c>
      <c r="AC99">
        <f t="shared" si="19"/>
        <v>0</v>
      </c>
      <c r="AD99">
        <f t="shared" si="14"/>
        <v>0</v>
      </c>
    </row>
    <row r="100" spans="1:30" x14ac:dyDescent="0.25">
      <c r="A100">
        <v>51</v>
      </c>
      <c r="B100">
        <f>IFERROR(VLOOKUP(A100,Capacity!$A$3:$D$532,4,), "0")</f>
        <v>21.647536509374998</v>
      </c>
      <c r="C100" s="4">
        <f>IFERROR(VLOOKUP(A100,Capacity!$A$3:$F$532,6,), "0")</f>
        <v>0.17499999999999999</v>
      </c>
      <c r="D100">
        <v>377</v>
      </c>
      <c r="E100">
        <f>IFERROR(VLOOKUP(D100,Capacity!$A$3:$D$532,4,), "0")</f>
        <v>7.6969018699999987</v>
      </c>
      <c r="F100" s="4">
        <f>IFERROR(VLOOKUP(D100,Capacity!$A$3:$F$532,6,), "0")</f>
        <v>0.17499999999999999</v>
      </c>
      <c r="G100">
        <v>363</v>
      </c>
      <c r="H100">
        <f>IFERROR(VLOOKUP(G100,Capacity!$A$3:$D$532,4,), "0")</f>
        <v>24.052818343749998</v>
      </c>
      <c r="I100" s="4">
        <f>IFERROR(VLOOKUP(G100,Capacity!$A$3:$F$532,6,), "0")</f>
        <v>0.17499999999999999</v>
      </c>
      <c r="K100" t="str">
        <f>IFERROR(VLOOKUP(J100,Capacity!$A$3:$D$532,4,), "0")</f>
        <v>0</v>
      </c>
      <c r="L100" s="4" t="str">
        <f>IFERROR(VLOOKUP(J100,Capacity!$A$3:$F$532,6,), "0")</f>
        <v>0</v>
      </c>
      <c r="M100" s="5">
        <f t="shared" si="10"/>
        <v>31.749720213749995</v>
      </c>
      <c r="N100" s="5">
        <f t="shared" si="11"/>
        <v>0.35</v>
      </c>
      <c r="O100">
        <v>91</v>
      </c>
      <c r="P100">
        <f>IFERROR(VLOOKUP(O100,Capacity!$A$3:$D$532,4,), "0")</f>
        <v>21.166480142499999</v>
      </c>
      <c r="Q100" s="4">
        <f>IFERROR(VLOOKUP(O100,Capacity!$A$3:$F$532,6,), "0")</f>
        <v>0.17499999999999999</v>
      </c>
      <c r="R100" s="5">
        <f t="shared" si="15"/>
        <v>21.166480142499999</v>
      </c>
      <c r="S100" s="5">
        <f t="shared" si="16"/>
        <v>0.17499999999999999</v>
      </c>
      <c r="T100">
        <v>51</v>
      </c>
      <c r="U100">
        <v>2</v>
      </c>
      <c r="V100">
        <v>2</v>
      </c>
      <c r="W100">
        <v>1</v>
      </c>
      <c r="X100">
        <f t="shared" si="12"/>
        <v>1.4999999999999998</v>
      </c>
      <c r="Y100">
        <f t="shared" si="13"/>
        <v>1.4666666666666666</v>
      </c>
      <c r="Z100">
        <f t="shared" si="17"/>
        <v>2</v>
      </c>
      <c r="AA100">
        <f t="shared" si="18"/>
        <v>2</v>
      </c>
      <c r="AC100">
        <f t="shared" si="19"/>
        <v>0.7415730337078652</v>
      </c>
      <c r="AD100">
        <f t="shared" si="14"/>
        <v>1.4831460674157304</v>
      </c>
    </row>
    <row r="101" spans="1:30" x14ac:dyDescent="0.25">
      <c r="A101">
        <v>376</v>
      </c>
      <c r="B101">
        <f>IFERROR(VLOOKUP(A101,Capacity!$A$3:$D$532,4,), "0")</f>
        <v>7.6969018699999987</v>
      </c>
      <c r="C101" s="4">
        <f>IFERROR(VLOOKUP(A101,Capacity!$A$3:$F$532,6,), "0")</f>
        <v>0.17499999999999999</v>
      </c>
      <c r="E101" t="str">
        <f>IFERROR(VLOOKUP(D101,Capacity!$A$3:$D$532,4,), "0")</f>
        <v>0</v>
      </c>
      <c r="F101" s="4" t="str">
        <f>IFERROR(VLOOKUP(D101,Capacity!$A$3:$F$532,6,), "0")</f>
        <v>0</v>
      </c>
      <c r="H101" t="str">
        <f>IFERROR(VLOOKUP(G101,Capacity!$A$3:$D$532,4,), "0")</f>
        <v>0</v>
      </c>
      <c r="I101" s="4" t="str">
        <f>IFERROR(VLOOKUP(G101,Capacity!$A$3:$F$532,6,), "0")</f>
        <v>0</v>
      </c>
      <c r="K101" t="str">
        <f>IFERROR(VLOOKUP(J101,Capacity!$A$3:$D$532,4,), "0")</f>
        <v>0</v>
      </c>
      <c r="L101" s="4" t="str">
        <f>IFERROR(VLOOKUP(J101,Capacity!$A$3:$F$532,6,), "0")</f>
        <v>0</v>
      </c>
      <c r="M101" s="5">
        <f t="shared" si="10"/>
        <v>0</v>
      </c>
      <c r="N101" s="5">
        <f t="shared" si="11"/>
        <v>0</v>
      </c>
      <c r="O101">
        <v>50</v>
      </c>
      <c r="P101">
        <f>IFERROR(VLOOKUP(O101,Capacity!$A$3:$D$532,4,), "0")</f>
        <v>28.274333400000007</v>
      </c>
      <c r="Q101" s="4">
        <f>IFERROR(VLOOKUP(O101,Capacity!$A$3:$F$532,6,), "0")</f>
        <v>0.2</v>
      </c>
      <c r="R101" s="5">
        <f t="shared" si="15"/>
        <v>28.274333400000007</v>
      </c>
      <c r="S101" s="5">
        <f t="shared" si="16"/>
        <v>0.2</v>
      </c>
      <c r="T101">
        <v>376</v>
      </c>
      <c r="U101">
        <v>0</v>
      </c>
      <c r="V101">
        <v>0</v>
      </c>
      <c r="W101">
        <v>1</v>
      </c>
      <c r="X101">
        <f t="shared" si="12"/>
        <v>0</v>
      </c>
      <c r="Y101">
        <f t="shared" si="13"/>
        <v>0</v>
      </c>
      <c r="Z101">
        <f t="shared" si="17"/>
        <v>0</v>
      </c>
      <c r="AA101">
        <f t="shared" si="18"/>
        <v>0</v>
      </c>
      <c r="AC101">
        <f t="shared" si="19"/>
        <v>0</v>
      </c>
      <c r="AD101">
        <f t="shared" si="14"/>
        <v>0</v>
      </c>
    </row>
    <row r="102" spans="1:30" x14ac:dyDescent="0.25">
      <c r="A102">
        <v>21</v>
      </c>
      <c r="B102">
        <f>IFERROR(VLOOKUP(A102,Capacity!$A$3:$D$532,4,), "0")</f>
        <v>31.415926000000006</v>
      </c>
      <c r="C102" s="4">
        <f>IFERROR(VLOOKUP(A102,Capacity!$A$3:$F$532,6,), "0")</f>
        <v>0.2</v>
      </c>
      <c r="D102">
        <v>20</v>
      </c>
      <c r="E102">
        <f>IFERROR(VLOOKUP(D102,Capacity!$A$3:$D$532,4,), "0")</f>
        <v>3.8484509349999994</v>
      </c>
      <c r="F102" s="4">
        <f>IFERROR(VLOOKUP(D102,Capacity!$A$3:$F$532,6,), "0")</f>
        <v>0.17499999999999999</v>
      </c>
      <c r="G102">
        <v>3</v>
      </c>
      <c r="H102">
        <f>IFERROR(VLOOKUP(G102,Capacity!$A$3:$D$532,4,), "0")</f>
        <v>24.504422280000004</v>
      </c>
      <c r="I102" s="4">
        <f>IFERROR(VLOOKUP(G102,Capacity!$A$3:$F$532,6,), "0")</f>
        <v>0.2</v>
      </c>
      <c r="K102" t="str">
        <f>IFERROR(VLOOKUP(J102,Capacity!$A$3:$D$532,4,), "0")</f>
        <v>0</v>
      </c>
      <c r="L102" s="4" t="str">
        <f>IFERROR(VLOOKUP(J102,Capacity!$A$3:$F$532,6,), "0")</f>
        <v>0</v>
      </c>
      <c r="M102" s="5">
        <f t="shared" si="10"/>
        <v>28.352873215000002</v>
      </c>
      <c r="N102" s="5">
        <f t="shared" si="11"/>
        <v>0.375</v>
      </c>
      <c r="O102">
        <v>50</v>
      </c>
      <c r="P102">
        <f>IFERROR(VLOOKUP(O102,Capacity!$A$3:$D$532,4,), "0")</f>
        <v>28.274333400000007</v>
      </c>
      <c r="Q102" s="4">
        <f>IFERROR(VLOOKUP(O102,Capacity!$A$3:$F$532,6,), "0")</f>
        <v>0.2</v>
      </c>
      <c r="R102" s="5">
        <f t="shared" si="15"/>
        <v>28.274333400000007</v>
      </c>
      <c r="S102" s="5">
        <f t="shared" si="16"/>
        <v>0.2</v>
      </c>
      <c r="T102">
        <v>21</v>
      </c>
      <c r="U102">
        <v>2</v>
      </c>
      <c r="V102">
        <v>2</v>
      </c>
      <c r="W102">
        <v>1</v>
      </c>
      <c r="X102">
        <f t="shared" si="12"/>
        <v>1.0027777777777775</v>
      </c>
      <c r="Y102">
        <f t="shared" si="13"/>
        <v>0.90249999999999986</v>
      </c>
      <c r="Z102">
        <f t="shared" si="17"/>
        <v>1.875</v>
      </c>
      <c r="AA102">
        <f t="shared" si="18"/>
        <v>1.875</v>
      </c>
      <c r="AC102">
        <f t="shared" si="19"/>
        <v>0.47499999999999992</v>
      </c>
      <c r="AD102">
        <f t="shared" si="14"/>
        <v>0.94999999999999984</v>
      </c>
    </row>
    <row r="103" spans="1:30" x14ac:dyDescent="0.25">
      <c r="A103">
        <v>364</v>
      </c>
      <c r="B103">
        <f>IFERROR(VLOOKUP(A103,Capacity!$A$3:$D$532,4,), "0")</f>
        <v>7.6969018699999987</v>
      </c>
      <c r="C103" s="4">
        <f>IFERROR(VLOOKUP(A103,Capacity!$A$3:$F$532,6,), "0")</f>
        <v>0.17499999999999999</v>
      </c>
      <c r="E103" t="str">
        <f>IFERROR(VLOOKUP(D103,Capacity!$A$3:$D$532,4,), "0")</f>
        <v>0</v>
      </c>
      <c r="F103" s="4" t="str">
        <f>IFERROR(VLOOKUP(D103,Capacity!$A$3:$F$532,6,), "0")</f>
        <v>0</v>
      </c>
      <c r="H103" t="str">
        <f>IFERROR(VLOOKUP(G103,Capacity!$A$3:$D$532,4,), "0")</f>
        <v>0</v>
      </c>
      <c r="I103" s="4" t="str">
        <f>IFERROR(VLOOKUP(G103,Capacity!$A$3:$F$532,6,), "0")</f>
        <v>0</v>
      </c>
      <c r="K103" t="str">
        <f>IFERROR(VLOOKUP(J103,Capacity!$A$3:$D$532,4,), "0")</f>
        <v>0</v>
      </c>
      <c r="L103" s="4" t="str">
        <f>IFERROR(VLOOKUP(J103,Capacity!$A$3:$F$532,6,), "0")</f>
        <v>0</v>
      </c>
      <c r="M103" s="5">
        <f t="shared" si="10"/>
        <v>0</v>
      </c>
      <c r="N103" s="5">
        <f t="shared" si="11"/>
        <v>0</v>
      </c>
      <c r="O103">
        <v>22</v>
      </c>
      <c r="P103">
        <f>IFERROR(VLOOKUP(O103,Capacity!$A$3:$D$532,4,), "0")</f>
        <v>24.052818343749998</v>
      </c>
      <c r="Q103" s="4">
        <f>IFERROR(VLOOKUP(O103,Capacity!$A$3:$F$532,6,), "0")</f>
        <v>0.17499999999999999</v>
      </c>
      <c r="R103" s="5">
        <f t="shared" si="15"/>
        <v>24.052818343749998</v>
      </c>
      <c r="S103" s="5">
        <f t="shared" si="16"/>
        <v>0.17499999999999999</v>
      </c>
      <c r="T103">
        <v>364</v>
      </c>
      <c r="U103">
        <v>0</v>
      </c>
      <c r="V103">
        <v>0</v>
      </c>
      <c r="W103">
        <v>1</v>
      </c>
      <c r="X103">
        <f t="shared" si="12"/>
        <v>0</v>
      </c>
      <c r="Y103">
        <f t="shared" si="13"/>
        <v>0</v>
      </c>
      <c r="Z103">
        <f t="shared" si="17"/>
        <v>0</v>
      </c>
      <c r="AA103">
        <f t="shared" si="18"/>
        <v>0</v>
      </c>
      <c r="AC103">
        <f t="shared" si="19"/>
        <v>0</v>
      </c>
      <c r="AD103">
        <f t="shared" si="14"/>
        <v>0</v>
      </c>
    </row>
    <row r="104" spans="1:30" x14ac:dyDescent="0.25">
      <c r="A104">
        <v>347</v>
      </c>
      <c r="B104">
        <f>IFERROR(VLOOKUP(A104,Capacity!$A$3:$D$532,4,), "0")</f>
        <v>9.4247778000000029</v>
      </c>
      <c r="C104" s="4">
        <f>IFERROR(VLOOKUP(A104,Capacity!$A$3:$F$532,6,), "0")</f>
        <v>0.2</v>
      </c>
      <c r="D104">
        <v>529</v>
      </c>
      <c r="E104">
        <f>IFERROR(VLOOKUP(D104,Capacity!$A$3:$D$532,4,), "0")</f>
        <v>7.2158455031249993</v>
      </c>
      <c r="F104" s="4">
        <f>IFERROR(VLOOKUP(D104,Capacity!$A$3:$F$532,6,), "0")</f>
        <v>0.17499999999999999</v>
      </c>
      <c r="G104">
        <v>249</v>
      </c>
      <c r="H104">
        <f>IFERROR(VLOOKUP(G104,Capacity!$A$3:$D$532,4,), "0")</f>
        <v>15.079644480000002</v>
      </c>
      <c r="I104" s="4">
        <f>IFERROR(VLOOKUP(G104,Capacity!$A$3:$F$532,6,), "0")</f>
        <v>0.2</v>
      </c>
      <c r="K104" t="str">
        <f>IFERROR(VLOOKUP(J104,Capacity!$A$3:$D$532,4,), "0")</f>
        <v>0</v>
      </c>
      <c r="L104" s="4" t="str">
        <f>IFERROR(VLOOKUP(J104,Capacity!$A$3:$F$532,6,), "0")</f>
        <v>0</v>
      </c>
      <c r="M104" s="5">
        <f t="shared" si="10"/>
        <v>22.295489983125002</v>
      </c>
      <c r="N104" s="5">
        <f t="shared" si="11"/>
        <v>0.375</v>
      </c>
      <c r="O104">
        <v>348</v>
      </c>
      <c r="P104">
        <f>IFERROR(VLOOKUP(O104,Capacity!$A$3:$D$532,4,), "0")</f>
        <v>108.07078544000002</v>
      </c>
      <c r="Q104" s="4">
        <f>IFERROR(VLOOKUP(O104,Capacity!$A$3:$F$532,6,), "0")</f>
        <v>0.4</v>
      </c>
      <c r="R104" s="5">
        <f t="shared" si="15"/>
        <v>108.07078544000002</v>
      </c>
      <c r="S104" s="5">
        <f t="shared" si="16"/>
        <v>0.4</v>
      </c>
      <c r="T104">
        <v>347</v>
      </c>
      <c r="U104">
        <v>2</v>
      </c>
      <c r="V104">
        <v>2</v>
      </c>
      <c r="W104">
        <v>1</v>
      </c>
      <c r="X104">
        <f t="shared" si="12"/>
        <v>0.20630450581395346</v>
      </c>
      <c r="Y104">
        <f t="shared" si="13"/>
        <v>2.3656249999999996</v>
      </c>
      <c r="Z104">
        <f t="shared" si="17"/>
        <v>0.9375</v>
      </c>
      <c r="AA104">
        <f t="shared" si="18"/>
        <v>1.875</v>
      </c>
      <c r="AC104">
        <f t="shared" si="19"/>
        <v>0.18975601604278072</v>
      </c>
      <c r="AD104">
        <f t="shared" si="14"/>
        <v>0.37951203208556145</v>
      </c>
    </row>
    <row r="105" spans="1:30" x14ac:dyDescent="0.25">
      <c r="A105">
        <v>248</v>
      </c>
      <c r="B105">
        <f>IFERROR(VLOOKUP(A105,Capacity!$A$3:$D$532,4,), "0")</f>
        <v>26.474200840200002</v>
      </c>
      <c r="C105" s="4">
        <f>IFERROR(VLOOKUP(A105,Capacity!$A$3:$F$532,6,), "0")</f>
        <v>0.26500000000000001</v>
      </c>
      <c r="E105" t="str">
        <f>IFERROR(VLOOKUP(D105,Capacity!$A$3:$D$532,4,), "0")</f>
        <v>0</v>
      </c>
      <c r="F105" s="4" t="str">
        <f>IFERROR(VLOOKUP(D105,Capacity!$A$3:$F$532,6,), "0")</f>
        <v>0</v>
      </c>
      <c r="H105" t="str">
        <f>IFERROR(VLOOKUP(G105,Capacity!$A$3:$D$532,4,), "0")</f>
        <v>0</v>
      </c>
      <c r="I105" s="4" t="str">
        <f>IFERROR(VLOOKUP(G105,Capacity!$A$3:$F$532,6,), "0")</f>
        <v>0</v>
      </c>
      <c r="K105" t="str">
        <f>IFERROR(VLOOKUP(J105,Capacity!$A$3:$D$532,4,), "0")</f>
        <v>0</v>
      </c>
      <c r="L105" s="4" t="str">
        <f>IFERROR(VLOOKUP(J105,Capacity!$A$3:$F$532,6,), "0")</f>
        <v>0</v>
      </c>
      <c r="M105" s="5">
        <f t="shared" si="10"/>
        <v>0</v>
      </c>
      <c r="N105" s="5">
        <f t="shared" si="11"/>
        <v>0</v>
      </c>
      <c r="O105">
        <v>348</v>
      </c>
      <c r="P105">
        <f>IFERROR(VLOOKUP(O105,Capacity!$A$3:$D$532,4,), "0")</f>
        <v>108.07078544000002</v>
      </c>
      <c r="Q105" s="4">
        <f>IFERROR(VLOOKUP(O105,Capacity!$A$3:$F$532,6,), "0")</f>
        <v>0.4</v>
      </c>
      <c r="R105" s="5">
        <f t="shared" si="15"/>
        <v>108.07078544000002</v>
      </c>
      <c r="S105" s="5">
        <f t="shared" si="16"/>
        <v>0.4</v>
      </c>
      <c r="T105">
        <v>248</v>
      </c>
      <c r="U105">
        <v>0</v>
      </c>
      <c r="V105">
        <v>0</v>
      </c>
      <c r="W105">
        <v>1</v>
      </c>
      <c r="X105">
        <f t="shared" si="12"/>
        <v>0</v>
      </c>
      <c r="Y105">
        <f t="shared" si="13"/>
        <v>0</v>
      </c>
      <c r="Z105">
        <f t="shared" si="17"/>
        <v>0</v>
      </c>
      <c r="AA105">
        <f t="shared" si="18"/>
        <v>0</v>
      </c>
      <c r="AC105">
        <f t="shared" si="19"/>
        <v>0</v>
      </c>
      <c r="AD105">
        <f t="shared" si="14"/>
        <v>0</v>
      </c>
    </row>
    <row r="106" spans="1:30" x14ac:dyDescent="0.25">
      <c r="A106">
        <v>349</v>
      </c>
      <c r="B106">
        <f>IFERROR(VLOOKUP(A106,Capacity!$A$3:$D$532,4,), "0")</f>
        <v>21.205750049999999</v>
      </c>
      <c r="C106" s="4">
        <f>IFERROR(VLOOKUP(A106,Capacity!$A$3:$F$532,6,), "0")</f>
        <v>0.3</v>
      </c>
      <c r="D106">
        <v>247</v>
      </c>
      <c r="E106">
        <f>IFERROR(VLOOKUP(D106,Capacity!$A$3:$D$532,4,), "0")</f>
        <v>11.545352804999998</v>
      </c>
      <c r="F106" s="4">
        <f>IFERROR(VLOOKUP(D106,Capacity!$A$3:$F$532,6,), "0")</f>
        <v>0.17499999999999999</v>
      </c>
      <c r="H106" t="str">
        <f>IFERROR(VLOOKUP(G106,Capacity!$A$3:$D$532,4,), "0")</f>
        <v>0</v>
      </c>
      <c r="I106" s="4" t="str">
        <f>IFERROR(VLOOKUP(G106,Capacity!$A$3:$F$532,6,), "0")</f>
        <v>0</v>
      </c>
      <c r="K106" t="str">
        <f>IFERROR(VLOOKUP(J106,Capacity!$A$3:$D$532,4,), "0")</f>
        <v>0</v>
      </c>
      <c r="L106" s="4" t="str">
        <f>IFERROR(VLOOKUP(J106,Capacity!$A$3:$F$532,6,), "0")</f>
        <v>0</v>
      </c>
      <c r="M106" s="5">
        <f t="shared" si="10"/>
        <v>11.545352804999998</v>
      </c>
      <c r="N106" s="5">
        <f t="shared" si="11"/>
        <v>0.17499999999999999</v>
      </c>
      <c r="O106">
        <v>348</v>
      </c>
      <c r="P106">
        <f>IFERROR(VLOOKUP(O106,Capacity!$A$3:$D$532,4,), "0")</f>
        <v>108.07078544000002</v>
      </c>
      <c r="Q106" s="4">
        <f>IFERROR(VLOOKUP(O106,Capacity!$A$3:$F$532,6,), "0")</f>
        <v>0.4</v>
      </c>
      <c r="R106" s="5">
        <f t="shared" si="15"/>
        <v>108.07078544000002</v>
      </c>
      <c r="S106" s="5">
        <f t="shared" si="16"/>
        <v>0.4</v>
      </c>
      <c r="T106">
        <v>349</v>
      </c>
      <c r="U106">
        <v>1</v>
      </c>
      <c r="V106">
        <v>1</v>
      </c>
      <c r="W106">
        <v>1</v>
      </c>
      <c r="X106">
        <f t="shared" si="12"/>
        <v>0.10683139534883718</v>
      </c>
      <c r="Y106">
        <f t="shared" si="13"/>
        <v>0.5444444444444444</v>
      </c>
      <c r="Z106">
        <f t="shared" si="17"/>
        <v>0.43749999999999994</v>
      </c>
      <c r="AA106">
        <f t="shared" si="18"/>
        <v>0.58333333333333337</v>
      </c>
      <c r="AC106">
        <f t="shared" si="19"/>
        <v>8.9307411907654899E-2</v>
      </c>
      <c r="AD106">
        <f t="shared" si="14"/>
        <v>8.9307411907654899E-2</v>
      </c>
    </row>
    <row r="107" spans="1:30" x14ac:dyDescent="0.25">
      <c r="A107">
        <v>366</v>
      </c>
      <c r="B107">
        <f>IFERROR(VLOOKUP(A107,Capacity!$A$3:$D$532,4,), "0")</f>
        <v>7.6969018699999987</v>
      </c>
      <c r="C107" s="4">
        <f>IFERROR(VLOOKUP(A107,Capacity!$A$3:$F$532,6,), "0")</f>
        <v>0.17499999999999999</v>
      </c>
      <c r="E107" t="str">
        <f>IFERROR(VLOOKUP(D107,Capacity!$A$3:$D$532,4,), "0")</f>
        <v>0</v>
      </c>
      <c r="F107" s="4" t="str">
        <f>IFERROR(VLOOKUP(D107,Capacity!$A$3:$F$532,6,), "0")</f>
        <v>0</v>
      </c>
      <c r="H107" t="str">
        <f>IFERROR(VLOOKUP(G107,Capacity!$A$3:$D$532,4,), "0")</f>
        <v>0</v>
      </c>
      <c r="I107" s="4" t="str">
        <f>IFERROR(VLOOKUP(G107,Capacity!$A$3:$F$532,6,), "0")</f>
        <v>0</v>
      </c>
      <c r="K107" t="str">
        <f>IFERROR(VLOOKUP(J107,Capacity!$A$3:$D$532,4,), "0")</f>
        <v>0</v>
      </c>
      <c r="L107" s="4" t="str">
        <f>IFERROR(VLOOKUP(J107,Capacity!$A$3:$F$532,6,), "0")</f>
        <v>0</v>
      </c>
      <c r="M107" s="5">
        <f t="shared" si="10"/>
        <v>0</v>
      </c>
      <c r="N107" s="5">
        <f t="shared" si="11"/>
        <v>0</v>
      </c>
      <c r="O107">
        <v>25</v>
      </c>
      <c r="P107">
        <f>IFERROR(VLOOKUP(O107,Capacity!$A$3:$D$532,4,), "0")</f>
        <v>424.11500100000001</v>
      </c>
      <c r="Q107" s="4">
        <f>IFERROR(VLOOKUP(O107,Capacity!$A$3:$F$532,6,), "0")</f>
        <v>0.75</v>
      </c>
      <c r="R107" s="5">
        <f t="shared" si="15"/>
        <v>424.11500100000001</v>
      </c>
      <c r="S107" s="5">
        <f t="shared" si="16"/>
        <v>0.75</v>
      </c>
      <c r="T107">
        <v>366</v>
      </c>
      <c r="U107">
        <v>0</v>
      </c>
      <c r="V107">
        <v>0</v>
      </c>
      <c r="W107">
        <v>1</v>
      </c>
      <c r="X107">
        <f t="shared" si="12"/>
        <v>0</v>
      </c>
      <c r="Y107">
        <f t="shared" si="13"/>
        <v>0</v>
      </c>
      <c r="Z107">
        <f t="shared" si="17"/>
        <v>0</v>
      </c>
      <c r="AA107">
        <f t="shared" si="18"/>
        <v>0</v>
      </c>
      <c r="AC107">
        <f t="shared" si="19"/>
        <v>0</v>
      </c>
      <c r="AD107">
        <f t="shared" si="14"/>
        <v>0</v>
      </c>
    </row>
    <row r="108" spans="1:30" x14ac:dyDescent="0.25">
      <c r="A108">
        <v>26</v>
      </c>
      <c r="B108">
        <f>IFERROR(VLOOKUP(A108,Capacity!$A$3:$D$532,4,), "0")</f>
        <v>70.685833500000001</v>
      </c>
      <c r="C108" s="4">
        <f>IFERROR(VLOOKUP(A108,Capacity!$A$3:$F$532,6,), "0")</f>
        <v>0.75</v>
      </c>
      <c r="D108">
        <v>346</v>
      </c>
      <c r="E108">
        <f>IFERROR(VLOOKUP(D108,Capacity!$A$3:$D$532,4,), "0")</f>
        <v>115.61060768000002</v>
      </c>
      <c r="F108" s="4">
        <f>IFERROR(VLOOKUP(D108,Capacity!$A$3:$F$532,6,), "0")</f>
        <v>0.4</v>
      </c>
      <c r="G108">
        <v>27</v>
      </c>
      <c r="H108">
        <f>IFERROR(VLOOKUP(G108,Capacity!$A$3:$D$532,4,), "0")</f>
        <v>141.371667</v>
      </c>
      <c r="I108" s="4">
        <f>IFERROR(VLOOKUP(G108,Capacity!$A$3:$F$532,6,), "0")</f>
        <v>0.75</v>
      </c>
      <c r="K108" t="str">
        <f>IFERROR(VLOOKUP(J108,Capacity!$A$3:$D$532,4,), "0")</f>
        <v>0</v>
      </c>
      <c r="L108" s="4" t="str">
        <f>IFERROR(VLOOKUP(J108,Capacity!$A$3:$F$532,6,), "0")</f>
        <v>0</v>
      </c>
      <c r="M108" s="5">
        <f t="shared" si="10"/>
        <v>256.98227468000005</v>
      </c>
      <c r="N108" s="5">
        <f t="shared" si="11"/>
        <v>1.1499999999999999</v>
      </c>
      <c r="O108">
        <v>25</v>
      </c>
      <c r="P108">
        <f>IFERROR(VLOOKUP(O108,Capacity!$A$3:$D$532,4,), "0")</f>
        <v>424.11500100000001</v>
      </c>
      <c r="Q108" s="4">
        <f>IFERROR(VLOOKUP(O108,Capacity!$A$3:$F$532,6,), "0")</f>
        <v>0.75</v>
      </c>
      <c r="R108" s="5">
        <f t="shared" si="15"/>
        <v>424.11500100000001</v>
      </c>
      <c r="S108" s="5">
        <f t="shared" si="16"/>
        <v>0.75</v>
      </c>
      <c r="T108">
        <v>26</v>
      </c>
      <c r="U108">
        <v>2</v>
      </c>
      <c r="V108">
        <v>2</v>
      </c>
      <c r="W108">
        <v>1</v>
      </c>
      <c r="X108">
        <f t="shared" si="12"/>
        <v>0.60592592592592598</v>
      </c>
      <c r="Y108">
        <f t="shared" si="13"/>
        <v>3.6355555555555563</v>
      </c>
      <c r="Z108">
        <f t="shared" si="17"/>
        <v>1.5333333333333332</v>
      </c>
      <c r="AA108">
        <f t="shared" si="18"/>
        <v>1.5333333333333332</v>
      </c>
      <c r="AC108">
        <f t="shared" si="19"/>
        <v>0.51936507936507947</v>
      </c>
      <c r="AD108">
        <f t="shared" si="14"/>
        <v>1.0387301587301589</v>
      </c>
    </row>
    <row r="109" spans="1:30" x14ac:dyDescent="0.25">
      <c r="A109">
        <v>416</v>
      </c>
      <c r="B109">
        <f>IFERROR(VLOOKUP(A109,Capacity!$A$3:$D$532,4,), "0")</f>
        <v>21.647536509374998</v>
      </c>
      <c r="C109" s="4">
        <f>IFERROR(VLOOKUP(A109,Capacity!$A$3:$F$532,6,), "0")</f>
        <v>0.17499999999999999</v>
      </c>
      <c r="E109" t="str">
        <f>IFERROR(VLOOKUP(D109,Capacity!$A$3:$D$532,4,), "0")</f>
        <v>0</v>
      </c>
      <c r="F109" s="4" t="str">
        <f>IFERROR(VLOOKUP(D109,Capacity!$A$3:$F$532,6,), "0")</f>
        <v>0</v>
      </c>
      <c r="H109" t="str">
        <f>IFERROR(VLOOKUP(G109,Capacity!$A$3:$D$532,4,), "0")</f>
        <v>0</v>
      </c>
      <c r="I109" s="4" t="str">
        <f>IFERROR(VLOOKUP(G109,Capacity!$A$3:$F$532,6,), "0")</f>
        <v>0</v>
      </c>
      <c r="K109" t="str">
        <f>IFERROR(VLOOKUP(J109,Capacity!$A$3:$D$532,4,), "0")</f>
        <v>0</v>
      </c>
      <c r="L109" s="4" t="str">
        <f>IFERROR(VLOOKUP(J109,Capacity!$A$3:$F$532,6,), "0")</f>
        <v>0</v>
      </c>
      <c r="M109" s="5">
        <f t="shared" si="10"/>
        <v>0</v>
      </c>
      <c r="N109" s="5">
        <f t="shared" si="11"/>
        <v>0</v>
      </c>
      <c r="O109">
        <v>45</v>
      </c>
      <c r="P109">
        <f>IFERROR(VLOOKUP(O109,Capacity!$A$3:$D$532,4,), "0")</f>
        <v>40.212385280000007</v>
      </c>
      <c r="Q109" s="4">
        <f>IFERROR(VLOOKUP(O109,Capacity!$A$3:$F$532,6,), "0")</f>
        <v>0.4</v>
      </c>
      <c r="R109" s="5">
        <f t="shared" si="15"/>
        <v>40.212385280000007</v>
      </c>
      <c r="S109" s="5">
        <f t="shared" si="16"/>
        <v>0.4</v>
      </c>
      <c r="T109">
        <v>416</v>
      </c>
      <c r="U109">
        <v>0</v>
      </c>
      <c r="V109">
        <v>0</v>
      </c>
      <c r="W109">
        <v>1</v>
      </c>
      <c r="X109">
        <f t="shared" si="12"/>
        <v>0</v>
      </c>
      <c r="Y109">
        <f t="shared" si="13"/>
        <v>0</v>
      </c>
      <c r="Z109">
        <f t="shared" si="17"/>
        <v>0</v>
      </c>
      <c r="AA109">
        <f t="shared" si="18"/>
        <v>0</v>
      </c>
      <c r="AC109">
        <f t="shared" si="19"/>
        <v>0</v>
      </c>
      <c r="AD109">
        <f t="shared" si="14"/>
        <v>0</v>
      </c>
    </row>
    <row r="110" spans="1:30" x14ac:dyDescent="0.25">
      <c r="A110">
        <v>368</v>
      </c>
      <c r="B110">
        <f>IFERROR(VLOOKUP(A110,Capacity!$A$3:$D$532,4,), "0")</f>
        <v>23.090705609999997</v>
      </c>
      <c r="C110" s="4">
        <f>IFERROR(VLOOKUP(A110,Capacity!$A$3:$F$532,6,), "0")</f>
        <v>0.17499999999999999</v>
      </c>
      <c r="E110" t="str">
        <f>IFERROR(VLOOKUP(D110,Capacity!$A$3:$D$532,4,), "0")</f>
        <v>0</v>
      </c>
      <c r="F110" s="4" t="str">
        <f>IFERROR(VLOOKUP(D110,Capacity!$A$3:$F$532,6,), "0")</f>
        <v>0</v>
      </c>
      <c r="H110" t="str">
        <f>IFERROR(VLOOKUP(G110,Capacity!$A$3:$D$532,4,), "0")</f>
        <v>0</v>
      </c>
      <c r="I110" s="4" t="str">
        <f>IFERROR(VLOOKUP(G110,Capacity!$A$3:$F$532,6,), "0")</f>
        <v>0</v>
      </c>
      <c r="K110" t="str">
        <f>IFERROR(VLOOKUP(J110,Capacity!$A$3:$D$532,4,), "0")</f>
        <v>0</v>
      </c>
      <c r="L110" s="4" t="str">
        <f>IFERROR(VLOOKUP(J110,Capacity!$A$3:$F$532,6,), "0")</f>
        <v>0</v>
      </c>
      <c r="M110" s="5">
        <f t="shared" si="10"/>
        <v>0</v>
      </c>
      <c r="N110" s="5">
        <f t="shared" si="11"/>
        <v>0</v>
      </c>
      <c r="O110">
        <v>45</v>
      </c>
      <c r="P110">
        <f>IFERROR(VLOOKUP(O110,Capacity!$A$3:$D$532,4,), "0")</f>
        <v>40.212385280000007</v>
      </c>
      <c r="Q110" s="4">
        <f>IFERROR(VLOOKUP(O110,Capacity!$A$3:$F$532,6,), "0")</f>
        <v>0.4</v>
      </c>
      <c r="R110" s="5">
        <f t="shared" si="15"/>
        <v>40.212385280000007</v>
      </c>
      <c r="S110" s="5">
        <f t="shared" si="16"/>
        <v>0.4</v>
      </c>
      <c r="T110">
        <v>368</v>
      </c>
      <c r="U110">
        <v>0</v>
      </c>
      <c r="V110">
        <v>0</v>
      </c>
      <c r="W110">
        <v>1</v>
      </c>
      <c r="X110">
        <f t="shared" si="12"/>
        <v>0</v>
      </c>
      <c r="Y110">
        <f t="shared" si="13"/>
        <v>0</v>
      </c>
      <c r="Z110">
        <f t="shared" si="17"/>
        <v>0</v>
      </c>
      <c r="AA110">
        <f t="shared" si="18"/>
        <v>0</v>
      </c>
      <c r="AC110">
        <f t="shared" si="19"/>
        <v>0</v>
      </c>
      <c r="AD110">
        <f t="shared" si="14"/>
        <v>0</v>
      </c>
    </row>
    <row r="111" spans="1:30" x14ac:dyDescent="0.25">
      <c r="A111">
        <v>44</v>
      </c>
      <c r="B111">
        <f>IFERROR(VLOOKUP(A111,Capacity!$A$3:$D$532,4,), "0")</f>
        <v>40.212385280000007</v>
      </c>
      <c r="C111" s="4">
        <f>IFERROR(VLOOKUP(A111,Capacity!$A$3:$F$532,6,), "0")</f>
        <v>0.4</v>
      </c>
      <c r="D111">
        <v>370</v>
      </c>
      <c r="E111">
        <f>IFERROR(VLOOKUP(D111,Capacity!$A$3:$D$532,4,), "0")</f>
        <v>23.090705609999997</v>
      </c>
      <c r="F111" s="4">
        <f>IFERROR(VLOOKUP(D111,Capacity!$A$3:$F$532,6,), "0")</f>
        <v>0.17499999999999999</v>
      </c>
      <c r="G111">
        <v>414</v>
      </c>
      <c r="H111">
        <f>IFERROR(VLOOKUP(G111,Capacity!$A$3:$D$532,4,), "0")</f>
        <v>21.647536509374998</v>
      </c>
      <c r="I111" s="4">
        <f>IFERROR(VLOOKUP(G111,Capacity!$A$3:$F$532,6,), "0")</f>
        <v>0.17499999999999999</v>
      </c>
      <c r="J111">
        <v>43</v>
      </c>
      <c r="K111">
        <f>IFERROR(VLOOKUP(J111,Capacity!$A$3:$D$532,4,), "0")</f>
        <v>40.212385280000007</v>
      </c>
      <c r="L111" s="4">
        <f>IFERROR(VLOOKUP(J111,Capacity!$A$3:$F$532,6,), "0")</f>
        <v>0.4</v>
      </c>
      <c r="M111" s="5">
        <f t="shared" si="10"/>
        <v>84.950627399375009</v>
      </c>
      <c r="N111" s="5">
        <f t="shared" si="11"/>
        <v>0.75</v>
      </c>
      <c r="O111">
        <v>45</v>
      </c>
      <c r="P111">
        <f>IFERROR(VLOOKUP(O111,Capacity!$A$3:$D$532,4,), "0")</f>
        <v>40.212385280000007</v>
      </c>
      <c r="Q111" s="4">
        <f>IFERROR(VLOOKUP(O111,Capacity!$A$3:$F$532,6,), "0")</f>
        <v>0.4</v>
      </c>
      <c r="R111" s="5">
        <f t="shared" si="15"/>
        <v>40.212385280000007</v>
      </c>
      <c r="S111" s="5">
        <f t="shared" si="16"/>
        <v>0.4</v>
      </c>
      <c r="T111">
        <v>44</v>
      </c>
      <c r="U111">
        <v>3</v>
      </c>
      <c r="V111">
        <v>3</v>
      </c>
      <c r="W111">
        <v>1</v>
      </c>
      <c r="X111">
        <f t="shared" si="12"/>
        <v>2.112548828125</v>
      </c>
      <c r="Y111">
        <f t="shared" si="13"/>
        <v>2.112548828125</v>
      </c>
      <c r="Z111">
        <f t="shared" si="17"/>
        <v>1.875</v>
      </c>
      <c r="AA111">
        <f t="shared" si="18"/>
        <v>1.875</v>
      </c>
      <c r="AC111">
        <f t="shared" si="19"/>
        <v>1.0562744140625</v>
      </c>
      <c r="AD111">
        <f t="shared" si="14"/>
        <v>3.1688232421875</v>
      </c>
    </row>
    <row r="112" spans="1:30" x14ac:dyDescent="0.25">
      <c r="A112">
        <v>83</v>
      </c>
      <c r="B112">
        <f>IFERROR(VLOOKUP(A112,Capacity!$A$3:$D$532,4,), "0")</f>
        <v>90.477866879999993</v>
      </c>
      <c r="C112" s="4">
        <f>IFERROR(VLOOKUP(A112,Capacity!$A$3:$F$532,6,), "0")</f>
        <v>0.6</v>
      </c>
      <c r="D112">
        <v>82</v>
      </c>
      <c r="E112">
        <f>IFERROR(VLOOKUP(D112,Capacity!$A$3:$D$532,4,), "0")</f>
        <v>90.477866879999993</v>
      </c>
      <c r="F112" s="4">
        <f>IFERROR(VLOOKUP(D112,Capacity!$A$3:$F$532,6,), "0")</f>
        <v>0.6</v>
      </c>
      <c r="H112" t="str">
        <f>IFERROR(VLOOKUP(G112,Capacity!$A$3:$D$532,4,), "0")</f>
        <v>0</v>
      </c>
      <c r="I112" s="4" t="str">
        <f>IFERROR(VLOOKUP(G112,Capacity!$A$3:$F$532,6,), "0")</f>
        <v>0</v>
      </c>
      <c r="K112" t="str">
        <f>IFERROR(VLOOKUP(J112,Capacity!$A$3:$D$532,4,), "0")</f>
        <v>0</v>
      </c>
      <c r="L112" s="4" t="str">
        <f>IFERROR(VLOOKUP(J112,Capacity!$A$3:$F$532,6,), "0")</f>
        <v>0</v>
      </c>
      <c r="M112" s="5">
        <f t="shared" si="10"/>
        <v>90.477866879999993</v>
      </c>
      <c r="N112" s="5">
        <f t="shared" si="11"/>
        <v>0.6</v>
      </c>
      <c r="O112">
        <v>84</v>
      </c>
      <c r="P112">
        <f>IFERROR(VLOOKUP(O112,Capacity!$A$3:$D$532,4,), "0")</f>
        <v>90.477866879999993</v>
      </c>
      <c r="Q112" s="4">
        <f>IFERROR(VLOOKUP(O112,Capacity!$A$3:$F$532,6,), "0")</f>
        <v>0.6</v>
      </c>
      <c r="R112" s="5">
        <f t="shared" si="15"/>
        <v>90.477866879999993</v>
      </c>
      <c r="S112" s="5">
        <f t="shared" si="16"/>
        <v>0.6</v>
      </c>
      <c r="T112">
        <v>83</v>
      </c>
      <c r="U112">
        <v>1</v>
      </c>
      <c r="V112">
        <v>1</v>
      </c>
      <c r="W112">
        <v>1</v>
      </c>
      <c r="X112">
        <f t="shared" si="12"/>
        <v>1</v>
      </c>
      <c r="Y112">
        <f t="shared" si="13"/>
        <v>1</v>
      </c>
      <c r="Z112">
        <f t="shared" si="17"/>
        <v>1</v>
      </c>
      <c r="AA112">
        <f t="shared" si="18"/>
        <v>1</v>
      </c>
      <c r="AC112">
        <f t="shared" si="19"/>
        <v>0.5</v>
      </c>
      <c r="AD112">
        <f t="shared" si="14"/>
        <v>0.5</v>
      </c>
    </row>
    <row r="113" spans="1:30" x14ac:dyDescent="0.25">
      <c r="A113">
        <v>413</v>
      </c>
      <c r="B113">
        <f>IFERROR(VLOOKUP(A113,Capacity!$A$3:$D$532,4,), "0")</f>
        <v>21.166480142499999</v>
      </c>
      <c r="C113" s="4">
        <f>IFERROR(VLOOKUP(A113,Capacity!$A$3:$F$532,6,), "0")</f>
        <v>0.17499999999999999</v>
      </c>
      <c r="E113" t="str">
        <f>IFERROR(VLOOKUP(D113,Capacity!$A$3:$D$532,4,), "0")</f>
        <v>0</v>
      </c>
      <c r="F113" s="4" t="str">
        <f>IFERROR(VLOOKUP(D113,Capacity!$A$3:$F$532,6,), "0")</f>
        <v>0</v>
      </c>
      <c r="H113" t="str">
        <f>IFERROR(VLOOKUP(G113,Capacity!$A$3:$D$532,4,), "0")</f>
        <v>0</v>
      </c>
      <c r="I113" s="4" t="str">
        <f>IFERROR(VLOOKUP(G113,Capacity!$A$3:$F$532,6,), "0")</f>
        <v>0</v>
      </c>
      <c r="K113" t="str">
        <f>IFERROR(VLOOKUP(J113,Capacity!$A$3:$D$532,4,), "0")</f>
        <v>0</v>
      </c>
      <c r="L113" s="4" t="str">
        <f>IFERROR(VLOOKUP(J113,Capacity!$A$3:$F$532,6,), "0")</f>
        <v>0</v>
      </c>
      <c r="M113" s="5">
        <f t="shared" si="10"/>
        <v>0</v>
      </c>
      <c r="N113" s="5">
        <f t="shared" si="11"/>
        <v>0</v>
      </c>
      <c r="O113">
        <v>173</v>
      </c>
      <c r="P113">
        <f>IFERROR(VLOOKUP(O113,Capacity!$A$3:$D$532,4,), "0")</f>
        <v>22.619466719999998</v>
      </c>
      <c r="Q113" s="4">
        <f>IFERROR(VLOOKUP(O113,Capacity!$A$3:$F$532,6,), "0")</f>
        <v>0.3</v>
      </c>
      <c r="R113" s="5">
        <f t="shared" si="15"/>
        <v>22.619466719999998</v>
      </c>
      <c r="S113" s="5">
        <f t="shared" si="16"/>
        <v>0.3</v>
      </c>
      <c r="T113">
        <v>413</v>
      </c>
      <c r="U113">
        <v>0</v>
      </c>
      <c r="V113">
        <v>0</v>
      </c>
      <c r="W113">
        <v>1</v>
      </c>
      <c r="X113">
        <f t="shared" si="12"/>
        <v>0</v>
      </c>
      <c r="Y113">
        <f t="shared" si="13"/>
        <v>0</v>
      </c>
      <c r="Z113">
        <f t="shared" si="17"/>
        <v>0</v>
      </c>
      <c r="AA113">
        <f t="shared" si="18"/>
        <v>0</v>
      </c>
      <c r="AC113">
        <f t="shared" si="19"/>
        <v>0</v>
      </c>
      <c r="AD113">
        <f t="shared" si="14"/>
        <v>0</v>
      </c>
    </row>
    <row r="114" spans="1:30" x14ac:dyDescent="0.25">
      <c r="A114">
        <v>178</v>
      </c>
      <c r="B114">
        <f>IFERROR(VLOOKUP(A114,Capacity!$A$3:$D$532,4,), "0")</f>
        <v>22.619466719999998</v>
      </c>
      <c r="C114" s="4">
        <f>IFERROR(VLOOKUP(A114,Capacity!$A$3:$F$532,6,), "0")</f>
        <v>0.3</v>
      </c>
      <c r="D114">
        <v>411</v>
      </c>
      <c r="E114">
        <f>IFERROR(VLOOKUP(D114,Capacity!$A$3:$D$532,4,), "0")</f>
        <v>21.166480142499999</v>
      </c>
      <c r="F114" s="4">
        <f>IFERROR(VLOOKUP(D114,Capacity!$A$3:$F$532,6,), "0")</f>
        <v>0.17499999999999999</v>
      </c>
      <c r="G114">
        <v>184</v>
      </c>
      <c r="H114">
        <f>IFERROR(VLOOKUP(G114,Capacity!$A$3:$D$532,4,), "0")</f>
        <v>22.619466719999998</v>
      </c>
      <c r="I114" s="4">
        <f>IFERROR(VLOOKUP(G114,Capacity!$A$3:$F$532,6,), "0")</f>
        <v>0.3</v>
      </c>
      <c r="K114" t="str">
        <f>IFERROR(VLOOKUP(J114,Capacity!$A$3:$D$532,4,), "0")</f>
        <v>0</v>
      </c>
      <c r="L114" s="4" t="str">
        <f>IFERROR(VLOOKUP(J114,Capacity!$A$3:$F$532,6,), "0")</f>
        <v>0</v>
      </c>
      <c r="M114" s="5">
        <f t="shared" si="10"/>
        <v>43.785946862499998</v>
      </c>
      <c r="N114" s="5">
        <f t="shared" si="11"/>
        <v>0.47499999999999998</v>
      </c>
      <c r="O114">
        <v>173</v>
      </c>
      <c r="P114">
        <f>IFERROR(VLOOKUP(O114,Capacity!$A$3:$D$532,4,), "0")</f>
        <v>22.619466719999998</v>
      </c>
      <c r="Q114" s="4">
        <f>IFERROR(VLOOKUP(O114,Capacity!$A$3:$F$532,6,), "0")</f>
        <v>0.3</v>
      </c>
      <c r="R114" s="5">
        <f t="shared" si="15"/>
        <v>22.619466719999998</v>
      </c>
      <c r="S114" s="5">
        <f t="shared" si="16"/>
        <v>0.3</v>
      </c>
      <c r="T114">
        <v>178</v>
      </c>
      <c r="U114">
        <v>2</v>
      </c>
      <c r="V114">
        <v>2</v>
      </c>
      <c r="W114">
        <v>1</v>
      </c>
      <c r="X114">
        <f t="shared" si="12"/>
        <v>1.9357638888888888</v>
      </c>
      <c r="Y114">
        <f t="shared" si="13"/>
        <v>1.9357638888888888</v>
      </c>
      <c r="Z114">
        <f t="shared" si="17"/>
        <v>1.5833333333333333</v>
      </c>
      <c r="AA114">
        <f t="shared" si="18"/>
        <v>1.5833333333333333</v>
      </c>
      <c r="AC114">
        <f t="shared" si="19"/>
        <v>0.96788194444444442</v>
      </c>
      <c r="AD114">
        <f t="shared" si="14"/>
        <v>1.9357638888888888</v>
      </c>
    </row>
    <row r="115" spans="1:30" x14ac:dyDescent="0.25">
      <c r="A115">
        <v>455</v>
      </c>
      <c r="B115">
        <f>IFERROR(VLOOKUP(A115,Capacity!$A$3:$D$532,4,), "0")</f>
        <v>291.57906318750003</v>
      </c>
      <c r="C115" s="4">
        <f>IFERROR(VLOOKUP(A115,Capacity!$A$3:$F$532,6,), "0")</f>
        <v>0.75</v>
      </c>
      <c r="E115" t="str">
        <f>IFERROR(VLOOKUP(D115,Capacity!$A$3:$D$532,4,), "0")</f>
        <v>0</v>
      </c>
      <c r="F115" s="4" t="str">
        <f>IFERROR(VLOOKUP(D115,Capacity!$A$3:$F$532,6,), "0")</f>
        <v>0</v>
      </c>
      <c r="H115" t="str">
        <f>IFERROR(VLOOKUP(G115,Capacity!$A$3:$D$532,4,), "0")</f>
        <v>0</v>
      </c>
      <c r="I115" s="4" t="str">
        <f>IFERROR(VLOOKUP(G115,Capacity!$A$3:$F$532,6,), "0")</f>
        <v>0</v>
      </c>
      <c r="K115" t="str">
        <f>IFERROR(VLOOKUP(J115,Capacity!$A$3:$D$532,4,), "0")</f>
        <v>0</v>
      </c>
      <c r="L115" s="4" t="str">
        <f>IFERROR(VLOOKUP(J115,Capacity!$A$3:$F$532,6,), "0")</f>
        <v>0</v>
      </c>
      <c r="M115" s="5">
        <f t="shared" si="10"/>
        <v>0</v>
      </c>
      <c r="N115" s="5">
        <f t="shared" si="11"/>
        <v>0</v>
      </c>
      <c r="O115">
        <v>174</v>
      </c>
      <c r="P115">
        <f>IFERROR(VLOOKUP(O115,Capacity!$A$3:$D$532,4,), "0")</f>
        <v>15.874860106874999</v>
      </c>
      <c r="Q115" s="4">
        <f>IFERROR(VLOOKUP(O115,Capacity!$A$3:$F$532,6,), "0")</f>
        <v>0.17499999999999999</v>
      </c>
      <c r="R115" s="5">
        <f t="shared" si="15"/>
        <v>15.874860106874999</v>
      </c>
      <c r="S115" s="5">
        <f t="shared" si="16"/>
        <v>0.17499999999999999</v>
      </c>
      <c r="T115">
        <v>455</v>
      </c>
      <c r="U115">
        <v>0</v>
      </c>
      <c r="V115">
        <v>0</v>
      </c>
      <c r="W115">
        <v>1</v>
      </c>
      <c r="X115">
        <f t="shared" si="12"/>
        <v>0</v>
      </c>
      <c r="Y115">
        <f t="shared" si="13"/>
        <v>0</v>
      </c>
      <c r="Z115">
        <f t="shared" si="17"/>
        <v>0</v>
      </c>
      <c r="AA115">
        <f t="shared" si="18"/>
        <v>0</v>
      </c>
      <c r="AC115">
        <f t="shared" si="19"/>
        <v>0</v>
      </c>
      <c r="AD115">
        <f t="shared" si="14"/>
        <v>0</v>
      </c>
    </row>
    <row r="116" spans="1:30" x14ac:dyDescent="0.25">
      <c r="A116">
        <v>458</v>
      </c>
      <c r="B116">
        <f>IFERROR(VLOOKUP(A116,Capacity!$A$3:$D$532,4,), "0")</f>
        <v>19.242254674999998</v>
      </c>
      <c r="C116" s="4">
        <f>IFERROR(VLOOKUP(A116,Capacity!$A$3:$F$532,6,), "0")</f>
        <v>0.17499999999999999</v>
      </c>
      <c r="E116" t="str">
        <f>IFERROR(VLOOKUP(D116,Capacity!$A$3:$D$532,4,), "0")</f>
        <v>0</v>
      </c>
      <c r="F116" s="4" t="str">
        <f>IFERROR(VLOOKUP(D116,Capacity!$A$3:$F$532,6,), "0")</f>
        <v>0</v>
      </c>
      <c r="H116" t="str">
        <f>IFERROR(VLOOKUP(G116,Capacity!$A$3:$D$532,4,), "0")</f>
        <v>0</v>
      </c>
      <c r="I116" s="4" t="str">
        <f>IFERROR(VLOOKUP(G116,Capacity!$A$3:$F$532,6,), "0")</f>
        <v>0</v>
      </c>
      <c r="K116" t="str">
        <f>IFERROR(VLOOKUP(J116,Capacity!$A$3:$D$532,4,), "0")</f>
        <v>0</v>
      </c>
      <c r="L116" s="4" t="str">
        <f>IFERROR(VLOOKUP(J116,Capacity!$A$3:$F$532,6,), "0")</f>
        <v>0</v>
      </c>
      <c r="M116" s="5">
        <f t="shared" si="10"/>
        <v>0</v>
      </c>
      <c r="N116" s="5">
        <f t="shared" si="11"/>
        <v>0</v>
      </c>
      <c r="O116">
        <v>181</v>
      </c>
      <c r="P116">
        <f>IFERROR(VLOOKUP(O116,Capacity!$A$3:$D$532,4,), "0")</f>
        <v>7.6969018699999987</v>
      </c>
      <c r="Q116" s="4">
        <f>IFERROR(VLOOKUP(O116,Capacity!$A$3:$F$532,6,), "0")</f>
        <v>0.17499999999999999</v>
      </c>
      <c r="R116" s="5">
        <f t="shared" si="15"/>
        <v>7.6969018699999987</v>
      </c>
      <c r="S116" s="5">
        <f t="shared" si="16"/>
        <v>0.17499999999999999</v>
      </c>
      <c r="T116">
        <v>458</v>
      </c>
      <c r="U116">
        <v>0</v>
      </c>
      <c r="V116">
        <v>0</v>
      </c>
      <c r="W116">
        <v>1</v>
      </c>
      <c r="X116">
        <f t="shared" si="12"/>
        <v>0</v>
      </c>
      <c r="Y116">
        <f t="shared" si="13"/>
        <v>0</v>
      </c>
      <c r="Z116">
        <f t="shared" si="17"/>
        <v>0</v>
      </c>
      <c r="AA116">
        <f t="shared" si="18"/>
        <v>0</v>
      </c>
      <c r="AC116">
        <f t="shared" si="19"/>
        <v>0</v>
      </c>
      <c r="AD116">
        <f t="shared" si="14"/>
        <v>0</v>
      </c>
    </row>
    <row r="117" spans="1:30" x14ac:dyDescent="0.25">
      <c r="A117">
        <v>186</v>
      </c>
      <c r="B117">
        <f>IFERROR(VLOOKUP(A117,Capacity!$A$3:$D$532,4,), "0")</f>
        <v>17.649467226800002</v>
      </c>
      <c r="C117" s="4">
        <f>IFERROR(VLOOKUP(A117,Capacity!$A$3:$F$532,6,), "0")</f>
        <v>0.26500000000000001</v>
      </c>
      <c r="D117">
        <v>185</v>
      </c>
      <c r="E117">
        <f>IFERROR(VLOOKUP(D117,Capacity!$A$3:$D$532,4,), "0")</f>
        <v>628.31852000000003</v>
      </c>
      <c r="F117" s="4">
        <f>IFERROR(VLOOKUP(D117,Capacity!$A$3:$F$532,6,), "0")</f>
        <v>1</v>
      </c>
      <c r="H117" t="str">
        <f>IFERROR(VLOOKUP(G117,Capacity!$A$3:$D$532,4,), "0")</f>
        <v>0</v>
      </c>
      <c r="I117" s="4" t="str">
        <f>IFERROR(VLOOKUP(G117,Capacity!$A$3:$F$532,6,), "0")</f>
        <v>0</v>
      </c>
      <c r="K117" t="str">
        <f>IFERROR(VLOOKUP(J117,Capacity!$A$3:$D$532,4,), "0")</f>
        <v>0</v>
      </c>
      <c r="L117" s="4" t="str">
        <f>IFERROR(VLOOKUP(J117,Capacity!$A$3:$F$532,6,), "0")</f>
        <v>0</v>
      </c>
      <c r="M117" s="5">
        <f t="shared" si="10"/>
        <v>628.31852000000003</v>
      </c>
      <c r="N117" s="5">
        <f t="shared" si="11"/>
        <v>1</v>
      </c>
      <c r="O117">
        <v>181</v>
      </c>
      <c r="P117">
        <f>IFERROR(VLOOKUP(O117,Capacity!$A$3:$D$532,4,), "0")</f>
        <v>7.6969018699999987</v>
      </c>
      <c r="Q117" s="4">
        <f>IFERROR(VLOOKUP(O117,Capacity!$A$3:$F$532,6,), "0")</f>
        <v>0.17499999999999999</v>
      </c>
      <c r="R117" s="5">
        <f t="shared" si="15"/>
        <v>7.6969018699999987</v>
      </c>
      <c r="S117" s="5">
        <f t="shared" si="16"/>
        <v>0.17499999999999999</v>
      </c>
      <c r="T117">
        <v>186</v>
      </c>
      <c r="U117">
        <v>1</v>
      </c>
      <c r="V117">
        <v>1</v>
      </c>
      <c r="W117">
        <v>1</v>
      </c>
      <c r="X117">
        <f t="shared" si="12"/>
        <v>81.632653061224502</v>
      </c>
      <c r="Y117">
        <f t="shared" si="13"/>
        <v>35.599857600569592</v>
      </c>
      <c r="Z117">
        <f t="shared" si="17"/>
        <v>5.7142857142857144</v>
      </c>
      <c r="AA117">
        <f t="shared" si="18"/>
        <v>3.773584905660377</v>
      </c>
      <c r="AC117">
        <f t="shared" si="19"/>
        <v>24.789291026276651</v>
      </c>
      <c r="AD117">
        <f t="shared" si="14"/>
        <v>24.789291026276651</v>
      </c>
    </row>
    <row r="118" spans="1:30" x14ac:dyDescent="0.25">
      <c r="A118">
        <v>180</v>
      </c>
      <c r="B118">
        <f>IFERROR(VLOOKUP(A118,Capacity!$A$3:$D$532,4,), "0")</f>
        <v>20.734511160000007</v>
      </c>
      <c r="C118" s="4">
        <f>IFERROR(VLOOKUP(A118,Capacity!$A$3:$F$532,6,), "0")</f>
        <v>0.2</v>
      </c>
      <c r="D118">
        <v>457</v>
      </c>
      <c r="E118">
        <f>IFERROR(VLOOKUP(D118,Capacity!$A$3:$D$532,4,), "0")</f>
        <v>15.874860106874999</v>
      </c>
      <c r="F118" s="4">
        <f>IFERROR(VLOOKUP(D118,Capacity!$A$3:$F$532,6,), "0")</f>
        <v>0.17499999999999999</v>
      </c>
      <c r="H118" t="str">
        <f>IFERROR(VLOOKUP(G118,Capacity!$A$3:$D$532,4,), "0")</f>
        <v>0</v>
      </c>
      <c r="I118" s="4" t="str">
        <f>IFERROR(VLOOKUP(G118,Capacity!$A$3:$F$532,6,), "0")</f>
        <v>0</v>
      </c>
      <c r="K118" t="str">
        <f>IFERROR(VLOOKUP(J118,Capacity!$A$3:$D$532,4,), "0")</f>
        <v>0</v>
      </c>
      <c r="L118" s="4" t="str">
        <f>IFERROR(VLOOKUP(J118,Capacity!$A$3:$F$532,6,), "0")</f>
        <v>0</v>
      </c>
      <c r="M118" s="5">
        <f t="shared" si="10"/>
        <v>15.874860106874999</v>
      </c>
      <c r="N118" s="5">
        <f t="shared" si="11"/>
        <v>0.17499999999999999</v>
      </c>
      <c r="O118">
        <v>181</v>
      </c>
      <c r="P118">
        <f>IFERROR(VLOOKUP(O118,Capacity!$A$3:$D$532,4,), "0")</f>
        <v>7.6969018699999987</v>
      </c>
      <c r="Q118" s="4">
        <f>IFERROR(VLOOKUP(O118,Capacity!$A$3:$F$532,6,), "0")</f>
        <v>0.17499999999999999</v>
      </c>
      <c r="R118" s="5">
        <f t="shared" si="15"/>
        <v>7.6969018699999987</v>
      </c>
      <c r="S118" s="5">
        <f t="shared" si="16"/>
        <v>0.17499999999999999</v>
      </c>
      <c r="T118">
        <v>180</v>
      </c>
      <c r="U118">
        <v>1</v>
      </c>
      <c r="V118">
        <v>1</v>
      </c>
      <c r="W118">
        <v>1</v>
      </c>
      <c r="X118">
        <f t="shared" si="12"/>
        <v>2.0625000000000004</v>
      </c>
      <c r="Y118">
        <f t="shared" si="13"/>
        <v>0.76562499999999967</v>
      </c>
      <c r="Z118">
        <f t="shared" si="17"/>
        <v>1</v>
      </c>
      <c r="AA118">
        <f t="shared" si="18"/>
        <v>0.87499999999999989</v>
      </c>
      <c r="AC118">
        <f t="shared" si="19"/>
        <v>0.55835635359116009</v>
      </c>
      <c r="AD118">
        <f t="shared" si="14"/>
        <v>0.55835635359116009</v>
      </c>
    </row>
    <row r="119" spans="1:30" x14ac:dyDescent="0.25">
      <c r="A119">
        <v>207</v>
      </c>
      <c r="B119">
        <f>IFERROR(VLOOKUP(A119,Capacity!$A$3:$D$532,4,), "0")</f>
        <v>31.101766740000002</v>
      </c>
      <c r="C119" s="4">
        <f>IFERROR(VLOOKUP(A119,Capacity!$A$3:$F$532,6,), "0")</f>
        <v>0.3</v>
      </c>
      <c r="D119">
        <v>208</v>
      </c>
      <c r="E119">
        <f>IFERROR(VLOOKUP(D119,Capacity!$A$3:$D$532,4,), "0")</f>
        <v>25.132740800000008</v>
      </c>
      <c r="F119" s="4">
        <f>IFERROR(VLOOKUP(D119,Capacity!$A$3:$F$532,6,), "0")</f>
        <v>0.4</v>
      </c>
      <c r="G119">
        <v>206</v>
      </c>
      <c r="H119">
        <f>IFERROR(VLOOKUP(G119,Capacity!$A$3:$D$532,4,), "0")</f>
        <v>17.318029207499997</v>
      </c>
      <c r="I119" s="4">
        <f>IFERROR(VLOOKUP(G119,Capacity!$A$3:$F$532,6,), "0")</f>
        <v>0.17499999999999999</v>
      </c>
      <c r="K119" t="str">
        <f>IFERROR(VLOOKUP(J119,Capacity!$A$3:$D$532,4,), "0")</f>
        <v>0</v>
      </c>
      <c r="L119" s="4" t="str">
        <f>IFERROR(VLOOKUP(J119,Capacity!$A$3:$F$532,6,), "0")</f>
        <v>0</v>
      </c>
      <c r="M119" s="5">
        <f t="shared" si="10"/>
        <v>42.450770007500005</v>
      </c>
      <c r="N119" s="5">
        <f t="shared" si="11"/>
        <v>0.57499999999999996</v>
      </c>
      <c r="O119">
        <v>194</v>
      </c>
      <c r="P119">
        <f>IFERROR(VLOOKUP(O119,Capacity!$A$3:$D$532,4,), "0")</f>
        <v>80.424770560000013</v>
      </c>
      <c r="Q119" s="4">
        <f>IFERROR(VLOOKUP(O119,Capacity!$A$3:$F$532,6,), "0")</f>
        <v>0.4</v>
      </c>
      <c r="R119" s="5">
        <f t="shared" si="15"/>
        <v>80.424770560000013</v>
      </c>
      <c r="S119" s="5">
        <f t="shared" si="16"/>
        <v>0.4</v>
      </c>
      <c r="T119">
        <v>207</v>
      </c>
      <c r="U119">
        <v>2</v>
      </c>
      <c r="V119">
        <v>2</v>
      </c>
      <c r="W119">
        <v>1</v>
      </c>
      <c r="X119">
        <f t="shared" si="12"/>
        <v>0.52783203125</v>
      </c>
      <c r="Y119">
        <f t="shared" si="13"/>
        <v>1.3648989898989901</v>
      </c>
      <c r="Z119">
        <f t="shared" si="17"/>
        <v>1.4374999999999998</v>
      </c>
      <c r="AA119">
        <f t="shared" si="18"/>
        <v>1.9166666666666665</v>
      </c>
      <c r="AC119">
        <f t="shared" si="19"/>
        <v>0.3806338028169014</v>
      </c>
      <c r="AD119">
        <f t="shared" si="14"/>
        <v>0.7612676056338028</v>
      </c>
    </row>
    <row r="120" spans="1:30" x14ac:dyDescent="0.25">
      <c r="A120">
        <v>193</v>
      </c>
      <c r="B120">
        <f>IFERROR(VLOOKUP(A120,Capacity!$A$3:$D$532,4,), "0")</f>
        <v>19.242254674999998</v>
      </c>
      <c r="C120" s="4">
        <f>IFERROR(VLOOKUP(A120,Capacity!$A$3:$F$532,6,), "0")</f>
        <v>0.17499999999999999</v>
      </c>
      <c r="D120">
        <v>462</v>
      </c>
      <c r="E120">
        <f>IFERROR(VLOOKUP(D120,Capacity!$A$3:$D$532,4,), "0")</f>
        <v>19.242254674999998</v>
      </c>
      <c r="F120" s="4">
        <f>IFERROR(VLOOKUP(D120,Capacity!$A$3:$F$532,6,), "0")</f>
        <v>0.17499999999999999</v>
      </c>
      <c r="H120" t="str">
        <f>IFERROR(VLOOKUP(G120,Capacity!$A$3:$D$532,4,), "0")</f>
        <v>0</v>
      </c>
      <c r="I120" s="4" t="str">
        <f>IFERROR(VLOOKUP(G120,Capacity!$A$3:$F$532,6,), "0")</f>
        <v>0</v>
      </c>
      <c r="K120" t="str">
        <f>IFERROR(VLOOKUP(J120,Capacity!$A$3:$D$532,4,), "0")</f>
        <v>0</v>
      </c>
      <c r="L120" s="4" t="str">
        <f>IFERROR(VLOOKUP(J120,Capacity!$A$3:$F$532,6,), "0")</f>
        <v>0</v>
      </c>
      <c r="M120" s="5">
        <f t="shared" si="10"/>
        <v>19.242254674999998</v>
      </c>
      <c r="N120" s="5">
        <f t="shared" si="11"/>
        <v>0.17499999999999999</v>
      </c>
      <c r="O120">
        <v>194</v>
      </c>
      <c r="P120">
        <f>IFERROR(VLOOKUP(O120,Capacity!$A$3:$D$532,4,), "0")</f>
        <v>80.424770560000013</v>
      </c>
      <c r="Q120" s="4">
        <f>IFERROR(VLOOKUP(O120,Capacity!$A$3:$F$532,6,), "0")</f>
        <v>0.4</v>
      </c>
      <c r="R120" s="5">
        <f t="shared" si="15"/>
        <v>80.424770560000013</v>
      </c>
      <c r="S120" s="5">
        <f t="shared" si="16"/>
        <v>0.4</v>
      </c>
      <c r="T120">
        <v>193</v>
      </c>
      <c r="U120">
        <v>1</v>
      </c>
      <c r="V120">
        <v>1</v>
      </c>
      <c r="W120">
        <v>1</v>
      </c>
      <c r="X120">
        <f t="shared" si="12"/>
        <v>0.23925781249999994</v>
      </c>
      <c r="Y120">
        <f t="shared" si="13"/>
        <v>1</v>
      </c>
      <c r="Z120">
        <f t="shared" si="17"/>
        <v>0.43749999999999994</v>
      </c>
      <c r="AA120">
        <f t="shared" si="18"/>
        <v>1</v>
      </c>
      <c r="AC120">
        <f t="shared" si="19"/>
        <v>0.19306540583136322</v>
      </c>
      <c r="AD120">
        <f t="shared" si="14"/>
        <v>0.19306540583136322</v>
      </c>
    </row>
    <row r="121" spans="1:30" x14ac:dyDescent="0.25">
      <c r="A121">
        <v>471</v>
      </c>
      <c r="B121">
        <f>IFERROR(VLOOKUP(A121,Capacity!$A$3:$D$532,4,), "0")</f>
        <v>22.705860516499996</v>
      </c>
      <c r="C121" s="4">
        <f>IFERROR(VLOOKUP(A121,Capacity!$A$3:$F$532,6,), "0")</f>
        <v>0.17499999999999999</v>
      </c>
      <c r="E121" t="str">
        <f>IFERROR(VLOOKUP(D121,Capacity!$A$3:$D$532,4,), "0")</f>
        <v>0</v>
      </c>
      <c r="F121" s="4" t="str">
        <f>IFERROR(VLOOKUP(D121,Capacity!$A$3:$F$532,6,), "0")</f>
        <v>0</v>
      </c>
      <c r="H121" t="str">
        <f>IFERROR(VLOOKUP(G121,Capacity!$A$3:$D$532,4,), "0")</f>
        <v>0</v>
      </c>
      <c r="I121" s="4" t="str">
        <f>IFERROR(VLOOKUP(G121,Capacity!$A$3:$F$532,6,), "0")</f>
        <v>0</v>
      </c>
      <c r="K121" t="str">
        <f>IFERROR(VLOOKUP(J121,Capacity!$A$3:$D$532,4,), "0")</f>
        <v>0</v>
      </c>
      <c r="L121" s="4" t="str">
        <f>IFERROR(VLOOKUP(J121,Capacity!$A$3:$F$532,6,), "0")</f>
        <v>0</v>
      </c>
      <c r="M121" s="5">
        <f t="shared" si="10"/>
        <v>0</v>
      </c>
      <c r="N121" s="5">
        <f t="shared" si="11"/>
        <v>0</v>
      </c>
      <c r="O121">
        <v>216</v>
      </c>
      <c r="P121">
        <f>IFERROR(VLOOKUP(O121,Capacity!$A$3:$D$532,4,), "0")</f>
        <v>14.451325960000002</v>
      </c>
      <c r="Q121" s="4">
        <f>IFERROR(VLOOKUP(O121,Capacity!$A$3:$F$532,6,), "0")</f>
        <v>0.2</v>
      </c>
      <c r="R121" s="5">
        <f t="shared" si="15"/>
        <v>14.451325960000002</v>
      </c>
      <c r="S121" s="5">
        <f t="shared" si="16"/>
        <v>0.2</v>
      </c>
      <c r="T121">
        <v>471</v>
      </c>
      <c r="U121">
        <v>0</v>
      </c>
      <c r="V121">
        <v>0</v>
      </c>
      <c r="W121">
        <v>1</v>
      </c>
      <c r="X121">
        <f t="shared" si="12"/>
        <v>0</v>
      </c>
      <c r="Y121">
        <f t="shared" si="13"/>
        <v>0</v>
      </c>
      <c r="Z121">
        <f t="shared" si="17"/>
        <v>0</v>
      </c>
      <c r="AA121">
        <f t="shared" si="18"/>
        <v>0</v>
      </c>
      <c r="AC121">
        <f t="shared" si="19"/>
        <v>0</v>
      </c>
      <c r="AD121">
        <f t="shared" si="14"/>
        <v>0</v>
      </c>
    </row>
    <row r="122" spans="1:30" x14ac:dyDescent="0.25">
      <c r="A122">
        <v>275</v>
      </c>
      <c r="B122">
        <f>IFERROR(VLOOKUP(A122,Capacity!$A$3:$D$532,4,), "0")</f>
        <v>28.863382012499997</v>
      </c>
      <c r="C122" s="4">
        <f>IFERROR(VLOOKUP(A122,Capacity!$A$3:$F$532,6,), "0")</f>
        <v>0.17499999999999999</v>
      </c>
      <c r="E122" t="str">
        <f>IFERROR(VLOOKUP(D122,Capacity!$A$3:$D$532,4,), "0")</f>
        <v>0</v>
      </c>
      <c r="F122" s="4" t="str">
        <f>IFERROR(VLOOKUP(D122,Capacity!$A$3:$F$532,6,), "0")</f>
        <v>0</v>
      </c>
      <c r="H122" t="str">
        <f>IFERROR(VLOOKUP(G122,Capacity!$A$3:$D$532,4,), "0")</f>
        <v>0</v>
      </c>
      <c r="I122" s="4" t="str">
        <f>IFERROR(VLOOKUP(G122,Capacity!$A$3:$F$532,6,), "0")</f>
        <v>0</v>
      </c>
      <c r="K122" t="str">
        <f>IFERROR(VLOOKUP(J122,Capacity!$A$3:$D$532,4,), "0")</f>
        <v>0</v>
      </c>
      <c r="L122" s="4" t="str">
        <f>IFERROR(VLOOKUP(J122,Capacity!$A$3:$F$532,6,), "0")</f>
        <v>0</v>
      </c>
      <c r="M122" s="5">
        <f t="shared" si="10"/>
        <v>0</v>
      </c>
      <c r="N122" s="5">
        <f t="shared" si="11"/>
        <v>0</v>
      </c>
      <c r="O122">
        <v>216</v>
      </c>
      <c r="P122">
        <f>IFERROR(VLOOKUP(O122,Capacity!$A$3:$D$532,4,), "0")</f>
        <v>14.451325960000002</v>
      </c>
      <c r="Q122" s="4">
        <f>IFERROR(VLOOKUP(O122,Capacity!$A$3:$F$532,6,), "0")</f>
        <v>0.2</v>
      </c>
      <c r="R122" s="5">
        <f t="shared" si="15"/>
        <v>14.451325960000002</v>
      </c>
      <c r="S122" s="5">
        <f t="shared" si="16"/>
        <v>0.2</v>
      </c>
      <c r="T122">
        <v>275</v>
      </c>
      <c r="U122">
        <v>0</v>
      </c>
      <c r="V122">
        <v>0</v>
      </c>
      <c r="W122">
        <v>1</v>
      </c>
      <c r="X122">
        <f t="shared" si="12"/>
        <v>0</v>
      </c>
      <c r="Y122">
        <f t="shared" si="13"/>
        <v>0</v>
      </c>
      <c r="Z122">
        <f t="shared" si="17"/>
        <v>0</v>
      </c>
      <c r="AA122">
        <f t="shared" si="18"/>
        <v>0</v>
      </c>
      <c r="AC122">
        <f t="shared" si="19"/>
        <v>0</v>
      </c>
      <c r="AD122">
        <f t="shared" si="14"/>
        <v>0</v>
      </c>
    </row>
    <row r="123" spans="1:30" x14ac:dyDescent="0.25">
      <c r="A123">
        <v>215</v>
      </c>
      <c r="B123">
        <f>IFERROR(VLOOKUP(A123,Capacity!$A$3:$D$532,4,), "0")</f>
        <v>6.2831852000000019</v>
      </c>
      <c r="C123" s="4">
        <f>IFERROR(VLOOKUP(A123,Capacity!$A$3:$F$532,6,), "0")</f>
        <v>0.2</v>
      </c>
      <c r="D123">
        <v>472</v>
      </c>
      <c r="E123">
        <f>IFERROR(VLOOKUP(D123,Capacity!$A$3:$D$532,4,), "0")</f>
        <v>24.052818343749998</v>
      </c>
      <c r="F123" s="4">
        <f>IFERROR(VLOOKUP(D123,Capacity!$A$3:$F$532,6,), "0")</f>
        <v>0.17499999999999999</v>
      </c>
      <c r="G123">
        <v>214</v>
      </c>
      <c r="H123">
        <f>IFERROR(VLOOKUP(G123,Capacity!$A$3:$D$532,4,), "0")</f>
        <v>5.7726764024999992</v>
      </c>
      <c r="I123" s="4">
        <f>IFERROR(VLOOKUP(G123,Capacity!$A$3:$F$532,6,), "0")</f>
        <v>0.17499999999999999</v>
      </c>
      <c r="K123" t="str">
        <f>IFERROR(VLOOKUP(J123,Capacity!$A$3:$D$532,4,), "0")</f>
        <v>0</v>
      </c>
      <c r="L123" s="4" t="str">
        <f>IFERROR(VLOOKUP(J123,Capacity!$A$3:$F$532,6,), "0")</f>
        <v>0</v>
      </c>
      <c r="M123" s="5">
        <f t="shared" si="10"/>
        <v>29.825494746249998</v>
      </c>
      <c r="N123" s="5">
        <f t="shared" si="11"/>
        <v>0.35</v>
      </c>
      <c r="O123">
        <v>216</v>
      </c>
      <c r="P123">
        <f>IFERROR(VLOOKUP(O123,Capacity!$A$3:$D$532,4,), "0")</f>
        <v>14.451325960000002</v>
      </c>
      <c r="Q123" s="4">
        <f>IFERROR(VLOOKUP(O123,Capacity!$A$3:$F$532,6,), "0")</f>
        <v>0.2</v>
      </c>
      <c r="R123" s="5">
        <f t="shared" si="15"/>
        <v>14.451325960000002</v>
      </c>
      <c r="S123" s="5">
        <f t="shared" si="16"/>
        <v>0.2</v>
      </c>
      <c r="T123">
        <v>215</v>
      </c>
      <c r="U123">
        <v>2</v>
      </c>
      <c r="V123">
        <v>2</v>
      </c>
      <c r="W123">
        <v>1</v>
      </c>
      <c r="X123">
        <f t="shared" si="12"/>
        <v>2.0638586956521734</v>
      </c>
      <c r="Y123">
        <f t="shared" si="13"/>
        <v>4.7468749999999984</v>
      </c>
      <c r="Z123">
        <f t="shared" si="17"/>
        <v>1.7499999999999998</v>
      </c>
      <c r="AA123">
        <f t="shared" si="18"/>
        <v>1.7499999999999998</v>
      </c>
      <c r="AC123">
        <f t="shared" si="19"/>
        <v>1.4384469696969693</v>
      </c>
      <c r="AD123">
        <f t="shared" si="14"/>
        <v>2.8768939393939386</v>
      </c>
    </row>
    <row r="124" spans="1:30" x14ac:dyDescent="0.25">
      <c r="A124">
        <v>121</v>
      </c>
      <c r="B124">
        <f>IFERROR(VLOOKUP(A124,Capacity!$A$3:$D$532,4,), "0")</f>
        <v>309.25052156250001</v>
      </c>
      <c r="C124" s="4">
        <f>IFERROR(VLOOKUP(A124,Capacity!$A$3:$F$532,6,), "0")</f>
        <v>0.75</v>
      </c>
      <c r="D124">
        <v>122</v>
      </c>
      <c r="E124">
        <f>IFERROR(VLOOKUP(D124,Capacity!$A$3:$D$532,4,), "0")</f>
        <v>16.836972840624998</v>
      </c>
      <c r="F124" s="4">
        <f>IFERROR(VLOOKUP(D124,Capacity!$A$3:$F$532,6,), "0")</f>
        <v>0.17499999999999999</v>
      </c>
      <c r="H124" t="str">
        <f>IFERROR(VLOOKUP(G124,Capacity!$A$3:$D$532,4,), "0")</f>
        <v>0</v>
      </c>
      <c r="I124" s="4" t="str">
        <f>IFERROR(VLOOKUP(G124,Capacity!$A$3:$F$532,6,), "0")</f>
        <v>0</v>
      </c>
      <c r="K124" t="str">
        <f>IFERROR(VLOOKUP(J124,Capacity!$A$3:$D$532,4,), "0")</f>
        <v>0</v>
      </c>
      <c r="L124" s="4" t="str">
        <f>IFERROR(VLOOKUP(J124,Capacity!$A$3:$F$532,6,), "0")</f>
        <v>0</v>
      </c>
      <c r="M124" s="5">
        <f t="shared" si="10"/>
        <v>16.836972840624998</v>
      </c>
      <c r="N124" s="5">
        <f t="shared" si="11"/>
        <v>0.17499999999999999</v>
      </c>
      <c r="O124">
        <v>120</v>
      </c>
      <c r="P124">
        <f>IFERROR(VLOOKUP(O124,Capacity!$A$3:$D$532,4,), "0")</f>
        <v>10.681414840000002</v>
      </c>
      <c r="Q124" s="4">
        <f>IFERROR(VLOOKUP(O124,Capacity!$A$3:$F$532,6,), "0")</f>
        <v>0.2</v>
      </c>
      <c r="R124" s="5">
        <f t="shared" si="15"/>
        <v>10.681414840000002</v>
      </c>
      <c r="S124" s="5">
        <f t="shared" si="16"/>
        <v>0.2</v>
      </c>
      <c r="T124">
        <v>121</v>
      </c>
      <c r="U124">
        <v>1</v>
      </c>
      <c r="V124">
        <v>1</v>
      </c>
      <c r="W124">
        <v>1</v>
      </c>
      <c r="X124">
        <f t="shared" si="12"/>
        <v>1.5762867647058818</v>
      </c>
      <c r="Y124">
        <f t="shared" si="13"/>
        <v>5.4444444444444434E-2</v>
      </c>
      <c r="Z124">
        <f t="shared" si="17"/>
        <v>0.87499999999999989</v>
      </c>
      <c r="AA124">
        <f t="shared" si="18"/>
        <v>0.23333333333333331</v>
      </c>
      <c r="AC124">
        <f t="shared" si="19"/>
        <v>5.2626733767030802E-2</v>
      </c>
      <c r="AD124">
        <f t="shared" si="14"/>
        <v>5.2626733767030802E-2</v>
      </c>
    </row>
    <row r="125" spans="1:30" x14ac:dyDescent="0.25">
      <c r="A125">
        <v>119</v>
      </c>
      <c r="B125">
        <f>IFERROR(VLOOKUP(A125,Capacity!$A$3:$D$532,4,), "0")</f>
        <v>361.28314899999998</v>
      </c>
      <c r="C125" s="4">
        <f>IFERROR(VLOOKUP(A125,Capacity!$A$3:$F$532,6,), "0")</f>
        <v>1</v>
      </c>
      <c r="D125">
        <v>111</v>
      </c>
      <c r="E125">
        <f>IFERROR(VLOOKUP(D125,Capacity!$A$3:$D$532,4,), "0")</f>
        <v>12.566370400000004</v>
      </c>
      <c r="F125" s="4">
        <f>IFERROR(VLOOKUP(D125,Capacity!$A$3:$F$532,6,), "0")</f>
        <v>0.2</v>
      </c>
      <c r="G125">
        <v>118</v>
      </c>
      <c r="H125">
        <f>IFERROR(VLOOKUP(G125,Capacity!$A$3:$D$532,4,), "0")</f>
        <v>14.431691006249999</v>
      </c>
      <c r="I125" s="4">
        <f>IFERROR(VLOOKUP(G125,Capacity!$A$3:$F$532,6,), "0")</f>
        <v>0.17499999999999999</v>
      </c>
      <c r="J125">
        <v>277</v>
      </c>
      <c r="K125">
        <f>IFERROR(VLOOKUP(J125,Capacity!$A$3:$D$532,4,), "0")</f>
        <v>14.431691006249999</v>
      </c>
      <c r="L125" s="4">
        <f>IFERROR(VLOOKUP(J125,Capacity!$A$3:$F$532,6,), "0")</f>
        <v>0.17499999999999999</v>
      </c>
      <c r="M125" s="5">
        <f t="shared" si="10"/>
        <v>41.429752412500001</v>
      </c>
      <c r="N125" s="5">
        <f t="shared" si="11"/>
        <v>0.55000000000000004</v>
      </c>
      <c r="O125">
        <v>120</v>
      </c>
      <c r="P125">
        <f>IFERROR(VLOOKUP(O125,Capacity!$A$3:$D$532,4,), "0")</f>
        <v>10.681414840000002</v>
      </c>
      <c r="Q125" s="4">
        <f>IFERROR(VLOOKUP(O125,Capacity!$A$3:$F$532,6,), "0")</f>
        <v>0.2</v>
      </c>
      <c r="R125" s="5">
        <f t="shared" si="15"/>
        <v>10.681414840000002</v>
      </c>
      <c r="S125" s="5">
        <f t="shared" si="16"/>
        <v>0.2</v>
      </c>
      <c r="T125">
        <v>119</v>
      </c>
      <c r="U125">
        <v>3</v>
      </c>
      <c r="V125">
        <v>3</v>
      </c>
      <c r="W125">
        <v>1</v>
      </c>
      <c r="X125">
        <f t="shared" si="12"/>
        <v>3.8786764705882346</v>
      </c>
      <c r="Y125">
        <f t="shared" si="13"/>
        <v>0.11467391304347826</v>
      </c>
      <c r="Z125">
        <f t="shared" si="17"/>
        <v>2.75</v>
      </c>
      <c r="AA125">
        <f t="shared" si="18"/>
        <v>0.55000000000000004</v>
      </c>
      <c r="AC125">
        <f t="shared" si="19"/>
        <v>0.11138091216216217</v>
      </c>
      <c r="AD125">
        <f t="shared" si="14"/>
        <v>0.33414273648648651</v>
      </c>
    </row>
    <row r="126" spans="1:30" x14ac:dyDescent="0.25">
      <c r="A126">
        <v>125</v>
      </c>
      <c r="B126">
        <f>IFERROR(VLOOKUP(A126,Capacity!$A$3:$D$532,4,), "0")</f>
        <v>21.647536509374998</v>
      </c>
      <c r="C126" s="4">
        <f>IFERROR(VLOOKUP(A126,Capacity!$A$3:$F$532,6,), "0")</f>
        <v>0.17499999999999999</v>
      </c>
      <c r="D126">
        <v>441</v>
      </c>
      <c r="E126">
        <f>IFERROR(VLOOKUP(D126,Capacity!$A$3:$D$532,4,), "0")</f>
        <v>180.95573375999999</v>
      </c>
      <c r="F126" s="4">
        <f>IFERROR(VLOOKUP(D126,Capacity!$A$3:$F$532,6,), "0")</f>
        <v>0.6</v>
      </c>
      <c r="G126">
        <v>437</v>
      </c>
      <c r="H126">
        <f>IFERROR(VLOOKUP(G126,Capacity!$A$3:$D$532,4,), "0")</f>
        <v>90.477866879999993</v>
      </c>
      <c r="I126" s="4">
        <f>IFERROR(VLOOKUP(G126,Capacity!$A$3:$F$532,6,), "0")</f>
        <v>0.6</v>
      </c>
      <c r="K126" t="str">
        <f>IFERROR(VLOOKUP(J126,Capacity!$A$3:$D$532,4,), "0")</f>
        <v>0</v>
      </c>
      <c r="L126" s="4" t="str">
        <f>IFERROR(VLOOKUP(J126,Capacity!$A$3:$F$532,6,), "0")</f>
        <v>0</v>
      </c>
      <c r="M126" s="5">
        <f t="shared" si="10"/>
        <v>271.43360064000001</v>
      </c>
      <c r="N126" s="5">
        <f t="shared" si="11"/>
        <v>1.2</v>
      </c>
      <c r="O126">
        <v>126</v>
      </c>
      <c r="P126">
        <f>IFERROR(VLOOKUP(O126,Capacity!$A$3:$D$532,4,), "0")</f>
        <v>12.507465538749999</v>
      </c>
      <c r="Q126" s="4">
        <f>IFERROR(VLOOKUP(O126,Capacity!$A$3:$F$532,6,), "0")</f>
        <v>0.17499999999999999</v>
      </c>
      <c r="R126" s="5">
        <f t="shared" si="15"/>
        <v>12.507465538749999</v>
      </c>
      <c r="S126" s="5">
        <f t="shared" si="16"/>
        <v>0.17499999999999999</v>
      </c>
      <c r="T126">
        <v>125</v>
      </c>
      <c r="U126">
        <v>2</v>
      </c>
      <c r="V126">
        <v>2</v>
      </c>
      <c r="W126">
        <v>1</v>
      </c>
      <c r="X126">
        <f t="shared" si="12"/>
        <v>21.701726844583991</v>
      </c>
      <c r="Y126">
        <f t="shared" si="13"/>
        <v>12.538775510204083</v>
      </c>
      <c r="Z126">
        <f t="shared" si="17"/>
        <v>6.8571428571428577</v>
      </c>
      <c r="AA126">
        <f t="shared" si="18"/>
        <v>6.8571428571428577</v>
      </c>
      <c r="AC126">
        <f t="shared" si="19"/>
        <v>7.9471112388617424</v>
      </c>
      <c r="AD126">
        <f t="shared" si="14"/>
        <v>15.894222477723485</v>
      </c>
    </row>
    <row r="127" spans="1:30" x14ac:dyDescent="0.25">
      <c r="A127">
        <v>442</v>
      </c>
      <c r="B127">
        <f>IFERROR(VLOOKUP(A127,Capacity!$A$3:$D$532,4,), "0")</f>
        <v>7.6969018699999987</v>
      </c>
      <c r="C127" s="4">
        <f>IFERROR(VLOOKUP(A127,Capacity!$A$3:$F$532,6,), "0")</f>
        <v>0.17499999999999999</v>
      </c>
      <c r="E127" t="str">
        <f>IFERROR(VLOOKUP(D127,Capacity!$A$3:$D$532,4,), "0")</f>
        <v>0</v>
      </c>
      <c r="F127" s="4" t="str">
        <f>IFERROR(VLOOKUP(D127,Capacity!$A$3:$F$532,6,), "0")</f>
        <v>0</v>
      </c>
      <c r="H127" t="str">
        <f>IFERROR(VLOOKUP(G127,Capacity!$A$3:$D$532,4,), "0")</f>
        <v>0</v>
      </c>
      <c r="I127" s="4" t="str">
        <f>IFERROR(VLOOKUP(G127,Capacity!$A$3:$F$532,6,), "0")</f>
        <v>0</v>
      </c>
      <c r="K127" t="str">
        <f>IFERROR(VLOOKUP(J127,Capacity!$A$3:$D$532,4,), "0")</f>
        <v>0</v>
      </c>
      <c r="L127" s="4" t="str">
        <f>IFERROR(VLOOKUP(J127,Capacity!$A$3:$F$532,6,), "0")</f>
        <v>0</v>
      </c>
      <c r="M127" s="5">
        <f t="shared" si="10"/>
        <v>0</v>
      </c>
      <c r="N127" s="5">
        <f t="shared" si="11"/>
        <v>0</v>
      </c>
      <c r="O127">
        <v>132</v>
      </c>
      <c r="P127">
        <f>IFERROR(VLOOKUP(O127,Capacity!$A$3:$D$532,4,), "0")</f>
        <v>175.30086708000002</v>
      </c>
      <c r="Q127" s="4">
        <f>IFERROR(VLOOKUP(O127,Capacity!$A$3:$F$532,6,), "0")</f>
        <v>0.6</v>
      </c>
      <c r="R127" s="5">
        <f t="shared" si="15"/>
        <v>175.30086708000002</v>
      </c>
      <c r="S127" s="5">
        <f t="shared" si="16"/>
        <v>0.6</v>
      </c>
      <c r="T127">
        <v>442</v>
      </c>
      <c r="U127">
        <v>0</v>
      </c>
      <c r="V127">
        <v>0</v>
      </c>
      <c r="W127">
        <v>1</v>
      </c>
      <c r="X127">
        <f t="shared" si="12"/>
        <v>0</v>
      </c>
      <c r="Y127">
        <f t="shared" si="13"/>
        <v>0</v>
      </c>
      <c r="Z127">
        <f t="shared" si="17"/>
        <v>0</v>
      </c>
      <c r="AA127">
        <f t="shared" si="18"/>
        <v>0</v>
      </c>
      <c r="AC127">
        <f t="shared" si="19"/>
        <v>0</v>
      </c>
      <c r="AD127">
        <f t="shared" si="14"/>
        <v>0</v>
      </c>
    </row>
    <row r="128" spans="1:30" x14ac:dyDescent="0.25">
      <c r="A128">
        <v>130</v>
      </c>
      <c r="B128">
        <f>IFERROR(VLOOKUP(A128,Capacity!$A$3:$D$532,4,), "0")</f>
        <v>133.5176855</v>
      </c>
      <c r="C128" s="4">
        <f>IFERROR(VLOOKUP(A128,Capacity!$A$3:$F$532,6,), "0")</f>
        <v>0.5</v>
      </c>
      <c r="D128">
        <v>123</v>
      </c>
      <c r="E128">
        <f>IFERROR(VLOOKUP(D128,Capacity!$A$3:$D$532,4,), "0")</f>
        <v>7.6969018699999987</v>
      </c>
      <c r="F128" s="4">
        <f>IFERROR(VLOOKUP(D128,Capacity!$A$3:$F$532,6,), "0")</f>
        <v>0.17499999999999999</v>
      </c>
      <c r="G128">
        <v>95</v>
      </c>
      <c r="H128">
        <f>IFERROR(VLOOKUP(G128,Capacity!$A$3:$D$532,4,), "0")</f>
        <v>30.886567646900005</v>
      </c>
      <c r="I128" s="4">
        <f>IFERROR(VLOOKUP(G128,Capacity!$A$3:$F$532,6,), "0")</f>
        <v>0.26500000000000001</v>
      </c>
      <c r="K128" t="str">
        <f>IFERROR(VLOOKUP(J128,Capacity!$A$3:$D$532,4,), "0")</f>
        <v>0</v>
      </c>
      <c r="L128" s="4" t="str">
        <f>IFERROR(VLOOKUP(J128,Capacity!$A$3:$F$532,6,), "0")</f>
        <v>0</v>
      </c>
      <c r="M128" s="5">
        <f t="shared" si="10"/>
        <v>38.583469516900003</v>
      </c>
      <c r="N128" s="5">
        <f t="shared" si="11"/>
        <v>0.44</v>
      </c>
      <c r="O128">
        <v>132</v>
      </c>
      <c r="P128">
        <f>IFERROR(VLOOKUP(O128,Capacity!$A$3:$D$532,4,), "0")</f>
        <v>175.30086708000002</v>
      </c>
      <c r="Q128" s="4">
        <f>IFERROR(VLOOKUP(O128,Capacity!$A$3:$F$532,6,), "0")</f>
        <v>0.6</v>
      </c>
      <c r="R128" s="5">
        <f t="shared" si="15"/>
        <v>175.30086708000002</v>
      </c>
      <c r="S128" s="5">
        <f t="shared" si="16"/>
        <v>0.6</v>
      </c>
      <c r="T128">
        <v>130</v>
      </c>
      <c r="U128">
        <v>2</v>
      </c>
      <c r="V128">
        <v>2</v>
      </c>
      <c r="W128">
        <v>1</v>
      </c>
      <c r="X128">
        <f t="shared" si="12"/>
        <v>0.22009856630824373</v>
      </c>
      <c r="Y128">
        <f t="shared" si="13"/>
        <v>0.28897647058823533</v>
      </c>
      <c r="Z128">
        <f t="shared" si="17"/>
        <v>0.73333333333333339</v>
      </c>
      <c r="AA128">
        <f t="shared" si="18"/>
        <v>0.88</v>
      </c>
      <c r="AC128">
        <f t="shared" si="19"/>
        <v>0.12493896236012207</v>
      </c>
      <c r="AD128">
        <f t="shared" si="14"/>
        <v>0.24987792472024414</v>
      </c>
    </row>
    <row r="129" spans="1:30" x14ac:dyDescent="0.25">
      <c r="A129">
        <v>93</v>
      </c>
      <c r="B129">
        <f>IFERROR(VLOOKUP(A129,Capacity!$A$3:$D$532,4,), "0")</f>
        <v>25.132740800000008</v>
      </c>
      <c r="C129" s="4">
        <f>IFERROR(VLOOKUP(A129,Capacity!$A$3:$F$532,6,), "0")</f>
        <v>0.2</v>
      </c>
      <c r="D129">
        <v>424</v>
      </c>
      <c r="E129">
        <f>IFERROR(VLOOKUP(D129,Capacity!$A$3:$D$532,4,), "0")</f>
        <v>7.6969018699999987</v>
      </c>
      <c r="F129" s="4">
        <f>IFERROR(VLOOKUP(D129,Capacity!$A$3:$F$532,6,), "0")</f>
        <v>0.17499999999999999</v>
      </c>
      <c r="G129">
        <v>94</v>
      </c>
      <c r="H129">
        <f>IFERROR(VLOOKUP(G129,Capacity!$A$3:$D$532,4,), "0")</f>
        <v>7.6969018699999987</v>
      </c>
      <c r="I129" s="4">
        <f>IFERROR(VLOOKUP(G129,Capacity!$A$3:$F$532,6,), "0")</f>
        <v>0.17499999999999999</v>
      </c>
      <c r="J129">
        <v>53</v>
      </c>
      <c r="K129">
        <f>IFERROR(VLOOKUP(J129,Capacity!$A$3:$D$532,4,), "0")</f>
        <v>28.274333400000007</v>
      </c>
      <c r="L129" s="4">
        <f>IFERROR(VLOOKUP(J129,Capacity!$A$3:$F$532,6,), "0")</f>
        <v>0.2</v>
      </c>
      <c r="M129" s="5">
        <f t="shared" si="10"/>
        <v>43.668137140000006</v>
      </c>
      <c r="N129" s="5">
        <f t="shared" si="11"/>
        <v>0.55000000000000004</v>
      </c>
      <c r="O129">
        <v>132</v>
      </c>
      <c r="P129">
        <f>IFERROR(VLOOKUP(O129,Capacity!$A$3:$D$532,4,), "0")</f>
        <v>175.30086708000002</v>
      </c>
      <c r="Q129" s="4">
        <f>IFERROR(VLOOKUP(O129,Capacity!$A$3:$F$532,6,), "0")</f>
        <v>0.6</v>
      </c>
      <c r="R129" s="5">
        <f t="shared" si="15"/>
        <v>175.30086708000002</v>
      </c>
      <c r="S129" s="5">
        <f t="shared" si="16"/>
        <v>0.6</v>
      </c>
      <c r="T129">
        <v>93</v>
      </c>
      <c r="U129">
        <v>3</v>
      </c>
      <c r="V129">
        <v>3</v>
      </c>
      <c r="W129">
        <v>1</v>
      </c>
      <c r="X129">
        <f t="shared" si="12"/>
        <v>0.24910394265232977</v>
      </c>
      <c r="Y129">
        <f t="shared" si="13"/>
        <v>1.7374999999999996</v>
      </c>
      <c r="Z129">
        <f t="shared" si="17"/>
        <v>0.91666666666666674</v>
      </c>
      <c r="AA129">
        <f t="shared" si="18"/>
        <v>2.75</v>
      </c>
      <c r="AC129">
        <f t="shared" si="19"/>
        <v>0.21786833855799376</v>
      </c>
      <c r="AD129">
        <f t="shared" si="14"/>
        <v>0.65360501567398122</v>
      </c>
    </row>
    <row r="130" spans="1:30" x14ac:dyDescent="0.25">
      <c r="A130">
        <v>423</v>
      </c>
      <c r="B130">
        <f>IFERROR(VLOOKUP(A130,Capacity!$A$3:$D$532,4,), "0")</f>
        <v>7.6969018699999987</v>
      </c>
      <c r="C130" s="4">
        <f>IFERROR(VLOOKUP(A130,Capacity!$A$3:$F$532,6,), "0")</f>
        <v>0.17499999999999999</v>
      </c>
      <c r="E130" t="str">
        <f>IFERROR(VLOOKUP(D130,Capacity!$A$3:$D$532,4,), "0")</f>
        <v>0</v>
      </c>
      <c r="F130" s="4" t="str">
        <f>IFERROR(VLOOKUP(D130,Capacity!$A$3:$F$532,6,), "0")</f>
        <v>0</v>
      </c>
      <c r="H130" t="str">
        <f>IFERROR(VLOOKUP(G130,Capacity!$A$3:$D$532,4,), "0")</f>
        <v>0</v>
      </c>
      <c r="I130" s="4" t="str">
        <f>IFERROR(VLOOKUP(G130,Capacity!$A$3:$F$532,6,), "0")</f>
        <v>0</v>
      </c>
      <c r="K130" t="str">
        <f>IFERROR(VLOOKUP(J130,Capacity!$A$3:$D$532,4,), "0")</f>
        <v>0</v>
      </c>
      <c r="L130" s="4" t="str">
        <f>IFERROR(VLOOKUP(J130,Capacity!$A$3:$F$532,6,), "0")</f>
        <v>0</v>
      </c>
      <c r="M130" s="5">
        <f t="shared" ref="M130:M193" si="20">$E130+$H130+$K130</f>
        <v>0</v>
      </c>
      <c r="N130" s="5">
        <f t="shared" si="11"/>
        <v>0</v>
      </c>
      <c r="O130">
        <v>92</v>
      </c>
      <c r="P130">
        <f>IFERROR(VLOOKUP(O130,Capacity!$A$3:$D$532,4,), "0")</f>
        <v>48.536034873700011</v>
      </c>
      <c r="Q130" s="4">
        <f>IFERROR(VLOOKUP(O130,Capacity!$A$3:$F$532,6,), "0")</f>
        <v>0.26500000000000001</v>
      </c>
      <c r="R130" s="5">
        <f t="shared" si="15"/>
        <v>48.536034873700011</v>
      </c>
      <c r="S130" s="5">
        <f t="shared" si="16"/>
        <v>0.26500000000000001</v>
      </c>
      <c r="T130">
        <v>423</v>
      </c>
      <c r="U130">
        <v>0</v>
      </c>
      <c r="V130">
        <v>0</v>
      </c>
      <c r="W130">
        <v>1</v>
      </c>
      <c r="X130">
        <f t="shared" si="12"/>
        <v>0</v>
      </c>
      <c r="Y130">
        <f t="shared" si="13"/>
        <v>0</v>
      </c>
      <c r="Z130">
        <f t="shared" si="17"/>
        <v>0</v>
      </c>
      <c r="AA130">
        <f t="shared" si="18"/>
        <v>0</v>
      </c>
      <c r="AC130">
        <f t="shared" si="19"/>
        <v>0</v>
      </c>
      <c r="AD130">
        <f t="shared" si="14"/>
        <v>0</v>
      </c>
    </row>
    <row r="131" spans="1:30" x14ac:dyDescent="0.25">
      <c r="A131">
        <v>52</v>
      </c>
      <c r="B131">
        <f>IFERROR(VLOOKUP(A131,Capacity!$A$3:$D$532,4,), "0")</f>
        <v>49.639126575375009</v>
      </c>
      <c r="C131" s="4">
        <f>IFERROR(VLOOKUP(A131,Capacity!$A$3:$F$532,6,), "0")</f>
        <v>0.26500000000000001</v>
      </c>
      <c r="D131">
        <v>378</v>
      </c>
      <c r="E131">
        <f>IFERROR(VLOOKUP(D131,Capacity!$A$3:$D$532,4,), "0")</f>
        <v>7.6969018699999987</v>
      </c>
      <c r="F131" s="4">
        <f>IFERROR(VLOOKUP(D131,Capacity!$A$3:$F$532,6,), "0")</f>
        <v>0.17499999999999999</v>
      </c>
      <c r="G131">
        <v>19</v>
      </c>
      <c r="H131">
        <f>IFERROR(VLOOKUP(G131,Capacity!$A$3:$D$532,4,), "0")</f>
        <v>57.36076848710001</v>
      </c>
      <c r="I131" s="4">
        <f>IFERROR(VLOOKUP(G131,Capacity!$A$3:$F$532,6,), "0")</f>
        <v>0.26500000000000001</v>
      </c>
      <c r="K131" t="str">
        <f>IFERROR(VLOOKUP(J131,Capacity!$A$3:$D$532,4,), "0")</f>
        <v>0</v>
      </c>
      <c r="L131" s="4" t="str">
        <f>IFERROR(VLOOKUP(J131,Capacity!$A$3:$F$532,6,), "0")</f>
        <v>0</v>
      </c>
      <c r="M131" s="5">
        <f t="shared" si="20"/>
        <v>65.057670357100008</v>
      </c>
      <c r="N131" s="5">
        <f t="shared" ref="N131:N194" si="21">$F131+$I131+$L131</f>
        <v>0.44</v>
      </c>
      <c r="O131">
        <v>92</v>
      </c>
      <c r="P131">
        <f>IFERROR(VLOOKUP(O131,Capacity!$A$3:$D$532,4,), "0")</f>
        <v>48.536034873700011</v>
      </c>
      <c r="Q131" s="4">
        <f>IFERROR(VLOOKUP(O131,Capacity!$A$3:$F$532,6,), "0")</f>
        <v>0.26500000000000001</v>
      </c>
      <c r="R131" s="5">
        <f t="shared" si="15"/>
        <v>48.536034873700011</v>
      </c>
      <c r="S131" s="5">
        <f t="shared" si="16"/>
        <v>0.26500000000000001</v>
      </c>
      <c r="T131">
        <v>52</v>
      </c>
      <c r="U131">
        <v>2</v>
      </c>
      <c r="V131">
        <v>2</v>
      </c>
      <c r="W131">
        <v>1</v>
      </c>
      <c r="X131">
        <f t="shared" ref="X131:X194" si="22">($M131/$R131)</f>
        <v>1.3403993656752644</v>
      </c>
      <c r="Y131">
        <f t="shared" ref="Y131:Y194" si="23">($M131/$B131)</f>
        <v>1.310612713104703</v>
      </c>
      <c r="Z131">
        <f t="shared" si="17"/>
        <v>1.6603773584905659</v>
      </c>
      <c r="AA131">
        <f t="shared" si="18"/>
        <v>1.6603773584905659</v>
      </c>
      <c r="AC131">
        <f t="shared" si="19"/>
        <v>0.66266934932260269</v>
      </c>
      <c r="AD131">
        <f t="shared" ref="AD131:AD194" si="24">U131*AC131</f>
        <v>1.3253386986452054</v>
      </c>
    </row>
    <row r="132" spans="1:30" x14ac:dyDescent="0.25">
      <c r="A132">
        <v>377</v>
      </c>
      <c r="B132">
        <f>IFERROR(VLOOKUP(A132,Capacity!$A$3:$D$532,4,), "0")</f>
        <v>7.6969018699999987</v>
      </c>
      <c r="C132" s="4">
        <f>IFERROR(VLOOKUP(A132,Capacity!$A$3:$F$532,6,), "0")</f>
        <v>0.17499999999999999</v>
      </c>
      <c r="E132" t="str">
        <f>IFERROR(VLOOKUP(D132,Capacity!$A$3:$D$532,4,), "0")</f>
        <v>0</v>
      </c>
      <c r="F132" s="4" t="str">
        <f>IFERROR(VLOOKUP(D132,Capacity!$A$3:$F$532,6,), "0")</f>
        <v>0</v>
      </c>
      <c r="H132" t="str">
        <f>IFERROR(VLOOKUP(G132,Capacity!$A$3:$D$532,4,), "0")</f>
        <v>0</v>
      </c>
      <c r="I132" s="4" t="str">
        <f>IFERROR(VLOOKUP(G132,Capacity!$A$3:$F$532,6,), "0")</f>
        <v>0</v>
      </c>
      <c r="K132" t="str">
        <f>IFERROR(VLOOKUP(J132,Capacity!$A$3:$D$532,4,), "0")</f>
        <v>0</v>
      </c>
      <c r="L132" s="4" t="str">
        <f>IFERROR(VLOOKUP(J132,Capacity!$A$3:$F$532,6,), "0")</f>
        <v>0</v>
      </c>
      <c r="M132" s="5">
        <f t="shared" si="20"/>
        <v>0</v>
      </c>
      <c r="N132" s="5">
        <f t="shared" si="21"/>
        <v>0</v>
      </c>
      <c r="O132">
        <v>51</v>
      </c>
      <c r="P132">
        <f>IFERROR(VLOOKUP(O132,Capacity!$A$3:$D$532,4,), "0")</f>
        <v>21.647536509374998</v>
      </c>
      <c r="Q132" s="4">
        <f>IFERROR(VLOOKUP(O132,Capacity!$A$3:$F$532,6,), "0")</f>
        <v>0.17499999999999999</v>
      </c>
      <c r="R132" s="5">
        <f t="shared" ref="R132:R195" si="25">$P132</f>
        <v>21.647536509374998</v>
      </c>
      <c r="S132" s="5">
        <f t="shared" ref="S132:S195" si="26">$Q132</f>
        <v>0.17499999999999999</v>
      </c>
      <c r="T132">
        <v>377</v>
      </c>
      <c r="U132">
        <v>0</v>
      </c>
      <c r="V132">
        <v>0</v>
      </c>
      <c r="W132">
        <v>1</v>
      </c>
      <c r="X132">
        <f t="shared" si="22"/>
        <v>0</v>
      </c>
      <c r="Y132">
        <f t="shared" si="23"/>
        <v>0</v>
      </c>
      <c r="Z132">
        <f t="shared" ref="Z132:Z195" si="27">($N132/$S132)</f>
        <v>0</v>
      </c>
      <c r="AA132">
        <f t="shared" ref="AA132:AA195" si="28">($N132/$C132)</f>
        <v>0</v>
      </c>
      <c r="AC132">
        <f t="shared" ref="AC132:AC195" si="29">$M132/($R132+$B132)</f>
        <v>0</v>
      </c>
      <c r="AD132">
        <f t="shared" si="24"/>
        <v>0</v>
      </c>
    </row>
    <row r="133" spans="1:30" x14ac:dyDescent="0.25">
      <c r="A133">
        <v>363</v>
      </c>
      <c r="B133">
        <f>IFERROR(VLOOKUP(A133,Capacity!$A$3:$D$532,4,), "0")</f>
        <v>24.052818343749998</v>
      </c>
      <c r="C133" s="4">
        <f>IFERROR(VLOOKUP(A133,Capacity!$A$3:$F$532,6,), "0")</f>
        <v>0.17499999999999999</v>
      </c>
      <c r="E133" t="str">
        <f>IFERROR(VLOOKUP(D133,Capacity!$A$3:$D$532,4,), "0")</f>
        <v>0</v>
      </c>
      <c r="F133" s="4" t="str">
        <f>IFERROR(VLOOKUP(D133,Capacity!$A$3:$F$532,6,), "0")</f>
        <v>0</v>
      </c>
      <c r="H133" t="str">
        <f>IFERROR(VLOOKUP(G133,Capacity!$A$3:$D$532,4,), "0")</f>
        <v>0</v>
      </c>
      <c r="I133" s="4" t="str">
        <f>IFERROR(VLOOKUP(G133,Capacity!$A$3:$F$532,6,), "0")</f>
        <v>0</v>
      </c>
      <c r="K133" t="str">
        <f>IFERROR(VLOOKUP(J133,Capacity!$A$3:$D$532,4,), "0")</f>
        <v>0</v>
      </c>
      <c r="L133" s="4" t="str">
        <f>IFERROR(VLOOKUP(J133,Capacity!$A$3:$F$532,6,), "0")</f>
        <v>0</v>
      </c>
      <c r="M133" s="5">
        <f t="shared" si="20"/>
        <v>0</v>
      </c>
      <c r="N133" s="5">
        <f t="shared" si="21"/>
        <v>0</v>
      </c>
      <c r="O133">
        <v>51</v>
      </c>
      <c r="P133">
        <f>IFERROR(VLOOKUP(O133,Capacity!$A$3:$D$532,4,), "0")</f>
        <v>21.647536509374998</v>
      </c>
      <c r="Q133" s="4">
        <f>IFERROR(VLOOKUP(O133,Capacity!$A$3:$F$532,6,), "0")</f>
        <v>0.17499999999999999</v>
      </c>
      <c r="R133" s="5">
        <f t="shared" si="25"/>
        <v>21.647536509374998</v>
      </c>
      <c r="S133" s="5">
        <f t="shared" si="26"/>
        <v>0.17499999999999999</v>
      </c>
      <c r="T133">
        <v>363</v>
      </c>
      <c r="U133">
        <v>0</v>
      </c>
      <c r="V133">
        <v>0</v>
      </c>
      <c r="W133">
        <v>1</v>
      </c>
      <c r="X133">
        <f t="shared" si="22"/>
        <v>0</v>
      </c>
      <c r="Y133">
        <f t="shared" si="23"/>
        <v>0</v>
      </c>
      <c r="Z133">
        <f t="shared" si="27"/>
        <v>0</v>
      </c>
      <c r="AA133">
        <f t="shared" si="28"/>
        <v>0</v>
      </c>
      <c r="AC133">
        <f t="shared" si="29"/>
        <v>0</v>
      </c>
      <c r="AD133">
        <f t="shared" si="24"/>
        <v>0</v>
      </c>
    </row>
    <row r="134" spans="1:30" x14ac:dyDescent="0.25">
      <c r="A134">
        <v>20</v>
      </c>
      <c r="B134">
        <f>IFERROR(VLOOKUP(A134,Capacity!$A$3:$D$532,4,), "0")</f>
        <v>3.8484509349999994</v>
      </c>
      <c r="C134" s="4">
        <f>IFERROR(VLOOKUP(A134,Capacity!$A$3:$F$532,6,), "0")</f>
        <v>0.17499999999999999</v>
      </c>
      <c r="D134">
        <v>362</v>
      </c>
      <c r="E134">
        <f>IFERROR(VLOOKUP(D134,Capacity!$A$3:$D$532,4,), "0")</f>
        <v>7.6969018699999987</v>
      </c>
      <c r="F134" s="4">
        <f>IFERROR(VLOOKUP(D134,Capacity!$A$3:$F$532,6,), "0")</f>
        <v>0.17499999999999999</v>
      </c>
      <c r="H134" t="str">
        <f>IFERROR(VLOOKUP(G134,Capacity!$A$3:$D$532,4,), "0")</f>
        <v>0</v>
      </c>
      <c r="I134" s="4" t="str">
        <f>IFERROR(VLOOKUP(G134,Capacity!$A$3:$F$532,6,), "0")</f>
        <v>0</v>
      </c>
      <c r="K134" t="str">
        <f>IFERROR(VLOOKUP(J134,Capacity!$A$3:$D$532,4,), "0")</f>
        <v>0</v>
      </c>
      <c r="L134" s="4" t="str">
        <f>IFERROR(VLOOKUP(J134,Capacity!$A$3:$F$532,6,), "0")</f>
        <v>0</v>
      </c>
      <c r="M134" s="5">
        <f t="shared" si="20"/>
        <v>7.6969018699999987</v>
      </c>
      <c r="N134" s="5">
        <f t="shared" si="21"/>
        <v>0.17499999999999999</v>
      </c>
      <c r="O134">
        <v>21</v>
      </c>
      <c r="P134">
        <f>IFERROR(VLOOKUP(O134,Capacity!$A$3:$D$532,4,), "0")</f>
        <v>31.415926000000006</v>
      </c>
      <c r="Q134" s="4">
        <f>IFERROR(VLOOKUP(O134,Capacity!$A$3:$F$532,6,), "0")</f>
        <v>0.2</v>
      </c>
      <c r="R134" s="5">
        <f t="shared" si="25"/>
        <v>31.415926000000006</v>
      </c>
      <c r="S134" s="5">
        <f t="shared" si="26"/>
        <v>0.2</v>
      </c>
      <c r="T134">
        <v>20</v>
      </c>
      <c r="U134">
        <v>1</v>
      </c>
      <c r="V134">
        <v>1</v>
      </c>
      <c r="W134">
        <v>1</v>
      </c>
      <c r="X134">
        <f t="shared" si="22"/>
        <v>0.24499999999999991</v>
      </c>
      <c r="Y134">
        <f t="shared" si="23"/>
        <v>2</v>
      </c>
      <c r="Z134">
        <f t="shared" si="27"/>
        <v>0.87499999999999989</v>
      </c>
      <c r="AA134">
        <f t="shared" si="28"/>
        <v>1</v>
      </c>
      <c r="AC134">
        <f t="shared" si="29"/>
        <v>0.21826280623608008</v>
      </c>
      <c r="AD134">
        <f t="shared" si="24"/>
        <v>0.21826280623608008</v>
      </c>
    </row>
    <row r="135" spans="1:30" x14ac:dyDescent="0.25">
      <c r="A135">
        <v>3</v>
      </c>
      <c r="B135">
        <f>IFERROR(VLOOKUP(A135,Capacity!$A$3:$D$532,4,), "0")</f>
        <v>24.504422280000004</v>
      </c>
      <c r="C135" s="4">
        <f>IFERROR(VLOOKUP(A135,Capacity!$A$3:$F$532,6,), "0")</f>
        <v>0.2</v>
      </c>
      <c r="D135">
        <v>245</v>
      </c>
      <c r="E135">
        <f>IFERROR(VLOOKUP(D135,Capacity!$A$3:$D$532,4,), "0")</f>
        <v>11.545352804999998</v>
      </c>
      <c r="F135" s="4">
        <f>IFERROR(VLOOKUP(D135,Capacity!$A$3:$F$532,6,), "0")</f>
        <v>0.17499999999999999</v>
      </c>
      <c r="G135">
        <v>530</v>
      </c>
      <c r="H135">
        <f>IFERROR(VLOOKUP(G135,Capacity!$A$3:$D$532,4,), "0")</f>
        <v>7.2158455031249993</v>
      </c>
      <c r="I135" s="4">
        <f>IFERROR(VLOOKUP(G135,Capacity!$A$3:$F$532,6,), "0")</f>
        <v>0.17499999999999999</v>
      </c>
      <c r="J135">
        <v>4</v>
      </c>
      <c r="K135">
        <f>IFERROR(VLOOKUP(J135,Capacity!$A$3:$D$532,4,), "0")</f>
        <v>7.2158455031249993</v>
      </c>
      <c r="L135" s="4">
        <f>IFERROR(VLOOKUP(J135,Capacity!$A$3:$F$532,6,), "0")</f>
        <v>0.17499999999999999</v>
      </c>
      <c r="M135" s="5">
        <f t="shared" si="20"/>
        <v>25.977043811249995</v>
      </c>
      <c r="N135" s="5">
        <f t="shared" si="21"/>
        <v>0.52499999999999991</v>
      </c>
      <c r="O135">
        <v>21</v>
      </c>
      <c r="P135">
        <f>IFERROR(VLOOKUP(O135,Capacity!$A$3:$D$532,4,), "0")</f>
        <v>31.415926000000006</v>
      </c>
      <c r="Q135" s="4">
        <f>IFERROR(VLOOKUP(O135,Capacity!$A$3:$F$532,6,), "0")</f>
        <v>0.2</v>
      </c>
      <c r="R135" s="5">
        <f t="shared" si="25"/>
        <v>31.415926000000006</v>
      </c>
      <c r="S135" s="5">
        <f t="shared" si="26"/>
        <v>0.2</v>
      </c>
      <c r="T135">
        <v>3</v>
      </c>
      <c r="U135">
        <v>3</v>
      </c>
      <c r="V135">
        <v>3</v>
      </c>
      <c r="W135">
        <v>1</v>
      </c>
      <c r="X135">
        <f t="shared" si="22"/>
        <v>0.82687499999999969</v>
      </c>
      <c r="Y135">
        <f t="shared" si="23"/>
        <v>1.0600961538461535</v>
      </c>
      <c r="Z135">
        <f t="shared" si="27"/>
        <v>2.6249999999999996</v>
      </c>
      <c r="AA135">
        <f t="shared" si="28"/>
        <v>2.6249999999999996</v>
      </c>
      <c r="AC135">
        <f t="shared" si="29"/>
        <v>0.46453651685393238</v>
      </c>
      <c r="AD135">
        <f t="shared" si="24"/>
        <v>1.3936095505617971</v>
      </c>
    </row>
    <row r="136" spans="1:30" x14ac:dyDescent="0.25">
      <c r="A136">
        <v>247</v>
      </c>
      <c r="B136">
        <f>IFERROR(VLOOKUP(A136,Capacity!$A$3:$D$532,4,), "0")</f>
        <v>11.545352804999998</v>
      </c>
      <c r="C136" s="4">
        <f>IFERROR(VLOOKUP(A136,Capacity!$A$3:$F$532,6,), "0")</f>
        <v>0.17499999999999999</v>
      </c>
      <c r="E136" t="str">
        <f>IFERROR(VLOOKUP(D136,Capacity!$A$3:$D$532,4,), "0")</f>
        <v>0</v>
      </c>
      <c r="F136" s="4" t="str">
        <f>IFERROR(VLOOKUP(D136,Capacity!$A$3:$F$532,6,), "0")</f>
        <v>0</v>
      </c>
      <c r="H136" t="str">
        <f>IFERROR(VLOOKUP(G136,Capacity!$A$3:$D$532,4,), "0")</f>
        <v>0</v>
      </c>
      <c r="I136" s="4" t="str">
        <f>IFERROR(VLOOKUP(G136,Capacity!$A$3:$F$532,6,), "0")</f>
        <v>0</v>
      </c>
      <c r="K136" t="str">
        <f>IFERROR(VLOOKUP(J136,Capacity!$A$3:$D$532,4,), "0")</f>
        <v>0</v>
      </c>
      <c r="L136" s="4" t="str">
        <f>IFERROR(VLOOKUP(J136,Capacity!$A$3:$F$532,6,), "0")</f>
        <v>0</v>
      </c>
      <c r="M136" s="5">
        <f t="shared" si="20"/>
        <v>0</v>
      </c>
      <c r="N136" s="5">
        <f t="shared" si="21"/>
        <v>0</v>
      </c>
      <c r="O136">
        <v>349</v>
      </c>
      <c r="P136">
        <f>IFERROR(VLOOKUP(O136,Capacity!$A$3:$D$532,4,), "0")</f>
        <v>21.205750049999999</v>
      </c>
      <c r="Q136" s="4">
        <f>IFERROR(VLOOKUP(O136,Capacity!$A$3:$F$532,6,), "0")</f>
        <v>0.3</v>
      </c>
      <c r="R136" s="5">
        <f t="shared" si="25"/>
        <v>21.205750049999999</v>
      </c>
      <c r="S136" s="5">
        <f t="shared" si="26"/>
        <v>0.3</v>
      </c>
      <c r="T136">
        <v>247</v>
      </c>
      <c r="U136">
        <v>0</v>
      </c>
      <c r="V136">
        <v>0</v>
      </c>
      <c r="W136">
        <v>1</v>
      </c>
      <c r="X136">
        <f t="shared" si="22"/>
        <v>0</v>
      </c>
      <c r="Y136">
        <f t="shared" si="23"/>
        <v>0</v>
      </c>
      <c r="Z136">
        <f t="shared" si="27"/>
        <v>0</v>
      </c>
      <c r="AA136">
        <f t="shared" si="28"/>
        <v>0</v>
      </c>
      <c r="AC136">
        <f t="shared" si="29"/>
        <v>0</v>
      </c>
      <c r="AD136">
        <f t="shared" si="24"/>
        <v>0</v>
      </c>
    </row>
    <row r="137" spans="1:30" x14ac:dyDescent="0.25">
      <c r="A137">
        <v>529</v>
      </c>
      <c r="B137">
        <f>IFERROR(VLOOKUP(A137,Capacity!$A$3:$D$532,4,), "0")</f>
        <v>7.2158455031249993</v>
      </c>
      <c r="C137" s="4">
        <f>IFERROR(VLOOKUP(A137,Capacity!$A$3:$F$532,6,), "0")</f>
        <v>0.17499999999999999</v>
      </c>
      <c r="E137" t="str">
        <f>IFERROR(VLOOKUP(D137,Capacity!$A$3:$D$532,4,), "0")</f>
        <v>0</v>
      </c>
      <c r="F137" s="4" t="str">
        <f>IFERROR(VLOOKUP(D137,Capacity!$A$3:$F$532,6,), "0")</f>
        <v>0</v>
      </c>
      <c r="H137" t="str">
        <f>IFERROR(VLOOKUP(G137,Capacity!$A$3:$D$532,4,), "0")</f>
        <v>0</v>
      </c>
      <c r="I137" s="4" t="str">
        <f>IFERROR(VLOOKUP(G137,Capacity!$A$3:$F$532,6,), "0")</f>
        <v>0</v>
      </c>
      <c r="K137" t="str">
        <f>IFERROR(VLOOKUP(J137,Capacity!$A$3:$D$532,4,), "0")</f>
        <v>0</v>
      </c>
      <c r="L137" s="4" t="str">
        <f>IFERROR(VLOOKUP(J137,Capacity!$A$3:$F$532,6,), "0")</f>
        <v>0</v>
      </c>
      <c r="M137" s="5">
        <f t="shared" si="20"/>
        <v>0</v>
      </c>
      <c r="N137" s="5">
        <f t="shared" si="21"/>
        <v>0</v>
      </c>
      <c r="O137">
        <v>347</v>
      </c>
      <c r="P137">
        <f>IFERROR(VLOOKUP(O137,Capacity!$A$3:$D$532,4,), "0")</f>
        <v>9.4247778000000029</v>
      </c>
      <c r="Q137" s="4">
        <f>IFERROR(VLOOKUP(O137,Capacity!$A$3:$F$532,6,), "0")</f>
        <v>0.2</v>
      </c>
      <c r="R137" s="5">
        <f t="shared" si="25"/>
        <v>9.4247778000000029</v>
      </c>
      <c r="S137" s="5">
        <f t="shared" si="26"/>
        <v>0.2</v>
      </c>
      <c r="T137">
        <v>529</v>
      </c>
      <c r="U137">
        <v>0</v>
      </c>
      <c r="V137">
        <v>0</v>
      </c>
      <c r="W137">
        <v>1</v>
      </c>
      <c r="X137">
        <f t="shared" si="22"/>
        <v>0</v>
      </c>
      <c r="Y137">
        <f t="shared" si="23"/>
        <v>0</v>
      </c>
      <c r="Z137">
        <f t="shared" si="27"/>
        <v>0</v>
      </c>
      <c r="AA137">
        <f t="shared" si="28"/>
        <v>0</v>
      </c>
      <c r="AC137">
        <f t="shared" si="29"/>
        <v>0</v>
      </c>
      <c r="AD137">
        <f t="shared" si="24"/>
        <v>0</v>
      </c>
    </row>
    <row r="138" spans="1:30" x14ac:dyDescent="0.25">
      <c r="A138">
        <v>249</v>
      </c>
      <c r="B138">
        <f>IFERROR(VLOOKUP(A138,Capacity!$A$3:$D$532,4,), "0")</f>
        <v>15.079644480000002</v>
      </c>
      <c r="C138" s="4">
        <f>IFERROR(VLOOKUP(A138,Capacity!$A$3:$F$532,6,), "0")</f>
        <v>0.2</v>
      </c>
      <c r="E138" t="str">
        <f>IFERROR(VLOOKUP(D138,Capacity!$A$3:$D$532,4,), "0")</f>
        <v>0</v>
      </c>
      <c r="F138" s="4" t="str">
        <f>IFERROR(VLOOKUP(D138,Capacity!$A$3:$F$532,6,), "0")</f>
        <v>0</v>
      </c>
      <c r="H138" t="str">
        <f>IFERROR(VLOOKUP(G138,Capacity!$A$3:$D$532,4,), "0")</f>
        <v>0</v>
      </c>
      <c r="I138" s="4" t="str">
        <f>IFERROR(VLOOKUP(G138,Capacity!$A$3:$F$532,6,), "0")</f>
        <v>0</v>
      </c>
      <c r="K138" t="str">
        <f>IFERROR(VLOOKUP(J138,Capacity!$A$3:$D$532,4,), "0")</f>
        <v>0</v>
      </c>
      <c r="L138" s="4" t="str">
        <f>IFERROR(VLOOKUP(J138,Capacity!$A$3:$F$532,6,), "0")</f>
        <v>0</v>
      </c>
      <c r="M138" s="5">
        <f t="shared" si="20"/>
        <v>0</v>
      </c>
      <c r="N138" s="5">
        <f t="shared" si="21"/>
        <v>0</v>
      </c>
      <c r="O138">
        <v>347</v>
      </c>
      <c r="P138">
        <f>IFERROR(VLOOKUP(O138,Capacity!$A$3:$D$532,4,), "0")</f>
        <v>9.4247778000000029</v>
      </c>
      <c r="Q138" s="4">
        <f>IFERROR(VLOOKUP(O138,Capacity!$A$3:$F$532,6,), "0")</f>
        <v>0.2</v>
      </c>
      <c r="R138" s="5">
        <f t="shared" si="25"/>
        <v>9.4247778000000029</v>
      </c>
      <c r="S138" s="5">
        <f t="shared" si="26"/>
        <v>0.2</v>
      </c>
      <c r="T138">
        <v>249</v>
      </c>
      <c r="U138">
        <v>0</v>
      </c>
      <c r="V138">
        <v>0</v>
      </c>
      <c r="W138">
        <v>1</v>
      </c>
      <c r="X138">
        <f t="shared" si="22"/>
        <v>0</v>
      </c>
      <c r="Y138">
        <f t="shared" si="23"/>
        <v>0</v>
      </c>
      <c r="Z138">
        <f t="shared" si="27"/>
        <v>0</v>
      </c>
      <c r="AA138">
        <f t="shared" si="28"/>
        <v>0</v>
      </c>
      <c r="AC138">
        <f t="shared" si="29"/>
        <v>0</v>
      </c>
      <c r="AD138">
        <f t="shared" si="24"/>
        <v>0</v>
      </c>
    </row>
    <row r="139" spans="1:30" x14ac:dyDescent="0.25">
      <c r="A139">
        <v>346</v>
      </c>
      <c r="B139">
        <f>IFERROR(VLOOKUP(A139,Capacity!$A$3:$D$532,4,), "0")</f>
        <v>115.61060768000002</v>
      </c>
      <c r="C139" s="4">
        <f>IFERROR(VLOOKUP(A139,Capacity!$A$3:$F$532,6,), "0")</f>
        <v>0.4</v>
      </c>
      <c r="D139">
        <v>345</v>
      </c>
      <c r="E139">
        <f>IFERROR(VLOOKUP(D139,Capacity!$A$3:$D$532,4,), "0")</f>
        <v>37.699111200000011</v>
      </c>
      <c r="F139" s="4">
        <f>IFERROR(VLOOKUP(D139,Capacity!$A$3:$F$532,6,), "0")</f>
        <v>0.4</v>
      </c>
      <c r="G139">
        <v>250</v>
      </c>
      <c r="H139">
        <f>IFERROR(VLOOKUP(G139,Capacity!$A$3:$D$532,4,), "0")</f>
        <v>11.545352804999998</v>
      </c>
      <c r="I139" s="4">
        <f>IFERROR(VLOOKUP(G139,Capacity!$A$3:$F$532,6,), "0")</f>
        <v>0.17499999999999999</v>
      </c>
      <c r="K139" t="str">
        <f>IFERROR(VLOOKUP(J139,Capacity!$A$3:$D$532,4,), "0")</f>
        <v>0</v>
      </c>
      <c r="L139" s="4" t="str">
        <f>IFERROR(VLOOKUP(J139,Capacity!$A$3:$F$532,6,), "0")</f>
        <v>0</v>
      </c>
      <c r="M139" s="5">
        <f t="shared" si="20"/>
        <v>49.244464005000012</v>
      </c>
      <c r="N139" s="5">
        <f t="shared" si="21"/>
        <v>0.57499999999999996</v>
      </c>
      <c r="O139">
        <v>26</v>
      </c>
      <c r="P139">
        <f>IFERROR(VLOOKUP(O139,Capacity!$A$3:$D$532,4,), "0")</f>
        <v>70.685833500000001</v>
      </c>
      <c r="Q139" s="4">
        <f>IFERROR(VLOOKUP(O139,Capacity!$A$3:$F$532,6,), "0")</f>
        <v>0.75</v>
      </c>
      <c r="R139" s="5">
        <f t="shared" si="25"/>
        <v>70.685833500000001</v>
      </c>
      <c r="S139" s="5">
        <f t="shared" si="26"/>
        <v>0.75</v>
      </c>
      <c r="T139">
        <v>346</v>
      </c>
      <c r="U139">
        <v>2</v>
      </c>
      <c r="V139">
        <v>2</v>
      </c>
      <c r="W139">
        <v>1</v>
      </c>
      <c r="X139">
        <f t="shared" si="22"/>
        <v>0.69666666666666677</v>
      </c>
      <c r="Y139">
        <f t="shared" si="23"/>
        <v>0.42595108695652178</v>
      </c>
      <c r="Z139">
        <f t="shared" si="27"/>
        <v>0.76666666666666661</v>
      </c>
      <c r="AA139">
        <f t="shared" si="28"/>
        <v>1.4374999999999998</v>
      </c>
      <c r="AC139">
        <f t="shared" si="29"/>
        <v>0.2643338954468803</v>
      </c>
      <c r="AD139">
        <f t="shared" si="24"/>
        <v>0.52866779089376059</v>
      </c>
    </row>
    <row r="140" spans="1:30" x14ac:dyDescent="0.25">
      <c r="A140">
        <v>27</v>
      </c>
      <c r="B140">
        <f>IFERROR(VLOOKUP(A140,Capacity!$A$3:$D$532,4,), "0")</f>
        <v>141.371667</v>
      </c>
      <c r="C140" s="4">
        <f>IFERROR(VLOOKUP(A140,Capacity!$A$3:$F$532,6,), "0")</f>
        <v>0.75</v>
      </c>
      <c r="D140">
        <v>344</v>
      </c>
      <c r="E140">
        <f>IFERROR(VLOOKUP(D140,Capacity!$A$3:$D$532,4,), "0")</f>
        <v>441.78645937499999</v>
      </c>
      <c r="F140" s="4">
        <f>IFERROR(VLOOKUP(D140,Capacity!$A$3:$F$532,6,), "0")</f>
        <v>0.75</v>
      </c>
      <c r="G140">
        <v>28</v>
      </c>
      <c r="H140">
        <f>IFERROR(VLOOKUP(G140,Capacity!$A$3:$D$532,4,), "0")</f>
        <v>90.477866879999993</v>
      </c>
      <c r="I140" s="4">
        <f>IFERROR(VLOOKUP(G140,Capacity!$A$3:$F$532,6,), "0")</f>
        <v>0.6</v>
      </c>
      <c r="K140" t="str">
        <f>IFERROR(VLOOKUP(J140,Capacity!$A$3:$D$532,4,), "0")</f>
        <v>0</v>
      </c>
      <c r="L140" s="4" t="str">
        <f>IFERROR(VLOOKUP(J140,Capacity!$A$3:$F$532,6,), "0")</f>
        <v>0</v>
      </c>
      <c r="M140" s="5">
        <f t="shared" si="20"/>
        <v>532.26432625500001</v>
      </c>
      <c r="N140" s="5">
        <f t="shared" si="21"/>
        <v>1.35</v>
      </c>
      <c r="O140">
        <v>26</v>
      </c>
      <c r="P140">
        <f>IFERROR(VLOOKUP(O140,Capacity!$A$3:$D$532,4,), "0")</f>
        <v>70.685833500000001</v>
      </c>
      <c r="Q140" s="4">
        <f>IFERROR(VLOOKUP(O140,Capacity!$A$3:$F$532,6,), "0")</f>
        <v>0.75</v>
      </c>
      <c r="R140" s="5">
        <f t="shared" si="25"/>
        <v>70.685833500000001</v>
      </c>
      <c r="S140" s="5">
        <f t="shared" si="26"/>
        <v>0.75</v>
      </c>
      <c r="T140">
        <v>27</v>
      </c>
      <c r="U140">
        <v>2</v>
      </c>
      <c r="V140">
        <v>2</v>
      </c>
      <c r="W140">
        <v>1</v>
      </c>
      <c r="X140">
        <f t="shared" si="22"/>
        <v>7.53</v>
      </c>
      <c r="Y140">
        <f t="shared" si="23"/>
        <v>3.7650000000000001</v>
      </c>
      <c r="Z140">
        <f t="shared" si="27"/>
        <v>1.8</v>
      </c>
      <c r="AA140">
        <f t="shared" si="28"/>
        <v>1.8</v>
      </c>
      <c r="AC140">
        <f t="shared" si="29"/>
        <v>2.5100000000000002</v>
      </c>
      <c r="AD140">
        <f t="shared" si="24"/>
        <v>5.0200000000000005</v>
      </c>
    </row>
    <row r="141" spans="1:30" x14ac:dyDescent="0.25">
      <c r="A141">
        <v>414</v>
      </c>
      <c r="B141">
        <f>IFERROR(VLOOKUP(A141,Capacity!$A$3:$D$532,4,), "0")</f>
        <v>21.647536509374998</v>
      </c>
      <c r="C141" s="4">
        <f>IFERROR(VLOOKUP(A141,Capacity!$A$3:$F$532,6,), "0")</f>
        <v>0.17499999999999999</v>
      </c>
      <c r="E141" t="str">
        <f>IFERROR(VLOOKUP(D141,Capacity!$A$3:$D$532,4,), "0")</f>
        <v>0</v>
      </c>
      <c r="F141" s="4" t="str">
        <f>IFERROR(VLOOKUP(D141,Capacity!$A$3:$F$532,6,), "0")</f>
        <v>0</v>
      </c>
      <c r="H141" t="str">
        <f>IFERROR(VLOOKUP(G141,Capacity!$A$3:$D$532,4,), "0")</f>
        <v>0</v>
      </c>
      <c r="I141" s="4" t="str">
        <f>IFERROR(VLOOKUP(G141,Capacity!$A$3:$F$532,6,), "0")</f>
        <v>0</v>
      </c>
      <c r="K141" t="str">
        <f>IFERROR(VLOOKUP(J141,Capacity!$A$3:$D$532,4,), "0")</f>
        <v>0</v>
      </c>
      <c r="L141" s="4" t="str">
        <f>IFERROR(VLOOKUP(J141,Capacity!$A$3:$F$532,6,), "0")</f>
        <v>0</v>
      </c>
      <c r="M141" s="5">
        <f t="shared" si="20"/>
        <v>0</v>
      </c>
      <c r="N141" s="5">
        <f t="shared" si="21"/>
        <v>0</v>
      </c>
      <c r="O141">
        <v>44</v>
      </c>
      <c r="P141">
        <f>IFERROR(VLOOKUP(O141,Capacity!$A$3:$D$532,4,), "0")</f>
        <v>40.212385280000007</v>
      </c>
      <c r="Q141" s="4">
        <f>IFERROR(VLOOKUP(O141,Capacity!$A$3:$F$532,6,), "0")</f>
        <v>0.4</v>
      </c>
      <c r="R141" s="5">
        <f t="shared" si="25"/>
        <v>40.212385280000007</v>
      </c>
      <c r="S141" s="5">
        <f t="shared" si="26"/>
        <v>0.4</v>
      </c>
      <c r="T141">
        <v>414</v>
      </c>
      <c r="U141">
        <v>0</v>
      </c>
      <c r="V141">
        <v>0</v>
      </c>
      <c r="W141">
        <v>1</v>
      </c>
      <c r="X141">
        <f t="shared" si="22"/>
        <v>0</v>
      </c>
      <c r="Y141">
        <f t="shared" si="23"/>
        <v>0</v>
      </c>
      <c r="Z141">
        <f t="shared" si="27"/>
        <v>0</v>
      </c>
      <c r="AA141">
        <f t="shared" si="28"/>
        <v>0</v>
      </c>
      <c r="AC141">
        <f t="shared" si="29"/>
        <v>0</v>
      </c>
      <c r="AD141">
        <f t="shared" si="24"/>
        <v>0</v>
      </c>
    </row>
    <row r="142" spans="1:30" x14ac:dyDescent="0.25">
      <c r="A142">
        <v>370</v>
      </c>
      <c r="B142">
        <f>IFERROR(VLOOKUP(A142,Capacity!$A$3:$D$532,4,), "0")</f>
        <v>23.090705609999997</v>
      </c>
      <c r="C142" s="4">
        <f>IFERROR(VLOOKUP(A142,Capacity!$A$3:$F$532,6,), "0")</f>
        <v>0.17499999999999999</v>
      </c>
      <c r="E142" t="str">
        <f>IFERROR(VLOOKUP(D142,Capacity!$A$3:$D$532,4,), "0")</f>
        <v>0</v>
      </c>
      <c r="F142" s="4" t="str">
        <f>IFERROR(VLOOKUP(D142,Capacity!$A$3:$F$532,6,), "0")</f>
        <v>0</v>
      </c>
      <c r="H142" t="str">
        <f>IFERROR(VLOOKUP(G142,Capacity!$A$3:$D$532,4,), "0")</f>
        <v>0</v>
      </c>
      <c r="I142" s="4" t="str">
        <f>IFERROR(VLOOKUP(G142,Capacity!$A$3:$F$532,6,), "0")</f>
        <v>0</v>
      </c>
      <c r="K142" t="str">
        <f>IFERROR(VLOOKUP(J142,Capacity!$A$3:$D$532,4,), "0")</f>
        <v>0</v>
      </c>
      <c r="L142" s="4" t="str">
        <f>IFERROR(VLOOKUP(J142,Capacity!$A$3:$F$532,6,), "0")</f>
        <v>0</v>
      </c>
      <c r="M142" s="5">
        <f t="shared" si="20"/>
        <v>0</v>
      </c>
      <c r="N142" s="5">
        <f t="shared" si="21"/>
        <v>0</v>
      </c>
      <c r="O142">
        <v>44</v>
      </c>
      <c r="P142">
        <f>IFERROR(VLOOKUP(O142,Capacity!$A$3:$D$532,4,), "0")</f>
        <v>40.212385280000007</v>
      </c>
      <c r="Q142" s="4">
        <f>IFERROR(VLOOKUP(O142,Capacity!$A$3:$F$532,6,), "0")</f>
        <v>0.4</v>
      </c>
      <c r="R142" s="5">
        <f t="shared" si="25"/>
        <v>40.212385280000007</v>
      </c>
      <c r="S142" s="5">
        <f t="shared" si="26"/>
        <v>0.4</v>
      </c>
      <c r="T142">
        <v>370</v>
      </c>
      <c r="U142">
        <v>0</v>
      </c>
      <c r="V142">
        <v>0</v>
      </c>
      <c r="W142">
        <v>1</v>
      </c>
      <c r="X142">
        <f t="shared" si="22"/>
        <v>0</v>
      </c>
      <c r="Y142">
        <f t="shared" si="23"/>
        <v>0</v>
      </c>
      <c r="Z142">
        <f t="shared" si="27"/>
        <v>0</v>
      </c>
      <c r="AA142">
        <f t="shared" si="28"/>
        <v>0</v>
      </c>
      <c r="AC142">
        <f t="shared" si="29"/>
        <v>0</v>
      </c>
      <c r="AD142">
        <f t="shared" si="24"/>
        <v>0</v>
      </c>
    </row>
    <row r="143" spans="1:30" x14ac:dyDescent="0.25">
      <c r="A143">
        <v>43</v>
      </c>
      <c r="B143">
        <f>IFERROR(VLOOKUP(A143,Capacity!$A$3:$D$532,4,), "0")</f>
        <v>40.212385280000007</v>
      </c>
      <c r="C143" s="4">
        <f>IFERROR(VLOOKUP(A143,Capacity!$A$3:$F$532,6,), "0")</f>
        <v>0.4</v>
      </c>
      <c r="D143">
        <v>412</v>
      </c>
      <c r="E143">
        <f>IFERROR(VLOOKUP(D143,Capacity!$A$3:$D$532,4,), "0")</f>
        <v>21.647536509374998</v>
      </c>
      <c r="F143" s="4">
        <f>IFERROR(VLOOKUP(D143,Capacity!$A$3:$F$532,6,), "0")</f>
        <v>0.17499999999999999</v>
      </c>
      <c r="G143">
        <v>371</v>
      </c>
      <c r="H143">
        <f>IFERROR(VLOOKUP(G143,Capacity!$A$3:$D$532,4,), "0")</f>
        <v>23.090705609999997</v>
      </c>
      <c r="I143" s="4">
        <f>IFERROR(VLOOKUP(G143,Capacity!$A$3:$F$532,6,), "0")</f>
        <v>0.17499999999999999</v>
      </c>
      <c r="J143">
        <v>42</v>
      </c>
      <c r="K143">
        <f>IFERROR(VLOOKUP(J143,Capacity!$A$3:$D$532,4,), "0")</f>
        <v>40.212385280000007</v>
      </c>
      <c r="L143" s="4">
        <f>IFERROR(VLOOKUP(J143,Capacity!$A$3:$F$532,6,), "0")</f>
        <v>0.4</v>
      </c>
      <c r="M143" s="5">
        <f t="shared" si="20"/>
        <v>84.950627399375009</v>
      </c>
      <c r="N143" s="5">
        <f t="shared" si="21"/>
        <v>0.75</v>
      </c>
      <c r="O143">
        <v>44</v>
      </c>
      <c r="P143">
        <f>IFERROR(VLOOKUP(O143,Capacity!$A$3:$D$532,4,), "0")</f>
        <v>40.212385280000007</v>
      </c>
      <c r="Q143" s="4">
        <f>IFERROR(VLOOKUP(O143,Capacity!$A$3:$F$532,6,), "0")</f>
        <v>0.4</v>
      </c>
      <c r="R143" s="5">
        <f t="shared" si="25"/>
        <v>40.212385280000007</v>
      </c>
      <c r="S143" s="5">
        <f t="shared" si="26"/>
        <v>0.4</v>
      </c>
      <c r="T143">
        <v>43</v>
      </c>
      <c r="U143">
        <v>3</v>
      </c>
      <c r="V143">
        <v>3</v>
      </c>
      <c r="W143">
        <v>1</v>
      </c>
      <c r="X143">
        <f t="shared" si="22"/>
        <v>2.112548828125</v>
      </c>
      <c r="Y143">
        <f t="shared" si="23"/>
        <v>2.112548828125</v>
      </c>
      <c r="Z143">
        <f t="shared" si="27"/>
        <v>1.875</v>
      </c>
      <c r="AA143">
        <f t="shared" si="28"/>
        <v>1.875</v>
      </c>
      <c r="AC143">
        <f t="shared" si="29"/>
        <v>1.0562744140625</v>
      </c>
      <c r="AD143">
        <f t="shared" si="24"/>
        <v>3.1688232421875</v>
      </c>
    </row>
    <row r="144" spans="1:30" x14ac:dyDescent="0.25">
      <c r="A144">
        <v>82</v>
      </c>
      <c r="B144">
        <f>IFERROR(VLOOKUP(A144,Capacity!$A$3:$D$532,4,), "0")</f>
        <v>90.477866879999993</v>
      </c>
      <c r="C144" s="4">
        <f>IFERROR(VLOOKUP(A144,Capacity!$A$3:$F$532,6,), "0")</f>
        <v>0.6</v>
      </c>
      <c r="D144">
        <v>81</v>
      </c>
      <c r="E144">
        <f>IFERROR(VLOOKUP(D144,Capacity!$A$3:$D$532,4,), "0")</f>
        <v>90.477866879999993</v>
      </c>
      <c r="F144" s="4">
        <f>IFERROR(VLOOKUP(D144,Capacity!$A$3:$F$532,6,), "0")</f>
        <v>0.6</v>
      </c>
      <c r="H144" t="str">
        <f>IFERROR(VLOOKUP(G144,Capacity!$A$3:$D$532,4,), "0")</f>
        <v>0</v>
      </c>
      <c r="I144" s="4" t="str">
        <f>IFERROR(VLOOKUP(G144,Capacity!$A$3:$F$532,6,), "0")</f>
        <v>0</v>
      </c>
      <c r="K144" t="str">
        <f>IFERROR(VLOOKUP(J144,Capacity!$A$3:$D$532,4,), "0")</f>
        <v>0</v>
      </c>
      <c r="L144" s="4" t="str">
        <f>IFERROR(VLOOKUP(J144,Capacity!$A$3:$F$532,6,), "0")</f>
        <v>0</v>
      </c>
      <c r="M144" s="5">
        <f t="shared" si="20"/>
        <v>90.477866879999993</v>
      </c>
      <c r="N144" s="5">
        <f t="shared" si="21"/>
        <v>0.6</v>
      </c>
      <c r="O144">
        <v>83</v>
      </c>
      <c r="P144">
        <f>IFERROR(VLOOKUP(O144,Capacity!$A$3:$D$532,4,), "0")</f>
        <v>90.477866879999993</v>
      </c>
      <c r="Q144" s="4">
        <f>IFERROR(VLOOKUP(O144,Capacity!$A$3:$F$532,6,), "0")</f>
        <v>0.6</v>
      </c>
      <c r="R144" s="5">
        <f t="shared" si="25"/>
        <v>90.477866879999993</v>
      </c>
      <c r="S144" s="5">
        <f t="shared" si="26"/>
        <v>0.6</v>
      </c>
      <c r="T144">
        <v>82</v>
      </c>
      <c r="U144">
        <v>1</v>
      </c>
      <c r="V144">
        <v>1</v>
      </c>
      <c r="W144">
        <v>1</v>
      </c>
      <c r="X144">
        <f t="shared" si="22"/>
        <v>1</v>
      </c>
      <c r="Y144">
        <f t="shared" si="23"/>
        <v>1</v>
      </c>
      <c r="Z144">
        <f t="shared" si="27"/>
        <v>1</v>
      </c>
      <c r="AA144">
        <f t="shared" si="28"/>
        <v>1</v>
      </c>
      <c r="AC144">
        <f t="shared" si="29"/>
        <v>0.5</v>
      </c>
      <c r="AD144">
        <f t="shared" si="24"/>
        <v>0.5</v>
      </c>
    </row>
    <row r="145" spans="1:30" x14ac:dyDescent="0.25">
      <c r="A145">
        <v>411</v>
      </c>
      <c r="B145">
        <f>IFERROR(VLOOKUP(A145,Capacity!$A$3:$D$532,4,), "0")</f>
        <v>21.166480142499999</v>
      </c>
      <c r="C145" s="4">
        <f>IFERROR(VLOOKUP(A145,Capacity!$A$3:$F$532,6,), "0")</f>
        <v>0.17499999999999999</v>
      </c>
      <c r="E145" t="str">
        <f>IFERROR(VLOOKUP(D145,Capacity!$A$3:$D$532,4,), "0")</f>
        <v>0</v>
      </c>
      <c r="F145" s="4" t="str">
        <f>IFERROR(VLOOKUP(D145,Capacity!$A$3:$F$532,6,), "0")</f>
        <v>0</v>
      </c>
      <c r="H145" t="str">
        <f>IFERROR(VLOOKUP(G145,Capacity!$A$3:$D$532,4,), "0")</f>
        <v>0</v>
      </c>
      <c r="I145" s="4" t="str">
        <f>IFERROR(VLOOKUP(G145,Capacity!$A$3:$F$532,6,), "0")</f>
        <v>0</v>
      </c>
      <c r="K145" t="str">
        <f>IFERROR(VLOOKUP(J145,Capacity!$A$3:$D$532,4,), "0")</f>
        <v>0</v>
      </c>
      <c r="L145" s="4" t="str">
        <f>IFERROR(VLOOKUP(J145,Capacity!$A$3:$F$532,6,), "0")</f>
        <v>0</v>
      </c>
      <c r="M145" s="5">
        <f t="shared" si="20"/>
        <v>0</v>
      </c>
      <c r="N145" s="5">
        <f t="shared" si="21"/>
        <v>0</v>
      </c>
      <c r="O145">
        <v>178</v>
      </c>
      <c r="P145">
        <f>IFERROR(VLOOKUP(O145,Capacity!$A$3:$D$532,4,), "0")</f>
        <v>22.619466719999998</v>
      </c>
      <c r="Q145" s="4">
        <f>IFERROR(VLOOKUP(O145,Capacity!$A$3:$F$532,6,), "0")</f>
        <v>0.3</v>
      </c>
      <c r="R145" s="5">
        <f t="shared" si="25"/>
        <v>22.619466719999998</v>
      </c>
      <c r="S145" s="5">
        <f t="shared" si="26"/>
        <v>0.3</v>
      </c>
      <c r="T145">
        <v>411</v>
      </c>
      <c r="U145">
        <v>0</v>
      </c>
      <c r="V145">
        <v>0</v>
      </c>
      <c r="W145">
        <v>1</v>
      </c>
      <c r="X145">
        <f t="shared" si="22"/>
        <v>0</v>
      </c>
      <c r="Y145">
        <f t="shared" si="23"/>
        <v>0</v>
      </c>
      <c r="Z145">
        <f t="shared" si="27"/>
        <v>0</v>
      </c>
      <c r="AA145">
        <f t="shared" si="28"/>
        <v>0</v>
      </c>
      <c r="AC145">
        <f t="shared" si="29"/>
        <v>0</v>
      </c>
      <c r="AD145">
        <f t="shared" si="24"/>
        <v>0</v>
      </c>
    </row>
    <row r="146" spans="1:30" x14ac:dyDescent="0.25">
      <c r="A146">
        <v>184</v>
      </c>
      <c r="B146">
        <f>IFERROR(VLOOKUP(A146,Capacity!$A$3:$D$532,4,), "0")</f>
        <v>22.619466719999998</v>
      </c>
      <c r="C146" s="4">
        <f>IFERROR(VLOOKUP(A146,Capacity!$A$3:$F$532,6,), "0")</f>
        <v>0.3</v>
      </c>
      <c r="D146">
        <v>408</v>
      </c>
      <c r="E146">
        <f>IFERROR(VLOOKUP(D146,Capacity!$A$3:$D$532,4,), "0")</f>
        <v>21.166480142499999</v>
      </c>
      <c r="F146" s="4">
        <f>IFERROR(VLOOKUP(D146,Capacity!$A$3:$F$532,6,), "0")</f>
        <v>0.17499999999999999</v>
      </c>
      <c r="G146">
        <v>189</v>
      </c>
      <c r="H146">
        <f>IFERROR(VLOOKUP(G146,Capacity!$A$3:$D$532,4,), "0")</f>
        <v>22.619466719999998</v>
      </c>
      <c r="I146" s="4">
        <f>IFERROR(VLOOKUP(G146,Capacity!$A$3:$F$532,6,), "0")</f>
        <v>0.3</v>
      </c>
      <c r="K146" t="str">
        <f>IFERROR(VLOOKUP(J146,Capacity!$A$3:$D$532,4,), "0")</f>
        <v>0</v>
      </c>
      <c r="L146" s="4" t="str">
        <f>IFERROR(VLOOKUP(J146,Capacity!$A$3:$F$532,6,), "0")</f>
        <v>0</v>
      </c>
      <c r="M146" s="5">
        <f t="shared" si="20"/>
        <v>43.785946862499998</v>
      </c>
      <c r="N146" s="5">
        <f t="shared" si="21"/>
        <v>0.47499999999999998</v>
      </c>
      <c r="O146">
        <v>178</v>
      </c>
      <c r="P146">
        <f>IFERROR(VLOOKUP(O146,Capacity!$A$3:$D$532,4,), "0")</f>
        <v>22.619466719999998</v>
      </c>
      <c r="Q146" s="4">
        <f>IFERROR(VLOOKUP(O146,Capacity!$A$3:$F$532,6,), "0")</f>
        <v>0.3</v>
      </c>
      <c r="R146" s="5">
        <f t="shared" si="25"/>
        <v>22.619466719999998</v>
      </c>
      <c r="S146" s="5">
        <f t="shared" si="26"/>
        <v>0.3</v>
      </c>
      <c r="T146">
        <v>184</v>
      </c>
      <c r="U146">
        <v>2</v>
      </c>
      <c r="V146">
        <v>2</v>
      </c>
      <c r="W146">
        <v>1</v>
      </c>
      <c r="X146">
        <f t="shared" si="22"/>
        <v>1.9357638888888888</v>
      </c>
      <c r="Y146">
        <f t="shared" si="23"/>
        <v>1.9357638888888888</v>
      </c>
      <c r="Z146">
        <f t="shared" si="27"/>
        <v>1.5833333333333333</v>
      </c>
      <c r="AA146">
        <f t="shared" si="28"/>
        <v>1.5833333333333333</v>
      </c>
      <c r="AC146">
        <f t="shared" si="29"/>
        <v>0.96788194444444442</v>
      </c>
      <c r="AD146">
        <f t="shared" si="24"/>
        <v>1.9357638888888888</v>
      </c>
    </row>
    <row r="147" spans="1:30" x14ac:dyDescent="0.25">
      <c r="A147">
        <v>457</v>
      </c>
      <c r="B147">
        <f>IFERROR(VLOOKUP(A147,Capacity!$A$3:$D$532,4,), "0")</f>
        <v>15.874860106874999</v>
      </c>
      <c r="C147" s="4">
        <f>IFERROR(VLOOKUP(A147,Capacity!$A$3:$F$532,6,), "0")</f>
        <v>0.17499999999999999</v>
      </c>
      <c r="E147" t="str">
        <f>IFERROR(VLOOKUP(D147,Capacity!$A$3:$D$532,4,), "0")</f>
        <v>0</v>
      </c>
      <c r="F147" s="4" t="str">
        <f>IFERROR(VLOOKUP(D147,Capacity!$A$3:$F$532,6,), "0")</f>
        <v>0</v>
      </c>
      <c r="H147" t="str">
        <f>IFERROR(VLOOKUP(G147,Capacity!$A$3:$D$532,4,), "0")</f>
        <v>0</v>
      </c>
      <c r="I147" s="4" t="str">
        <f>IFERROR(VLOOKUP(G147,Capacity!$A$3:$F$532,6,), "0")</f>
        <v>0</v>
      </c>
      <c r="K147" t="str">
        <f>IFERROR(VLOOKUP(J147,Capacity!$A$3:$D$532,4,), "0")</f>
        <v>0</v>
      </c>
      <c r="L147" s="4" t="str">
        <f>IFERROR(VLOOKUP(J147,Capacity!$A$3:$F$532,6,), "0")</f>
        <v>0</v>
      </c>
      <c r="M147" s="5">
        <f t="shared" si="20"/>
        <v>0</v>
      </c>
      <c r="N147" s="5">
        <f t="shared" si="21"/>
        <v>0</v>
      </c>
      <c r="O147">
        <v>180</v>
      </c>
      <c r="P147">
        <f>IFERROR(VLOOKUP(O147,Capacity!$A$3:$D$532,4,), "0")</f>
        <v>20.734511160000007</v>
      </c>
      <c r="Q147" s="4">
        <f>IFERROR(VLOOKUP(O147,Capacity!$A$3:$F$532,6,), "0")</f>
        <v>0.2</v>
      </c>
      <c r="R147" s="5">
        <f t="shared" si="25"/>
        <v>20.734511160000007</v>
      </c>
      <c r="S147" s="5">
        <f t="shared" si="26"/>
        <v>0.2</v>
      </c>
      <c r="T147">
        <v>457</v>
      </c>
      <c r="U147">
        <v>0</v>
      </c>
      <c r="V147">
        <v>0</v>
      </c>
      <c r="W147">
        <v>1</v>
      </c>
      <c r="X147">
        <f t="shared" si="22"/>
        <v>0</v>
      </c>
      <c r="Y147">
        <f t="shared" si="23"/>
        <v>0</v>
      </c>
      <c r="Z147">
        <f t="shared" si="27"/>
        <v>0</v>
      </c>
      <c r="AA147">
        <f t="shared" si="28"/>
        <v>0</v>
      </c>
      <c r="AC147">
        <f t="shared" si="29"/>
        <v>0</v>
      </c>
      <c r="AD147">
        <f t="shared" si="24"/>
        <v>0</v>
      </c>
    </row>
    <row r="148" spans="1:30" x14ac:dyDescent="0.25">
      <c r="A148">
        <v>185</v>
      </c>
      <c r="B148">
        <f>IFERROR(VLOOKUP(A148,Capacity!$A$3:$D$532,4,), "0")</f>
        <v>628.31852000000003</v>
      </c>
      <c r="C148" s="4">
        <f>IFERROR(VLOOKUP(A148,Capacity!$A$3:$F$532,6,), "0")</f>
        <v>1</v>
      </c>
      <c r="D148">
        <v>459</v>
      </c>
      <c r="E148">
        <f>IFERROR(VLOOKUP(D148,Capacity!$A$3:$D$532,4,), "0")</f>
        <v>19.242254674999998</v>
      </c>
      <c r="F148" s="4">
        <f>IFERROR(VLOOKUP(D148,Capacity!$A$3:$F$532,6,), "0")</f>
        <v>0.17499999999999999</v>
      </c>
      <c r="G148">
        <v>192</v>
      </c>
      <c r="H148">
        <f>IFERROR(VLOOKUP(G148,Capacity!$A$3:$D$532,4,), "0")</f>
        <v>20.106192640000003</v>
      </c>
      <c r="I148" s="4">
        <f>IFERROR(VLOOKUP(G148,Capacity!$A$3:$F$532,6,), "0")</f>
        <v>0.2</v>
      </c>
      <c r="K148" t="str">
        <f>IFERROR(VLOOKUP(J148,Capacity!$A$3:$D$532,4,), "0")</f>
        <v>0</v>
      </c>
      <c r="L148" s="4" t="str">
        <f>IFERROR(VLOOKUP(J148,Capacity!$A$3:$F$532,6,), "0")</f>
        <v>0</v>
      </c>
      <c r="M148" s="5">
        <f t="shared" si="20"/>
        <v>39.348447315000001</v>
      </c>
      <c r="N148" s="5">
        <f t="shared" si="21"/>
        <v>0.375</v>
      </c>
      <c r="O148">
        <v>186</v>
      </c>
      <c r="P148">
        <f>IFERROR(VLOOKUP(O148,Capacity!$A$3:$D$532,4,), "0")</f>
        <v>17.649467226800002</v>
      </c>
      <c r="Q148" s="4">
        <f>IFERROR(VLOOKUP(O148,Capacity!$A$3:$F$532,6,), "0")</f>
        <v>0.26500000000000001</v>
      </c>
      <c r="R148" s="5">
        <f t="shared" si="25"/>
        <v>17.649467226800002</v>
      </c>
      <c r="S148" s="5">
        <f t="shared" si="26"/>
        <v>0.26500000000000001</v>
      </c>
      <c r="T148">
        <v>185</v>
      </c>
      <c r="U148">
        <v>2</v>
      </c>
      <c r="V148">
        <v>2</v>
      </c>
      <c r="W148">
        <v>1</v>
      </c>
      <c r="X148">
        <f t="shared" si="22"/>
        <v>2.2294410822356707</v>
      </c>
      <c r="Y148">
        <f t="shared" si="23"/>
        <v>6.2625E-2</v>
      </c>
      <c r="Z148">
        <f t="shared" si="27"/>
        <v>1.4150943396226414</v>
      </c>
      <c r="AA148">
        <f t="shared" si="28"/>
        <v>0.375</v>
      </c>
      <c r="AC148">
        <f t="shared" si="29"/>
        <v>6.0913927768969645E-2</v>
      </c>
      <c r="AD148">
        <f t="shared" si="24"/>
        <v>0.12182785553793929</v>
      </c>
    </row>
    <row r="149" spans="1:30" x14ac:dyDescent="0.25">
      <c r="A149">
        <v>462</v>
      </c>
      <c r="B149">
        <f>IFERROR(VLOOKUP(A149,Capacity!$A$3:$D$532,4,), "0")</f>
        <v>19.242254674999998</v>
      </c>
      <c r="C149" s="4">
        <f>IFERROR(VLOOKUP(A149,Capacity!$A$3:$F$532,6,), "0")</f>
        <v>0.17499999999999999</v>
      </c>
      <c r="E149" t="str">
        <f>IFERROR(VLOOKUP(D149,Capacity!$A$3:$D$532,4,), "0")</f>
        <v>0</v>
      </c>
      <c r="F149" s="4" t="str">
        <f>IFERROR(VLOOKUP(D149,Capacity!$A$3:$F$532,6,), "0")</f>
        <v>0</v>
      </c>
      <c r="H149" t="str">
        <f>IFERROR(VLOOKUP(G149,Capacity!$A$3:$D$532,4,), "0")</f>
        <v>0</v>
      </c>
      <c r="I149" s="4" t="str">
        <f>IFERROR(VLOOKUP(G149,Capacity!$A$3:$F$532,6,), "0")</f>
        <v>0</v>
      </c>
      <c r="K149" t="str">
        <f>IFERROR(VLOOKUP(J149,Capacity!$A$3:$D$532,4,), "0")</f>
        <v>0</v>
      </c>
      <c r="L149" s="4" t="str">
        <f>IFERROR(VLOOKUP(J149,Capacity!$A$3:$F$532,6,), "0")</f>
        <v>0</v>
      </c>
      <c r="M149" s="5">
        <f t="shared" si="20"/>
        <v>0</v>
      </c>
      <c r="N149" s="5">
        <f t="shared" si="21"/>
        <v>0</v>
      </c>
      <c r="O149">
        <v>193</v>
      </c>
      <c r="P149">
        <f>IFERROR(VLOOKUP(O149,Capacity!$A$3:$D$532,4,), "0")</f>
        <v>19.242254674999998</v>
      </c>
      <c r="Q149" s="4">
        <f>IFERROR(VLOOKUP(O149,Capacity!$A$3:$F$532,6,), "0")</f>
        <v>0.17499999999999999</v>
      </c>
      <c r="R149" s="5">
        <f t="shared" si="25"/>
        <v>19.242254674999998</v>
      </c>
      <c r="S149" s="5">
        <f t="shared" si="26"/>
        <v>0.17499999999999999</v>
      </c>
      <c r="T149">
        <v>462</v>
      </c>
      <c r="U149">
        <v>0</v>
      </c>
      <c r="V149">
        <v>0</v>
      </c>
      <c r="W149">
        <v>1</v>
      </c>
      <c r="X149">
        <f t="shared" si="22"/>
        <v>0</v>
      </c>
      <c r="Y149">
        <f t="shared" si="23"/>
        <v>0</v>
      </c>
      <c r="Z149">
        <f t="shared" si="27"/>
        <v>0</v>
      </c>
      <c r="AA149">
        <f t="shared" si="28"/>
        <v>0</v>
      </c>
      <c r="AC149">
        <f t="shared" si="29"/>
        <v>0</v>
      </c>
      <c r="AD149">
        <f t="shared" si="24"/>
        <v>0</v>
      </c>
    </row>
    <row r="150" spans="1:30" x14ac:dyDescent="0.25">
      <c r="A150">
        <v>206</v>
      </c>
      <c r="B150">
        <f>IFERROR(VLOOKUP(A150,Capacity!$A$3:$D$532,4,), "0")</f>
        <v>17.318029207499997</v>
      </c>
      <c r="C150" s="4">
        <f>IFERROR(VLOOKUP(A150,Capacity!$A$3:$F$532,6,), "0")</f>
        <v>0.17499999999999999</v>
      </c>
      <c r="D150">
        <v>463</v>
      </c>
      <c r="E150">
        <f>IFERROR(VLOOKUP(D150,Capacity!$A$3:$D$532,4,), "0")</f>
        <v>10.58324007125</v>
      </c>
      <c r="F150" s="4">
        <f>IFERROR(VLOOKUP(D150,Capacity!$A$3:$F$532,6,), "0")</f>
        <v>0.17499999999999999</v>
      </c>
      <c r="H150" t="str">
        <f>IFERROR(VLOOKUP(G150,Capacity!$A$3:$D$532,4,), "0")</f>
        <v>0</v>
      </c>
      <c r="I150" s="4" t="str">
        <f>IFERROR(VLOOKUP(G150,Capacity!$A$3:$F$532,6,), "0")</f>
        <v>0</v>
      </c>
      <c r="K150" t="str">
        <f>IFERROR(VLOOKUP(J150,Capacity!$A$3:$D$532,4,), "0")</f>
        <v>0</v>
      </c>
      <c r="L150" s="4" t="str">
        <f>IFERROR(VLOOKUP(J150,Capacity!$A$3:$F$532,6,), "0")</f>
        <v>0</v>
      </c>
      <c r="M150" s="5">
        <f t="shared" si="20"/>
        <v>10.58324007125</v>
      </c>
      <c r="N150" s="5">
        <f t="shared" si="21"/>
        <v>0.17499999999999999</v>
      </c>
      <c r="O150">
        <v>207</v>
      </c>
      <c r="P150">
        <f>IFERROR(VLOOKUP(O150,Capacity!$A$3:$D$532,4,), "0")</f>
        <v>31.101766740000002</v>
      </c>
      <c r="Q150" s="4">
        <f>IFERROR(VLOOKUP(O150,Capacity!$A$3:$F$532,6,), "0")</f>
        <v>0.3</v>
      </c>
      <c r="R150" s="5">
        <f t="shared" si="25"/>
        <v>31.101766740000002</v>
      </c>
      <c r="S150" s="5">
        <f t="shared" si="26"/>
        <v>0.3</v>
      </c>
      <c r="T150">
        <v>206</v>
      </c>
      <c r="U150">
        <v>1</v>
      </c>
      <c r="V150">
        <v>1</v>
      </c>
      <c r="W150">
        <v>1</v>
      </c>
      <c r="X150">
        <f t="shared" si="22"/>
        <v>0.34027777777777773</v>
      </c>
      <c r="Y150">
        <f t="shared" si="23"/>
        <v>0.61111111111111116</v>
      </c>
      <c r="Z150">
        <f t="shared" si="27"/>
        <v>0.58333333333333337</v>
      </c>
      <c r="AA150">
        <f t="shared" si="28"/>
        <v>1</v>
      </c>
      <c r="AC150">
        <f t="shared" si="29"/>
        <v>0.21857258718572586</v>
      </c>
      <c r="AD150">
        <f t="shared" si="24"/>
        <v>0.21857258718572586</v>
      </c>
    </row>
    <row r="151" spans="1:30" x14ac:dyDescent="0.25">
      <c r="A151">
        <v>208</v>
      </c>
      <c r="B151">
        <f>IFERROR(VLOOKUP(A151,Capacity!$A$3:$D$532,4,), "0")</f>
        <v>25.132740800000008</v>
      </c>
      <c r="C151" s="4">
        <f>IFERROR(VLOOKUP(A151,Capacity!$A$3:$F$532,6,), "0")</f>
        <v>0.4</v>
      </c>
      <c r="D151">
        <v>205</v>
      </c>
      <c r="E151">
        <f>IFERROR(VLOOKUP(D151,Capacity!$A$3:$D$532,4,), "0")</f>
        <v>309.25052156250001</v>
      </c>
      <c r="F151" s="4">
        <f>IFERROR(VLOOKUP(D151,Capacity!$A$3:$F$532,6,), "0")</f>
        <v>0.75</v>
      </c>
      <c r="G151">
        <v>209</v>
      </c>
      <c r="H151">
        <f>IFERROR(VLOOKUP(G151,Capacity!$A$3:$D$532,4,), "0")</f>
        <v>123.700208625</v>
      </c>
      <c r="I151" s="4">
        <f>IFERROR(VLOOKUP(G151,Capacity!$A$3:$F$532,6,), "0")</f>
        <v>0.75</v>
      </c>
      <c r="K151" t="str">
        <f>IFERROR(VLOOKUP(J151,Capacity!$A$3:$D$532,4,), "0")</f>
        <v>0</v>
      </c>
      <c r="L151" s="4" t="str">
        <f>IFERROR(VLOOKUP(J151,Capacity!$A$3:$F$532,6,), "0")</f>
        <v>0</v>
      </c>
      <c r="M151" s="5">
        <f t="shared" si="20"/>
        <v>432.95073018750003</v>
      </c>
      <c r="N151" s="5">
        <f t="shared" si="21"/>
        <v>1.5</v>
      </c>
      <c r="O151">
        <v>207</v>
      </c>
      <c r="P151">
        <f>IFERROR(VLOOKUP(O151,Capacity!$A$3:$D$532,4,), "0")</f>
        <v>31.101766740000002</v>
      </c>
      <c r="Q151" s="4">
        <f>IFERROR(VLOOKUP(O151,Capacity!$A$3:$F$532,6,), "0")</f>
        <v>0.3</v>
      </c>
      <c r="R151" s="5">
        <f t="shared" si="25"/>
        <v>31.101766740000002</v>
      </c>
      <c r="S151" s="5">
        <f t="shared" si="26"/>
        <v>0.3</v>
      </c>
      <c r="T151">
        <v>208</v>
      </c>
      <c r="U151">
        <v>2</v>
      </c>
      <c r="V151">
        <v>2</v>
      </c>
      <c r="W151">
        <v>1</v>
      </c>
      <c r="X151">
        <f t="shared" si="22"/>
        <v>13.920454545454545</v>
      </c>
      <c r="Y151">
        <f t="shared" si="23"/>
        <v>17.226562499999996</v>
      </c>
      <c r="Z151">
        <f t="shared" si="27"/>
        <v>5</v>
      </c>
      <c r="AA151">
        <f t="shared" si="28"/>
        <v>3.75</v>
      </c>
      <c r="AC151">
        <f t="shared" si="29"/>
        <v>7.6990223463687144</v>
      </c>
      <c r="AD151">
        <f t="shared" si="24"/>
        <v>15.398044692737429</v>
      </c>
    </row>
    <row r="152" spans="1:30" x14ac:dyDescent="0.25">
      <c r="A152">
        <v>472</v>
      </c>
      <c r="B152">
        <f>IFERROR(VLOOKUP(A152,Capacity!$A$3:$D$532,4,), "0")</f>
        <v>24.052818343749998</v>
      </c>
      <c r="C152" s="4">
        <f>IFERROR(VLOOKUP(A152,Capacity!$A$3:$F$532,6,), "0")</f>
        <v>0.17499999999999999</v>
      </c>
      <c r="E152" t="str">
        <f>IFERROR(VLOOKUP(D152,Capacity!$A$3:$D$532,4,), "0")</f>
        <v>0</v>
      </c>
      <c r="F152" s="4" t="str">
        <f>IFERROR(VLOOKUP(D152,Capacity!$A$3:$F$532,6,), "0")</f>
        <v>0</v>
      </c>
      <c r="H152" t="str">
        <f>IFERROR(VLOOKUP(G152,Capacity!$A$3:$D$532,4,), "0")</f>
        <v>0</v>
      </c>
      <c r="I152" s="4" t="str">
        <f>IFERROR(VLOOKUP(G152,Capacity!$A$3:$F$532,6,), "0")</f>
        <v>0</v>
      </c>
      <c r="K152" t="str">
        <f>IFERROR(VLOOKUP(J152,Capacity!$A$3:$D$532,4,), "0")</f>
        <v>0</v>
      </c>
      <c r="L152" s="4" t="str">
        <f>IFERROR(VLOOKUP(J152,Capacity!$A$3:$F$532,6,), "0")</f>
        <v>0</v>
      </c>
      <c r="M152" s="5">
        <f t="shared" si="20"/>
        <v>0</v>
      </c>
      <c r="N152" s="5">
        <f t="shared" si="21"/>
        <v>0</v>
      </c>
      <c r="O152">
        <v>215</v>
      </c>
      <c r="P152">
        <f>IFERROR(VLOOKUP(O152,Capacity!$A$3:$D$532,4,), "0")</f>
        <v>6.2831852000000019</v>
      </c>
      <c r="Q152" s="4">
        <f>IFERROR(VLOOKUP(O152,Capacity!$A$3:$F$532,6,), "0")</f>
        <v>0.2</v>
      </c>
      <c r="R152" s="5">
        <f t="shared" si="25"/>
        <v>6.2831852000000019</v>
      </c>
      <c r="S152" s="5">
        <f t="shared" si="26"/>
        <v>0.2</v>
      </c>
      <c r="T152">
        <v>472</v>
      </c>
      <c r="U152">
        <v>0</v>
      </c>
      <c r="V152">
        <v>0</v>
      </c>
      <c r="W152">
        <v>1</v>
      </c>
      <c r="X152">
        <f t="shared" si="22"/>
        <v>0</v>
      </c>
      <c r="Y152">
        <f t="shared" si="23"/>
        <v>0</v>
      </c>
      <c r="Z152">
        <f t="shared" si="27"/>
        <v>0</v>
      </c>
      <c r="AA152">
        <f t="shared" si="28"/>
        <v>0</v>
      </c>
      <c r="AC152">
        <f t="shared" si="29"/>
        <v>0</v>
      </c>
      <c r="AD152">
        <f t="shared" si="24"/>
        <v>0</v>
      </c>
    </row>
    <row r="153" spans="1:30" x14ac:dyDescent="0.25">
      <c r="A153">
        <v>214</v>
      </c>
      <c r="B153">
        <f>IFERROR(VLOOKUP(A153,Capacity!$A$3:$D$532,4,), "0")</f>
        <v>5.7726764024999992</v>
      </c>
      <c r="C153" s="4">
        <f>IFERROR(VLOOKUP(A153,Capacity!$A$3:$F$532,6,), "0")</f>
        <v>0.17499999999999999</v>
      </c>
      <c r="D153">
        <v>473</v>
      </c>
      <c r="E153">
        <f>IFERROR(VLOOKUP(D153,Capacity!$A$3:$D$532,4,), "0")</f>
        <v>25.977043811249995</v>
      </c>
      <c r="F153" s="4">
        <f>IFERROR(VLOOKUP(D153,Capacity!$A$3:$F$532,6,), "0")</f>
        <v>0.17499999999999999</v>
      </c>
      <c r="G153">
        <v>213</v>
      </c>
      <c r="H153">
        <f>IFERROR(VLOOKUP(G153,Capacity!$A$3:$D$532,4,), "0")</f>
        <v>9.621127337499999</v>
      </c>
      <c r="I153" s="4">
        <f>IFERROR(VLOOKUP(G153,Capacity!$A$3:$F$532,6,), "0")</f>
        <v>0.17499999999999999</v>
      </c>
      <c r="K153" t="str">
        <f>IFERROR(VLOOKUP(J153,Capacity!$A$3:$D$532,4,), "0")</f>
        <v>0</v>
      </c>
      <c r="L153" s="4" t="str">
        <f>IFERROR(VLOOKUP(J153,Capacity!$A$3:$F$532,6,), "0")</f>
        <v>0</v>
      </c>
      <c r="M153" s="5">
        <f t="shared" si="20"/>
        <v>35.598171148749998</v>
      </c>
      <c r="N153" s="5">
        <f t="shared" si="21"/>
        <v>0.35</v>
      </c>
      <c r="O153">
        <v>215</v>
      </c>
      <c r="P153">
        <f>IFERROR(VLOOKUP(O153,Capacity!$A$3:$D$532,4,), "0")</f>
        <v>6.2831852000000019</v>
      </c>
      <c r="Q153" s="4">
        <f>IFERROR(VLOOKUP(O153,Capacity!$A$3:$F$532,6,), "0")</f>
        <v>0.2</v>
      </c>
      <c r="R153" s="5">
        <f t="shared" si="25"/>
        <v>6.2831852000000019</v>
      </c>
      <c r="S153" s="5">
        <f t="shared" si="26"/>
        <v>0.2</v>
      </c>
      <c r="T153">
        <v>214</v>
      </c>
      <c r="U153">
        <v>2</v>
      </c>
      <c r="V153">
        <v>2</v>
      </c>
      <c r="W153">
        <v>1</v>
      </c>
      <c r="X153">
        <f t="shared" si="22"/>
        <v>5.6656249999999977</v>
      </c>
      <c r="Y153">
        <f t="shared" si="23"/>
        <v>6.166666666666667</v>
      </c>
      <c r="Z153">
        <f t="shared" si="27"/>
        <v>1.7499999999999998</v>
      </c>
      <c r="AA153">
        <f t="shared" si="28"/>
        <v>2</v>
      </c>
      <c r="AC153">
        <f t="shared" si="29"/>
        <v>2.9527687296416931</v>
      </c>
      <c r="AD153">
        <f t="shared" si="24"/>
        <v>5.9055374592833862</v>
      </c>
    </row>
    <row r="154" spans="1:30" x14ac:dyDescent="0.25">
      <c r="A154">
        <v>277</v>
      </c>
      <c r="B154">
        <f>IFERROR(VLOOKUP(A154,Capacity!$A$3:$D$532,4,), "0")</f>
        <v>14.431691006249999</v>
      </c>
      <c r="C154" s="4">
        <f>IFERROR(VLOOKUP(A154,Capacity!$A$3:$F$532,6,), "0")</f>
        <v>0.17499999999999999</v>
      </c>
      <c r="E154" t="str">
        <f>IFERROR(VLOOKUP(D154,Capacity!$A$3:$D$532,4,), "0")</f>
        <v>0</v>
      </c>
      <c r="F154" s="4" t="str">
        <f>IFERROR(VLOOKUP(D154,Capacity!$A$3:$F$532,6,), "0")</f>
        <v>0</v>
      </c>
      <c r="H154" t="str">
        <f>IFERROR(VLOOKUP(G154,Capacity!$A$3:$D$532,4,), "0")</f>
        <v>0</v>
      </c>
      <c r="I154" s="4" t="str">
        <f>IFERROR(VLOOKUP(G154,Capacity!$A$3:$F$532,6,), "0")</f>
        <v>0</v>
      </c>
      <c r="K154" t="str">
        <f>IFERROR(VLOOKUP(J154,Capacity!$A$3:$D$532,4,), "0")</f>
        <v>0</v>
      </c>
      <c r="L154" s="4" t="str">
        <f>IFERROR(VLOOKUP(J154,Capacity!$A$3:$F$532,6,), "0")</f>
        <v>0</v>
      </c>
      <c r="M154" s="5">
        <f t="shared" si="20"/>
        <v>0</v>
      </c>
      <c r="N154" s="5">
        <f t="shared" si="21"/>
        <v>0</v>
      </c>
      <c r="O154">
        <v>119</v>
      </c>
      <c r="P154">
        <f>IFERROR(VLOOKUP(O154,Capacity!$A$3:$D$532,4,), "0")</f>
        <v>361.28314899999998</v>
      </c>
      <c r="Q154" s="4">
        <f>IFERROR(VLOOKUP(O154,Capacity!$A$3:$F$532,6,), "0")</f>
        <v>1</v>
      </c>
      <c r="R154" s="5">
        <f t="shared" si="25"/>
        <v>361.28314899999998</v>
      </c>
      <c r="S154" s="5">
        <f t="shared" si="26"/>
        <v>1</v>
      </c>
      <c r="T154">
        <v>277</v>
      </c>
      <c r="U154">
        <v>0</v>
      </c>
      <c r="V154">
        <v>0</v>
      </c>
      <c r="W154">
        <v>1</v>
      </c>
      <c r="X154">
        <f t="shared" si="22"/>
        <v>0</v>
      </c>
      <c r="Y154">
        <f t="shared" si="23"/>
        <v>0</v>
      </c>
      <c r="Z154">
        <f t="shared" si="27"/>
        <v>0</v>
      </c>
      <c r="AA154">
        <f t="shared" si="28"/>
        <v>0</v>
      </c>
      <c r="AC154">
        <f t="shared" si="29"/>
        <v>0</v>
      </c>
      <c r="AD154">
        <f t="shared" si="24"/>
        <v>0</v>
      </c>
    </row>
    <row r="155" spans="1:30" x14ac:dyDescent="0.25">
      <c r="A155">
        <v>118</v>
      </c>
      <c r="B155">
        <f>IFERROR(VLOOKUP(A155,Capacity!$A$3:$D$532,4,), "0")</f>
        <v>14.431691006249999</v>
      </c>
      <c r="C155" s="4">
        <f>IFERROR(VLOOKUP(A155,Capacity!$A$3:$F$532,6,), "0")</f>
        <v>0.17499999999999999</v>
      </c>
      <c r="D155">
        <v>117</v>
      </c>
      <c r="E155">
        <f>IFERROR(VLOOKUP(D155,Capacity!$A$3:$D$532,4,), "0")</f>
        <v>16.836972840624998</v>
      </c>
      <c r="F155" s="4">
        <f>IFERROR(VLOOKUP(D155,Capacity!$A$3:$F$532,6,), "0")</f>
        <v>0.17499999999999999</v>
      </c>
      <c r="H155" t="str">
        <f>IFERROR(VLOOKUP(G155,Capacity!$A$3:$D$532,4,), "0")</f>
        <v>0</v>
      </c>
      <c r="I155" s="4" t="str">
        <f>IFERROR(VLOOKUP(G155,Capacity!$A$3:$F$532,6,), "0")</f>
        <v>0</v>
      </c>
      <c r="K155" t="str">
        <f>IFERROR(VLOOKUP(J155,Capacity!$A$3:$D$532,4,), "0")</f>
        <v>0</v>
      </c>
      <c r="L155" s="4" t="str">
        <f>IFERROR(VLOOKUP(J155,Capacity!$A$3:$F$532,6,), "0")</f>
        <v>0</v>
      </c>
      <c r="M155" s="5">
        <f t="shared" si="20"/>
        <v>16.836972840624998</v>
      </c>
      <c r="N155" s="5">
        <f t="shared" si="21"/>
        <v>0.17499999999999999</v>
      </c>
      <c r="O155">
        <v>119</v>
      </c>
      <c r="P155">
        <f>IFERROR(VLOOKUP(O155,Capacity!$A$3:$D$532,4,), "0")</f>
        <v>361.28314899999998</v>
      </c>
      <c r="Q155" s="4">
        <f>IFERROR(VLOOKUP(O155,Capacity!$A$3:$F$532,6,), "0")</f>
        <v>1</v>
      </c>
      <c r="R155" s="5">
        <f t="shared" si="25"/>
        <v>361.28314899999998</v>
      </c>
      <c r="S155" s="5">
        <f t="shared" si="26"/>
        <v>1</v>
      </c>
      <c r="T155">
        <v>118</v>
      </c>
      <c r="U155">
        <v>1</v>
      </c>
      <c r="V155">
        <v>1</v>
      </c>
      <c r="W155">
        <v>1</v>
      </c>
      <c r="X155">
        <f t="shared" si="22"/>
        <v>4.6603260869565212E-2</v>
      </c>
      <c r="Y155">
        <f t="shared" si="23"/>
        <v>1.1666666666666667</v>
      </c>
      <c r="Z155">
        <f t="shared" si="27"/>
        <v>0.17499999999999999</v>
      </c>
      <c r="AA155">
        <f t="shared" si="28"/>
        <v>1</v>
      </c>
      <c r="AC155">
        <f t="shared" si="29"/>
        <v>4.4813169584530965E-2</v>
      </c>
      <c r="AD155">
        <f t="shared" si="24"/>
        <v>4.4813169584530965E-2</v>
      </c>
    </row>
    <row r="156" spans="1:30" x14ac:dyDescent="0.25">
      <c r="A156">
        <v>111</v>
      </c>
      <c r="B156">
        <f>IFERROR(VLOOKUP(A156,Capacity!$A$3:$D$532,4,), "0")</f>
        <v>12.566370400000004</v>
      </c>
      <c r="C156" s="4">
        <f>IFERROR(VLOOKUP(A156,Capacity!$A$3:$F$532,6,), "0")</f>
        <v>0.2</v>
      </c>
      <c r="D156">
        <v>110</v>
      </c>
      <c r="E156">
        <f>IFERROR(VLOOKUP(D156,Capacity!$A$3:$D$532,4,), "0")</f>
        <v>17.592918560000005</v>
      </c>
      <c r="F156" s="4">
        <f>IFERROR(VLOOKUP(D156,Capacity!$A$3:$F$532,6,), "0")</f>
        <v>0.2</v>
      </c>
      <c r="G156">
        <v>114</v>
      </c>
      <c r="H156">
        <f>IFERROR(VLOOKUP(G156,Capacity!$A$3:$D$532,4,), "0")</f>
        <v>15.079644480000002</v>
      </c>
      <c r="I156" s="4">
        <f>IFERROR(VLOOKUP(G156,Capacity!$A$3:$F$532,6,), "0")</f>
        <v>0.2</v>
      </c>
      <c r="K156" t="str">
        <f>IFERROR(VLOOKUP(J156,Capacity!$A$3:$D$532,4,), "0")</f>
        <v>0</v>
      </c>
      <c r="L156" s="4" t="str">
        <f>IFERROR(VLOOKUP(J156,Capacity!$A$3:$F$532,6,), "0")</f>
        <v>0</v>
      </c>
      <c r="M156" s="5">
        <f t="shared" si="20"/>
        <v>32.672563040000007</v>
      </c>
      <c r="N156" s="5">
        <f t="shared" si="21"/>
        <v>0.4</v>
      </c>
      <c r="O156">
        <v>119</v>
      </c>
      <c r="P156">
        <f>IFERROR(VLOOKUP(O156,Capacity!$A$3:$D$532,4,), "0")</f>
        <v>361.28314899999998</v>
      </c>
      <c r="Q156" s="4">
        <f>IFERROR(VLOOKUP(O156,Capacity!$A$3:$F$532,6,), "0")</f>
        <v>1</v>
      </c>
      <c r="R156" s="5">
        <f t="shared" si="25"/>
        <v>361.28314899999998</v>
      </c>
      <c r="S156" s="5">
        <f t="shared" si="26"/>
        <v>1</v>
      </c>
      <c r="T156">
        <v>111</v>
      </c>
      <c r="U156">
        <v>2</v>
      </c>
      <c r="V156">
        <v>2</v>
      </c>
      <c r="W156">
        <v>1</v>
      </c>
      <c r="X156">
        <f t="shared" si="22"/>
        <v>9.0434782608695682E-2</v>
      </c>
      <c r="Y156">
        <f t="shared" si="23"/>
        <v>2.5999999999999996</v>
      </c>
      <c r="Z156">
        <f t="shared" si="27"/>
        <v>0.4</v>
      </c>
      <c r="AA156">
        <f t="shared" si="28"/>
        <v>2</v>
      </c>
      <c r="AC156">
        <f t="shared" si="29"/>
        <v>8.73949579831933E-2</v>
      </c>
      <c r="AD156">
        <f t="shared" si="24"/>
        <v>0.1747899159663866</v>
      </c>
    </row>
    <row r="157" spans="1:30" x14ac:dyDescent="0.25">
      <c r="A157">
        <v>122</v>
      </c>
      <c r="B157">
        <f>IFERROR(VLOOKUP(A157,Capacity!$A$3:$D$532,4,), "0")</f>
        <v>16.836972840624998</v>
      </c>
      <c r="C157" s="4">
        <f>IFERROR(VLOOKUP(A157,Capacity!$A$3:$F$532,6,), "0")</f>
        <v>0.17499999999999999</v>
      </c>
      <c r="E157" t="str">
        <f>IFERROR(VLOOKUP(D157,Capacity!$A$3:$D$532,4,), "0")</f>
        <v>0</v>
      </c>
      <c r="F157" s="4" t="str">
        <f>IFERROR(VLOOKUP(D157,Capacity!$A$3:$F$532,6,), "0")</f>
        <v>0</v>
      </c>
      <c r="H157" t="str">
        <f>IFERROR(VLOOKUP(G157,Capacity!$A$3:$D$532,4,), "0")</f>
        <v>0</v>
      </c>
      <c r="I157" s="4" t="str">
        <f>IFERROR(VLOOKUP(G157,Capacity!$A$3:$F$532,6,), "0")</f>
        <v>0</v>
      </c>
      <c r="K157" t="str">
        <f>IFERROR(VLOOKUP(J157,Capacity!$A$3:$D$532,4,), "0")</f>
        <v>0</v>
      </c>
      <c r="L157" s="4" t="str">
        <f>IFERROR(VLOOKUP(J157,Capacity!$A$3:$F$532,6,), "0")</f>
        <v>0</v>
      </c>
      <c r="M157" s="5">
        <f t="shared" si="20"/>
        <v>0</v>
      </c>
      <c r="N157" s="5">
        <f t="shared" si="21"/>
        <v>0</v>
      </c>
      <c r="O157">
        <v>121</v>
      </c>
      <c r="P157">
        <f>IFERROR(VLOOKUP(O157,Capacity!$A$3:$D$532,4,), "0")</f>
        <v>309.25052156250001</v>
      </c>
      <c r="Q157" s="4">
        <f>IFERROR(VLOOKUP(O157,Capacity!$A$3:$F$532,6,), "0")</f>
        <v>0.75</v>
      </c>
      <c r="R157" s="5">
        <f t="shared" si="25"/>
        <v>309.25052156250001</v>
      </c>
      <c r="S157" s="5">
        <f t="shared" si="26"/>
        <v>0.75</v>
      </c>
      <c r="T157">
        <v>122</v>
      </c>
      <c r="U157">
        <v>0</v>
      </c>
      <c r="V157">
        <v>0</v>
      </c>
      <c r="W157">
        <v>1</v>
      </c>
      <c r="X157">
        <f t="shared" si="22"/>
        <v>0</v>
      </c>
      <c r="Y157">
        <f t="shared" si="23"/>
        <v>0</v>
      </c>
      <c r="Z157">
        <f t="shared" si="27"/>
        <v>0</v>
      </c>
      <c r="AA157">
        <f t="shared" si="28"/>
        <v>0</v>
      </c>
      <c r="AC157">
        <f t="shared" si="29"/>
        <v>0</v>
      </c>
      <c r="AD157">
        <f t="shared" si="24"/>
        <v>0</v>
      </c>
    </row>
    <row r="158" spans="1:30" x14ac:dyDescent="0.25">
      <c r="A158">
        <v>441</v>
      </c>
      <c r="B158">
        <f>IFERROR(VLOOKUP(A158,Capacity!$A$3:$D$532,4,), "0")</f>
        <v>180.95573375999999</v>
      </c>
      <c r="C158" s="4">
        <f>IFERROR(VLOOKUP(A158,Capacity!$A$3:$F$532,6,), "0")</f>
        <v>0.6</v>
      </c>
      <c r="E158" t="str">
        <f>IFERROR(VLOOKUP(D158,Capacity!$A$3:$D$532,4,), "0")</f>
        <v>0</v>
      </c>
      <c r="F158" s="4" t="str">
        <f>IFERROR(VLOOKUP(D158,Capacity!$A$3:$F$532,6,), "0")</f>
        <v>0</v>
      </c>
      <c r="H158" t="str">
        <f>IFERROR(VLOOKUP(G158,Capacity!$A$3:$D$532,4,), "0")</f>
        <v>0</v>
      </c>
      <c r="I158" s="4" t="str">
        <f>IFERROR(VLOOKUP(G158,Capacity!$A$3:$F$532,6,), "0")</f>
        <v>0</v>
      </c>
      <c r="K158" t="str">
        <f>IFERROR(VLOOKUP(J158,Capacity!$A$3:$D$532,4,), "0")</f>
        <v>0</v>
      </c>
      <c r="L158" s="4" t="str">
        <f>IFERROR(VLOOKUP(J158,Capacity!$A$3:$F$532,6,), "0")</f>
        <v>0</v>
      </c>
      <c r="M158" s="5">
        <f t="shared" si="20"/>
        <v>0</v>
      </c>
      <c r="N158" s="5">
        <f t="shared" si="21"/>
        <v>0</v>
      </c>
      <c r="O158">
        <v>125</v>
      </c>
      <c r="P158">
        <f>IFERROR(VLOOKUP(O158,Capacity!$A$3:$D$532,4,), "0")</f>
        <v>21.647536509374998</v>
      </c>
      <c r="Q158" s="4">
        <f>IFERROR(VLOOKUP(O158,Capacity!$A$3:$F$532,6,), "0")</f>
        <v>0.17499999999999999</v>
      </c>
      <c r="R158" s="5">
        <f t="shared" si="25"/>
        <v>21.647536509374998</v>
      </c>
      <c r="S158" s="5">
        <f t="shared" si="26"/>
        <v>0.17499999999999999</v>
      </c>
      <c r="T158">
        <v>441</v>
      </c>
      <c r="U158">
        <v>0</v>
      </c>
      <c r="V158">
        <v>0</v>
      </c>
      <c r="W158">
        <v>1</v>
      </c>
      <c r="X158">
        <f t="shared" si="22"/>
        <v>0</v>
      </c>
      <c r="Y158">
        <f t="shared" si="23"/>
        <v>0</v>
      </c>
      <c r="Z158">
        <f t="shared" si="27"/>
        <v>0</v>
      </c>
      <c r="AA158">
        <f t="shared" si="28"/>
        <v>0</v>
      </c>
      <c r="AC158">
        <f t="shared" si="29"/>
        <v>0</v>
      </c>
      <c r="AD158">
        <f t="shared" si="24"/>
        <v>0</v>
      </c>
    </row>
    <row r="159" spans="1:30" x14ac:dyDescent="0.25">
      <c r="A159">
        <v>437</v>
      </c>
      <c r="B159">
        <f>IFERROR(VLOOKUP(A159,Capacity!$A$3:$D$532,4,), "0")</f>
        <v>90.477866879999993</v>
      </c>
      <c r="C159" s="4">
        <f>IFERROR(VLOOKUP(A159,Capacity!$A$3:$F$532,6,), "0")</f>
        <v>0.6</v>
      </c>
      <c r="E159" t="str">
        <f>IFERROR(VLOOKUP(D159,Capacity!$A$3:$D$532,4,), "0")</f>
        <v>0</v>
      </c>
      <c r="F159" s="4" t="str">
        <f>IFERROR(VLOOKUP(D159,Capacity!$A$3:$F$532,6,), "0")</f>
        <v>0</v>
      </c>
      <c r="H159" t="str">
        <f>IFERROR(VLOOKUP(G159,Capacity!$A$3:$D$532,4,), "0")</f>
        <v>0</v>
      </c>
      <c r="I159" s="4" t="str">
        <f>IFERROR(VLOOKUP(G159,Capacity!$A$3:$F$532,6,), "0")</f>
        <v>0</v>
      </c>
      <c r="K159" t="str">
        <f>IFERROR(VLOOKUP(J159,Capacity!$A$3:$D$532,4,), "0")</f>
        <v>0</v>
      </c>
      <c r="L159" s="4" t="str">
        <f>IFERROR(VLOOKUP(J159,Capacity!$A$3:$F$532,6,), "0")</f>
        <v>0</v>
      </c>
      <c r="M159" s="5">
        <f t="shared" si="20"/>
        <v>0</v>
      </c>
      <c r="N159" s="5">
        <f t="shared" si="21"/>
        <v>0</v>
      </c>
      <c r="O159">
        <v>125</v>
      </c>
      <c r="P159">
        <f>IFERROR(VLOOKUP(O159,Capacity!$A$3:$D$532,4,), "0")</f>
        <v>21.647536509374998</v>
      </c>
      <c r="Q159" s="4">
        <f>IFERROR(VLOOKUP(O159,Capacity!$A$3:$F$532,6,), "0")</f>
        <v>0.17499999999999999</v>
      </c>
      <c r="R159" s="5">
        <f t="shared" si="25"/>
        <v>21.647536509374998</v>
      </c>
      <c r="S159" s="5">
        <f t="shared" si="26"/>
        <v>0.17499999999999999</v>
      </c>
      <c r="T159">
        <v>437</v>
      </c>
      <c r="U159">
        <v>0</v>
      </c>
      <c r="V159">
        <v>0</v>
      </c>
      <c r="W159">
        <v>1</v>
      </c>
      <c r="X159">
        <f t="shared" si="22"/>
        <v>0</v>
      </c>
      <c r="Y159">
        <f t="shared" si="23"/>
        <v>0</v>
      </c>
      <c r="Z159">
        <f t="shared" si="27"/>
        <v>0</v>
      </c>
      <c r="AA159">
        <f t="shared" si="28"/>
        <v>0</v>
      </c>
      <c r="AC159">
        <f t="shared" si="29"/>
        <v>0</v>
      </c>
      <c r="AD159">
        <f t="shared" si="24"/>
        <v>0</v>
      </c>
    </row>
    <row r="160" spans="1:30" x14ac:dyDescent="0.25">
      <c r="A160">
        <v>424</v>
      </c>
      <c r="B160">
        <f>IFERROR(VLOOKUP(A160,Capacity!$A$3:$D$532,4,), "0")</f>
        <v>7.6969018699999987</v>
      </c>
      <c r="C160" s="4">
        <f>IFERROR(VLOOKUP(A160,Capacity!$A$3:$F$532,6,), "0")</f>
        <v>0.17499999999999999</v>
      </c>
      <c r="E160" t="str">
        <f>IFERROR(VLOOKUP(D160,Capacity!$A$3:$D$532,4,), "0")</f>
        <v>0</v>
      </c>
      <c r="F160" s="4" t="str">
        <f>IFERROR(VLOOKUP(D160,Capacity!$A$3:$F$532,6,), "0")</f>
        <v>0</v>
      </c>
      <c r="H160" t="str">
        <f>IFERROR(VLOOKUP(G160,Capacity!$A$3:$D$532,4,), "0")</f>
        <v>0</v>
      </c>
      <c r="I160" s="4" t="str">
        <f>IFERROR(VLOOKUP(G160,Capacity!$A$3:$F$532,6,), "0")</f>
        <v>0</v>
      </c>
      <c r="K160" t="str">
        <f>IFERROR(VLOOKUP(J160,Capacity!$A$3:$D$532,4,), "0")</f>
        <v>0</v>
      </c>
      <c r="L160" s="4" t="str">
        <f>IFERROR(VLOOKUP(J160,Capacity!$A$3:$F$532,6,), "0")</f>
        <v>0</v>
      </c>
      <c r="M160" s="5">
        <f t="shared" si="20"/>
        <v>0</v>
      </c>
      <c r="N160" s="5">
        <f t="shared" si="21"/>
        <v>0</v>
      </c>
      <c r="O160">
        <v>93</v>
      </c>
      <c r="P160">
        <f>IFERROR(VLOOKUP(O160,Capacity!$A$3:$D$532,4,), "0")</f>
        <v>25.132740800000008</v>
      </c>
      <c r="Q160" s="4">
        <f>IFERROR(VLOOKUP(O160,Capacity!$A$3:$F$532,6,), "0")</f>
        <v>0.2</v>
      </c>
      <c r="R160" s="5">
        <f t="shared" si="25"/>
        <v>25.132740800000008</v>
      </c>
      <c r="S160" s="5">
        <f t="shared" si="26"/>
        <v>0.2</v>
      </c>
      <c r="T160">
        <v>424</v>
      </c>
      <c r="U160">
        <v>0</v>
      </c>
      <c r="V160">
        <v>0</v>
      </c>
      <c r="W160">
        <v>1</v>
      </c>
      <c r="X160">
        <f t="shared" si="22"/>
        <v>0</v>
      </c>
      <c r="Y160">
        <f t="shared" si="23"/>
        <v>0</v>
      </c>
      <c r="Z160">
        <f t="shared" si="27"/>
        <v>0</v>
      </c>
      <c r="AA160">
        <f t="shared" si="28"/>
        <v>0</v>
      </c>
      <c r="AC160">
        <f t="shared" si="29"/>
        <v>0</v>
      </c>
      <c r="AD160">
        <f t="shared" si="24"/>
        <v>0</v>
      </c>
    </row>
    <row r="161" spans="1:30" x14ac:dyDescent="0.25">
      <c r="A161">
        <v>94</v>
      </c>
      <c r="B161">
        <f>IFERROR(VLOOKUP(A161,Capacity!$A$3:$D$532,4,), "0")</f>
        <v>7.6969018699999987</v>
      </c>
      <c r="C161" s="4">
        <f>IFERROR(VLOOKUP(A161,Capacity!$A$3:$F$532,6,), "0")</f>
        <v>0.17499999999999999</v>
      </c>
      <c r="E161" t="str">
        <f>IFERROR(VLOOKUP(D161,Capacity!$A$3:$D$532,4,), "0")</f>
        <v>0</v>
      </c>
      <c r="F161" s="4" t="str">
        <f>IFERROR(VLOOKUP(D161,Capacity!$A$3:$F$532,6,), "0")</f>
        <v>0</v>
      </c>
      <c r="H161" t="str">
        <f>IFERROR(VLOOKUP(G161,Capacity!$A$3:$D$532,4,), "0")</f>
        <v>0</v>
      </c>
      <c r="I161" s="4" t="str">
        <f>IFERROR(VLOOKUP(G161,Capacity!$A$3:$F$532,6,), "0")</f>
        <v>0</v>
      </c>
      <c r="K161" t="str">
        <f>IFERROR(VLOOKUP(J161,Capacity!$A$3:$D$532,4,), "0")</f>
        <v>0</v>
      </c>
      <c r="L161" s="4" t="str">
        <f>IFERROR(VLOOKUP(J161,Capacity!$A$3:$F$532,6,), "0")</f>
        <v>0</v>
      </c>
      <c r="M161" s="5">
        <f t="shared" si="20"/>
        <v>0</v>
      </c>
      <c r="N161" s="5">
        <f t="shared" si="21"/>
        <v>0</v>
      </c>
      <c r="O161">
        <v>93</v>
      </c>
      <c r="P161">
        <f>IFERROR(VLOOKUP(O161,Capacity!$A$3:$D$532,4,), "0")</f>
        <v>25.132740800000008</v>
      </c>
      <c r="Q161" s="4">
        <f>IFERROR(VLOOKUP(O161,Capacity!$A$3:$F$532,6,), "0")</f>
        <v>0.2</v>
      </c>
      <c r="R161" s="5">
        <f t="shared" si="25"/>
        <v>25.132740800000008</v>
      </c>
      <c r="S161" s="5">
        <f t="shared" si="26"/>
        <v>0.2</v>
      </c>
      <c r="T161">
        <v>94</v>
      </c>
      <c r="U161">
        <v>0</v>
      </c>
      <c r="V161">
        <v>0</v>
      </c>
      <c r="W161">
        <v>1</v>
      </c>
      <c r="X161">
        <f t="shared" si="22"/>
        <v>0</v>
      </c>
      <c r="Y161">
        <f t="shared" si="23"/>
        <v>0</v>
      </c>
      <c r="Z161">
        <f t="shared" si="27"/>
        <v>0</v>
      </c>
      <c r="AA161">
        <f t="shared" si="28"/>
        <v>0</v>
      </c>
      <c r="AC161">
        <f t="shared" si="29"/>
        <v>0</v>
      </c>
      <c r="AD161">
        <f t="shared" si="24"/>
        <v>0</v>
      </c>
    </row>
    <row r="162" spans="1:30" x14ac:dyDescent="0.25">
      <c r="A162">
        <v>53</v>
      </c>
      <c r="B162">
        <f>IFERROR(VLOOKUP(A162,Capacity!$A$3:$D$532,4,), "0")</f>
        <v>28.274333400000007</v>
      </c>
      <c r="C162" s="4">
        <f>IFERROR(VLOOKUP(A162,Capacity!$A$3:$F$532,6,), "0")</f>
        <v>0.2</v>
      </c>
      <c r="D162">
        <v>54</v>
      </c>
      <c r="E162">
        <f>IFERROR(VLOOKUP(D162,Capacity!$A$3:$D$532,4,), "0")</f>
        <v>7.6969018699999987</v>
      </c>
      <c r="F162" s="4">
        <f>IFERROR(VLOOKUP(D162,Capacity!$A$3:$F$532,6,), "0")</f>
        <v>0.17499999999999999</v>
      </c>
      <c r="G162">
        <v>18</v>
      </c>
      <c r="H162">
        <f>IFERROR(VLOOKUP(G162,Capacity!$A$3:$D$532,4,), "0")</f>
        <v>32.672563040000007</v>
      </c>
      <c r="I162" s="4">
        <f>IFERROR(VLOOKUP(G162,Capacity!$A$3:$F$532,6,), "0")</f>
        <v>0.2</v>
      </c>
      <c r="K162" t="str">
        <f>IFERROR(VLOOKUP(J162,Capacity!$A$3:$D$532,4,), "0")</f>
        <v>0</v>
      </c>
      <c r="L162" s="4" t="str">
        <f>IFERROR(VLOOKUP(J162,Capacity!$A$3:$F$532,6,), "0")</f>
        <v>0</v>
      </c>
      <c r="M162" s="5">
        <f t="shared" si="20"/>
        <v>40.369464910000005</v>
      </c>
      <c r="N162" s="5">
        <f t="shared" si="21"/>
        <v>0.375</v>
      </c>
      <c r="O162">
        <v>93</v>
      </c>
      <c r="P162">
        <f>IFERROR(VLOOKUP(O162,Capacity!$A$3:$D$532,4,), "0")</f>
        <v>25.132740800000008</v>
      </c>
      <c r="Q162" s="4">
        <f>IFERROR(VLOOKUP(O162,Capacity!$A$3:$F$532,6,), "0")</f>
        <v>0.2</v>
      </c>
      <c r="R162" s="5">
        <f t="shared" si="25"/>
        <v>25.132740800000008</v>
      </c>
      <c r="S162" s="5">
        <f t="shared" si="26"/>
        <v>0.2</v>
      </c>
      <c r="T162">
        <v>53</v>
      </c>
      <c r="U162">
        <v>2</v>
      </c>
      <c r="V162">
        <v>2</v>
      </c>
      <c r="W162">
        <v>1</v>
      </c>
      <c r="X162">
        <f t="shared" si="22"/>
        <v>1.6062499999999997</v>
      </c>
      <c r="Y162">
        <f t="shared" si="23"/>
        <v>1.4277777777777776</v>
      </c>
      <c r="Z162">
        <f t="shared" si="27"/>
        <v>1.875</v>
      </c>
      <c r="AA162">
        <f t="shared" si="28"/>
        <v>1.875</v>
      </c>
      <c r="AC162">
        <f t="shared" si="29"/>
        <v>0.75588235294117645</v>
      </c>
      <c r="AD162">
        <f t="shared" si="24"/>
        <v>1.5117647058823529</v>
      </c>
    </row>
    <row r="163" spans="1:30" x14ac:dyDescent="0.25">
      <c r="A163">
        <v>123</v>
      </c>
      <c r="B163">
        <f>IFERROR(VLOOKUP(A163,Capacity!$A$3:$D$532,4,), "0")</f>
        <v>7.6969018699999987</v>
      </c>
      <c r="C163" s="4">
        <f>IFERROR(VLOOKUP(A163,Capacity!$A$3:$F$532,6,), "0")</f>
        <v>0.17499999999999999</v>
      </c>
      <c r="D163">
        <v>438</v>
      </c>
      <c r="E163">
        <f>IFERROR(VLOOKUP(D163,Capacity!$A$3:$D$532,4,), "0")</f>
        <v>124.40706696000001</v>
      </c>
      <c r="F163" s="4">
        <f>IFERROR(VLOOKUP(D163,Capacity!$A$3:$F$532,6,), "0")</f>
        <v>0.6</v>
      </c>
      <c r="G163">
        <v>98</v>
      </c>
      <c r="H163">
        <f>IFERROR(VLOOKUP(G163,Capacity!$A$3:$D$532,4,), "0")</f>
        <v>25.446900060000001</v>
      </c>
      <c r="I163" s="4">
        <f>IFERROR(VLOOKUP(G163,Capacity!$A$3:$F$532,6,), "0")</f>
        <v>0.3</v>
      </c>
      <c r="K163" t="str">
        <f>IFERROR(VLOOKUP(J163,Capacity!$A$3:$D$532,4,), "0")</f>
        <v>0</v>
      </c>
      <c r="L163" s="4" t="str">
        <f>IFERROR(VLOOKUP(J163,Capacity!$A$3:$F$532,6,), "0")</f>
        <v>0</v>
      </c>
      <c r="M163" s="5">
        <f t="shared" si="20"/>
        <v>149.85396702</v>
      </c>
      <c r="N163" s="5">
        <f t="shared" si="21"/>
        <v>0.89999999999999991</v>
      </c>
      <c r="O163">
        <v>130</v>
      </c>
      <c r="P163">
        <f>IFERROR(VLOOKUP(O163,Capacity!$A$3:$D$532,4,), "0")</f>
        <v>133.5176855</v>
      </c>
      <c r="Q163" s="4">
        <f>IFERROR(VLOOKUP(O163,Capacity!$A$3:$F$532,6,), "0")</f>
        <v>0.5</v>
      </c>
      <c r="R163" s="5">
        <f t="shared" si="25"/>
        <v>133.5176855</v>
      </c>
      <c r="S163" s="5">
        <f t="shared" si="26"/>
        <v>0.5</v>
      </c>
      <c r="T163">
        <v>123</v>
      </c>
      <c r="U163">
        <v>2</v>
      </c>
      <c r="V163">
        <v>2</v>
      </c>
      <c r="W163">
        <v>1</v>
      </c>
      <c r="X163">
        <f t="shared" si="22"/>
        <v>1.1223529411764706</v>
      </c>
      <c r="Y163">
        <f t="shared" si="23"/>
        <v>19.469387755102044</v>
      </c>
      <c r="Z163">
        <f t="shared" si="27"/>
        <v>1.7999999999999998</v>
      </c>
      <c r="AA163">
        <f t="shared" si="28"/>
        <v>5.1428571428571423</v>
      </c>
      <c r="AC163">
        <f t="shared" si="29"/>
        <v>1.061179087875417</v>
      </c>
      <c r="AD163">
        <f t="shared" si="24"/>
        <v>2.1223581757508341</v>
      </c>
    </row>
    <row r="164" spans="1:30" x14ac:dyDescent="0.25">
      <c r="A164">
        <v>95</v>
      </c>
      <c r="B164">
        <f>IFERROR(VLOOKUP(A164,Capacity!$A$3:$D$532,4,), "0")</f>
        <v>30.886567646900005</v>
      </c>
      <c r="C164" s="4">
        <f>IFERROR(VLOOKUP(A164,Capacity!$A$3:$F$532,6,), "0")</f>
        <v>0.26500000000000001</v>
      </c>
      <c r="D164">
        <v>426</v>
      </c>
      <c r="E164">
        <f>IFERROR(VLOOKUP(D164,Capacity!$A$3:$D$532,4,), "0")</f>
        <v>7.6969018699999987</v>
      </c>
      <c r="F164" s="4">
        <f>IFERROR(VLOOKUP(D164,Capacity!$A$3:$F$532,6,), "0")</f>
        <v>0.17499999999999999</v>
      </c>
      <c r="G164">
        <v>96</v>
      </c>
      <c r="H164">
        <f>IFERROR(VLOOKUP(G164,Capacity!$A$3:$D$532,4,), "0")</f>
        <v>7.6969018699999987</v>
      </c>
      <c r="I164" s="4">
        <f>IFERROR(VLOOKUP(G164,Capacity!$A$3:$F$532,6,), "0")</f>
        <v>0.17499999999999999</v>
      </c>
      <c r="J164">
        <v>55</v>
      </c>
      <c r="K164">
        <f>IFERROR(VLOOKUP(J164,Capacity!$A$3:$D$532,4,), "0")</f>
        <v>21.647536509374998</v>
      </c>
      <c r="L164" s="4">
        <f>IFERROR(VLOOKUP(J164,Capacity!$A$3:$F$532,6,), "0")</f>
        <v>0.17499999999999999</v>
      </c>
      <c r="M164" s="5">
        <f t="shared" si="20"/>
        <v>37.041340249374997</v>
      </c>
      <c r="N164" s="5">
        <f t="shared" si="21"/>
        <v>0.52499999999999991</v>
      </c>
      <c r="O164">
        <v>130</v>
      </c>
      <c r="P164">
        <f>IFERROR(VLOOKUP(O164,Capacity!$A$3:$D$532,4,), "0")</f>
        <v>133.5176855</v>
      </c>
      <c r="Q164" s="4">
        <f>IFERROR(VLOOKUP(O164,Capacity!$A$3:$F$532,6,), "0")</f>
        <v>0.5</v>
      </c>
      <c r="R164" s="5">
        <f t="shared" si="25"/>
        <v>133.5176855</v>
      </c>
      <c r="S164" s="5">
        <f t="shared" si="26"/>
        <v>0.5</v>
      </c>
      <c r="T164">
        <v>95</v>
      </c>
      <c r="U164">
        <v>3</v>
      </c>
      <c r="V164">
        <v>3</v>
      </c>
      <c r="W164">
        <v>1</v>
      </c>
      <c r="X164">
        <f t="shared" si="22"/>
        <v>0.27742647058823527</v>
      </c>
      <c r="Y164">
        <f t="shared" si="23"/>
        <v>1.199270202919188</v>
      </c>
      <c r="Z164">
        <f t="shared" si="27"/>
        <v>1.0499999999999998</v>
      </c>
      <c r="AA164">
        <f t="shared" si="28"/>
        <v>1.9811320754716977</v>
      </c>
      <c r="AC164">
        <f t="shared" si="29"/>
        <v>0.22530645978043815</v>
      </c>
      <c r="AD164">
        <f t="shared" si="24"/>
        <v>0.67591937934131441</v>
      </c>
    </row>
    <row r="165" spans="1:30" x14ac:dyDescent="0.25">
      <c r="A165">
        <v>378</v>
      </c>
      <c r="B165">
        <f>IFERROR(VLOOKUP(A165,Capacity!$A$3:$D$532,4,), "0")</f>
        <v>7.6969018699999987</v>
      </c>
      <c r="C165" s="4">
        <f>IFERROR(VLOOKUP(A165,Capacity!$A$3:$F$532,6,), "0")</f>
        <v>0.17499999999999999</v>
      </c>
      <c r="E165" t="str">
        <f>IFERROR(VLOOKUP(D165,Capacity!$A$3:$D$532,4,), "0")</f>
        <v>0</v>
      </c>
      <c r="F165" s="4" t="str">
        <f>IFERROR(VLOOKUP(D165,Capacity!$A$3:$F$532,6,), "0")</f>
        <v>0</v>
      </c>
      <c r="H165" t="str">
        <f>IFERROR(VLOOKUP(G165,Capacity!$A$3:$D$532,4,), "0")</f>
        <v>0</v>
      </c>
      <c r="I165" s="4" t="str">
        <f>IFERROR(VLOOKUP(G165,Capacity!$A$3:$F$532,6,), "0")</f>
        <v>0</v>
      </c>
      <c r="K165" t="str">
        <f>IFERROR(VLOOKUP(J165,Capacity!$A$3:$D$532,4,), "0")</f>
        <v>0</v>
      </c>
      <c r="L165" s="4" t="str">
        <f>IFERROR(VLOOKUP(J165,Capacity!$A$3:$F$532,6,), "0")</f>
        <v>0</v>
      </c>
      <c r="M165" s="5">
        <f t="shared" si="20"/>
        <v>0</v>
      </c>
      <c r="N165" s="5">
        <f t="shared" si="21"/>
        <v>0</v>
      </c>
      <c r="O165">
        <v>52</v>
      </c>
      <c r="P165">
        <f>IFERROR(VLOOKUP(O165,Capacity!$A$3:$D$532,4,), "0")</f>
        <v>49.639126575375009</v>
      </c>
      <c r="Q165" s="4">
        <f>IFERROR(VLOOKUP(O165,Capacity!$A$3:$F$532,6,), "0")</f>
        <v>0.26500000000000001</v>
      </c>
      <c r="R165" s="5">
        <f t="shared" si="25"/>
        <v>49.639126575375009</v>
      </c>
      <c r="S165" s="5">
        <f t="shared" si="26"/>
        <v>0.26500000000000001</v>
      </c>
      <c r="T165">
        <v>378</v>
      </c>
      <c r="U165">
        <v>0</v>
      </c>
      <c r="V165">
        <v>0</v>
      </c>
      <c r="W165">
        <v>1</v>
      </c>
      <c r="X165">
        <f t="shared" si="22"/>
        <v>0</v>
      </c>
      <c r="Y165">
        <f t="shared" si="23"/>
        <v>0</v>
      </c>
      <c r="Z165">
        <f t="shared" si="27"/>
        <v>0</v>
      </c>
      <c r="AA165">
        <f t="shared" si="28"/>
        <v>0</v>
      </c>
      <c r="AC165">
        <f t="shared" si="29"/>
        <v>0</v>
      </c>
      <c r="AD165">
        <f t="shared" si="24"/>
        <v>0</v>
      </c>
    </row>
    <row r="166" spans="1:30" x14ac:dyDescent="0.25">
      <c r="A166">
        <v>19</v>
      </c>
      <c r="B166">
        <f>IFERROR(VLOOKUP(A166,Capacity!$A$3:$D$532,4,), "0")</f>
        <v>57.36076848710001</v>
      </c>
      <c r="C166" s="4">
        <f>IFERROR(VLOOKUP(A166,Capacity!$A$3:$F$532,6,), "0")</f>
        <v>0.26500000000000001</v>
      </c>
      <c r="D166">
        <v>361</v>
      </c>
      <c r="E166">
        <f>IFERROR(VLOOKUP(D166,Capacity!$A$3:$D$532,4,), "0")</f>
        <v>3.8484509349999994</v>
      </c>
      <c r="F166" s="4">
        <f>IFERROR(VLOOKUP(D166,Capacity!$A$3:$F$532,6,), "0")</f>
        <v>0.17499999999999999</v>
      </c>
      <c r="G166">
        <v>5</v>
      </c>
      <c r="H166">
        <f>IFERROR(VLOOKUP(G166,Capacity!$A$3:$D$532,4,), "0")</f>
        <v>39.711301260300004</v>
      </c>
      <c r="I166" s="4">
        <f>IFERROR(VLOOKUP(G166,Capacity!$A$3:$F$532,6,), "0")</f>
        <v>0.26500000000000001</v>
      </c>
      <c r="K166" t="str">
        <f>IFERROR(VLOOKUP(J166,Capacity!$A$3:$D$532,4,), "0")</f>
        <v>0</v>
      </c>
      <c r="L166" s="4" t="str">
        <f>IFERROR(VLOOKUP(J166,Capacity!$A$3:$F$532,6,), "0")</f>
        <v>0</v>
      </c>
      <c r="M166" s="5">
        <f t="shared" si="20"/>
        <v>43.559752195300007</v>
      </c>
      <c r="N166" s="5">
        <f t="shared" si="21"/>
        <v>0.44</v>
      </c>
      <c r="O166">
        <v>52</v>
      </c>
      <c r="P166">
        <f>IFERROR(VLOOKUP(O166,Capacity!$A$3:$D$532,4,), "0")</f>
        <v>49.639126575375009</v>
      </c>
      <c r="Q166" s="4">
        <f>IFERROR(VLOOKUP(O166,Capacity!$A$3:$F$532,6,), "0")</f>
        <v>0.26500000000000001</v>
      </c>
      <c r="R166" s="5">
        <f t="shared" si="25"/>
        <v>49.639126575375009</v>
      </c>
      <c r="S166" s="5">
        <f t="shared" si="26"/>
        <v>0.26500000000000001</v>
      </c>
      <c r="T166">
        <v>19</v>
      </c>
      <c r="U166">
        <v>2</v>
      </c>
      <c r="V166">
        <v>2</v>
      </c>
      <c r="W166">
        <v>1</v>
      </c>
      <c r="X166">
        <f t="shared" si="22"/>
        <v>0.8775285787745738</v>
      </c>
      <c r="Y166">
        <f t="shared" si="23"/>
        <v>0.75939973163184271</v>
      </c>
      <c r="Z166">
        <f t="shared" si="27"/>
        <v>1.6603773584905659</v>
      </c>
      <c r="AA166">
        <f t="shared" si="28"/>
        <v>1.6603773584905659</v>
      </c>
      <c r="AC166">
        <f t="shared" si="29"/>
        <v>0.40710088706036929</v>
      </c>
      <c r="AD166">
        <f t="shared" si="24"/>
        <v>0.81420177412073858</v>
      </c>
    </row>
    <row r="167" spans="1:30" x14ac:dyDescent="0.25">
      <c r="A167">
        <v>530</v>
      </c>
      <c r="B167">
        <f>IFERROR(VLOOKUP(A167,Capacity!$A$3:$D$532,4,), "0")</f>
        <v>7.2158455031249993</v>
      </c>
      <c r="C167" s="4">
        <f>IFERROR(VLOOKUP(A167,Capacity!$A$3:$F$532,6,), "0")</f>
        <v>0.17499999999999999</v>
      </c>
      <c r="E167" t="str">
        <f>IFERROR(VLOOKUP(D167,Capacity!$A$3:$D$532,4,), "0")</f>
        <v>0</v>
      </c>
      <c r="F167" s="4" t="str">
        <f>IFERROR(VLOOKUP(D167,Capacity!$A$3:$F$532,6,), "0")</f>
        <v>0</v>
      </c>
      <c r="H167" t="str">
        <f>IFERROR(VLOOKUP(G167,Capacity!$A$3:$D$532,4,), "0")</f>
        <v>0</v>
      </c>
      <c r="I167" s="4" t="str">
        <f>IFERROR(VLOOKUP(G167,Capacity!$A$3:$F$532,6,), "0")</f>
        <v>0</v>
      </c>
      <c r="K167" t="str">
        <f>IFERROR(VLOOKUP(J167,Capacity!$A$3:$D$532,4,), "0")</f>
        <v>0</v>
      </c>
      <c r="L167" s="4" t="str">
        <f>IFERROR(VLOOKUP(J167,Capacity!$A$3:$F$532,6,), "0")</f>
        <v>0</v>
      </c>
      <c r="M167" s="5">
        <f t="shared" si="20"/>
        <v>0</v>
      </c>
      <c r="N167" s="5">
        <f t="shared" si="21"/>
        <v>0</v>
      </c>
      <c r="O167">
        <v>3</v>
      </c>
      <c r="P167">
        <f>IFERROR(VLOOKUP(O167,Capacity!$A$3:$D$532,4,), "0")</f>
        <v>24.504422280000004</v>
      </c>
      <c r="Q167" s="4">
        <f>IFERROR(VLOOKUP(O167,Capacity!$A$3:$F$532,6,), "0")</f>
        <v>0.2</v>
      </c>
      <c r="R167" s="5">
        <f t="shared" si="25"/>
        <v>24.504422280000004</v>
      </c>
      <c r="S167" s="5">
        <f t="shared" si="26"/>
        <v>0.2</v>
      </c>
      <c r="T167">
        <v>530</v>
      </c>
      <c r="U167">
        <v>0</v>
      </c>
      <c r="V167">
        <v>0</v>
      </c>
      <c r="W167">
        <v>1</v>
      </c>
      <c r="X167">
        <f t="shared" si="22"/>
        <v>0</v>
      </c>
      <c r="Y167">
        <f t="shared" si="23"/>
        <v>0</v>
      </c>
      <c r="Z167">
        <f t="shared" si="27"/>
        <v>0</v>
      </c>
      <c r="AA167">
        <f t="shared" si="28"/>
        <v>0</v>
      </c>
      <c r="AC167">
        <f t="shared" si="29"/>
        <v>0</v>
      </c>
      <c r="AD167">
        <f t="shared" si="24"/>
        <v>0</v>
      </c>
    </row>
    <row r="168" spans="1:30" x14ac:dyDescent="0.25">
      <c r="A168">
        <v>245</v>
      </c>
      <c r="B168">
        <f>IFERROR(VLOOKUP(A168,Capacity!$A$3:$D$532,4,), "0")</f>
        <v>11.545352804999998</v>
      </c>
      <c r="C168" s="4">
        <f>IFERROR(VLOOKUP(A168,Capacity!$A$3:$F$532,6,), "0")</f>
        <v>0.17499999999999999</v>
      </c>
      <c r="E168" t="str">
        <f>IFERROR(VLOOKUP(D168,Capacity!$A$3:$D$532,4,), "0")</f>
        <v>0</v>
      </c>
      <c r="F168" s="4" t="str">
        <f>IFERROR(VLOOKUP(D168,Capacity!$A$3:$F$532,6,), "0")</f>
        <v>0</v>
      </c>
      <c r="H168" t="str">
        <f>IFERROR(VLOOKUP(G168,Capacity!$A$3:$D$532,4,), "0")</f>
        <v>0</v>
      </c>
      <c r="I168" s="4" t="str">
        <f>IFERROR(VLOOKUP(G168,Capacity!$A$3:$F$532,6,), "0")</f>
        <v>0</v>
      </c>
      <c r="K168" t="str">
        <f>IFERROR(VLOOKUP(J168,Capacity!$A$3:$D$532,4,), "0")</f>
        <v>0</v>
      </c>
      <c r="L168" s="4" t="str">
        <f>IFERROR(VLOOKUP(J168,Capacity!$A$3:$F$532,6,), "0")</f>
        <v>0</v>
      </c>
      <c r="M168" s="5">
        <f t="shared" si="20"/>
        <v>0</v>
      </c>
      <c r="N168" s="5">
        <f t="shared" si="21"/>
        <v>0</v>
      </c>
      <c r="O168">
        <v>3</v>
      </c>
      <c r="P168">
        <f>IFERROR(VLOOKUP(O168,Capacity!$A$3:$D$532,4,), "0")</f>
        <v>24.504422280000004</v>
      </c>
      <c r="Q168" s="4">
        <f>IFERROR(VLOOKUP(O168,Capacity!$A$3:$F$532,6,), "0")</f>
        <v>0.2</v>
      </c>
      <c r="R168" s="5">
        <f t="shared" si="25"/>
        <v>24.504422280000004</v>
      </c>
      <c r="S168" s="5">
        <f t="shared" si="26"/>
        <v>0.2</v>
      </c>
      <c r="T168">
        <v>245</v>
      </c>
      <c r="U168">
        <v>0</v>
      </c>
      <c r="V168">
        <v>0</v>
      </c>
      <c r="W168">
        <v>1</v>
      </c>
      <c r="X168">
        <f t="shared" si="22"/>
        <v>0</v>
      </c>
      <c r="Y168">
        <f t="shared" si="23"/>
        <v>0</v>
      </c>
      <c r="Z168">
        <f t="shared" si="27"/>
        <v>0</v>
      </c>
      <c r="AA168">
        <f t="shared" si="28"/>
        <v>0</v>
      </c>
      <c r="AC168">
        <f t="shared" si="29"/>
        <v>0</v>
      </c>
      <c r="AD168">
        <f t="shared" si="24"/>
        <v>0</v>
      </c>
    </row>
    <row r="169" spans="1:30" x14ac:dyDescent="0.25">
      <c r="A169">
        <v>4</v>
      </c>
      <c r="B169">
        <f>IFERROR(VLOOKUP(A169,Capacity!$A$3:$D$532,4,), "0")</f>
        <v>7.2158455031249993</v>
      </c>
      <c r="C169" s="4">
        <f>IFERROR(VLOOKUP(A169,Capacity!$A$3:$F$532,6,), "0")</f>
        <v>0.17499999999999999</v>
      </c>
      <c r="D169">
        <v>244</v>
      </c>
      <c r="E169">
        <f>IFERROR(VLOOKUP(D169,Capacity!$A$3:$D$532,4,), "0")</f>
        <v>11.545352804999998</v>
      </c>
      <c r="F169" s="4">
        <f>IFERROR(VLOOKUP(D169,Capacity!$A$3:$F$532,6,), "0")</f>
        <v>0.17499999999999999</v>
      </c>
      <c r="H169" t="str">
        <f>IFERROR(VLOOKUP(G169,Capacity!$A$3:$D$532,4,), "0")</f>
        <v>0</v>
      </c>
      <c r="I169" s="4" t="str">
        <f>IFERROR(VLOOKUP(G169,Capacity!$A$3:$F$532,6,), "0")</f>
        <v>0</v>
      </c>
      <c r="K169" t="str">
        <f>IFERROR(VLOOKUP(J169,Capacity!$A$3:$D$532,4,), "0")</f>
        <v>0</v>
      </c>
      <c r="L169" s="4" t="str">
        <f>IFERROR(VLOOKUP(J169,Capacity!$A$3:$F$532,6,), "0")</f>
        <v>0</v>
      </c>
      <c r="M169" s="5">
        <f t="shared" si="20"/>
        <v>11.545352804999998</v>
      </c>
      <c r="N169" s="5">
        <f t="shared" si="21"/>
        <v>0.17499999999999999</v>
      </c>
      <c r="O169">
        <v>3</v>
      </c>
      <c r="P169">
        <f>IFERROR(VLOOKUP(O169,Capacity!$A$3:$D$532,4,), "0")</f>
        <v>24.504422280000004</v>
      </c>
      <c r="Q169" s="4">
        <f>IFERROR(VLOOKUP(O169,Capacity!$A$3:$F$532,6,), "0")</f>
        <v>0.2</v>
      </c>
      <c r="R169" s="5">
        <f t="shared" si="25"/>
        <v>24.504422280000004</v>
      </c>
      <c r="S169" s="5">
        <f t="shared" si="26"/>
        <v>0.2</v>
      </c>
      <c r="T169">
        <v>4</v>
      </c>
      <c r="U169">
        <v>1</v>
      </c>
      <c r="V169">
        <v>1</v>
      </c>
      <c r="W169">
        <v>1</v>
      </c>
      <c r="X169">
        <f t="shared" si="22"/>
        <v>0.47115384615384603</v>
      </c>
      <c r="Y169">
        <f t="shared" si="23"/>
        <v>1.5999999999999999</v>
      </c>
      <c r="Z169">
        <f t="shared" si="27"/>
        <v>0.87499999999999989</v>
      </c>
      <c r="AA169">
        <f t="shared" si="28"/>
        <v>1</v>
      </c>
      <c r="AC169">
        <f t="shared" si="29"/>
        <v>0.36397400185701012</v>
      </c>
      <c r="AD169">
        <f t="shared" si="24"/>
        <v>0.36397400185701012</v>
      </c>
    </row>
    <row r="170" spans="1:30" x14ac:dyDescent="0.25">
      <c r="A170">
        <v>362</v>
      </c>
      <c r="B170">
        <f>IFERROR(VLOOKUP(A170,Capacity!$A$3:$D$532,4,), "0")</f>
        <v>7.6969018699999987</v>
      </c>
      <c r="C170" s="4">
        <f>IFERROR(VLOOKUP(A170,Capacity!$A$3:$F$532,6,), "0")</f>
        <v>0.17499999999999999</v>
      </c>
      <c r="E170" t="str">
        <f>IFERROR(VLOOKUP(D170,Capacity!$A$3:$D$532,4,), "0")</f>
        <v>0</v>
      </c>
      <c r="F170" s="4" t="str">
        <f>IFERROR(VLOOKUP(D170,Capacity!$A$3:$F$532,6,), "0")</f>
        <v>0</v>
      </c>
      <c r="H170" t="str">
        <f>IFERROR(VLOOKUP(G170,Capacity!$A$3:$D$532,4,), "0")</f>
        <v>0</v>
      </c>
      <c r="I170" s="4" t="str">
        <f>IFERROR(VLOOKUP(G170,Capacity!$A$3:$F$532,6,), "0")</f>
        <v>0</v>
      </c>
      <c r="K170" t="str">
        <f>IFERROR(VLOOKUP(J170,Capacity!$A$3:$D$532,4,), "0")</f>
        <v>0</v>
      </c>
      <c r="L170" s="4" t="str">
        <f>IFERROR(VLOOKUP(J170,Capacity!$A$3:$F$532,6,), "0")</f>
        <v>0</v>
      </c>
      <c r="M170" s="5">
        <f t="shared" si="20"/>
        <v>0</v>
      </c>
      <c r="N170" s="5">
        <f t="shared" si="21"/>
        <v>0</v>
      </c>
      <c r="O170">
        <v>20</v>
      </c>
      <c r="P170">
        <f>IFERROR(VLOOKUP(O170,Capacity!$A$3:$D$532,4,), "0")</f>
        <v>3.8484509349999994</v>
      </c>
      <c r="Q170" s="4">
        <f>IFERROR(VLOOKUP(O170,Capacity!$A$3:$F$532,6,), "0")</f>
        <v>0.17499999999999999</v>
      </c>
      <c r="R170" s="5">
        <f t="shared" si="25"/>
        <v>3.8484509349999994</v>
      </c>
      <c r="S170" s="5">
        <f t="shared" si="26"/>
        <v>0.17499999999999999</v>
      </c>
      <c r="T170">
        <v>362</v>
      </c>
      <c r="U170">
        <v>0</v>
      </c>
      <c r="V170">
        <v>0</v>
      </c>
      <c r="W170">
        <v>1</v>
      </c>
      <c r="X170">
        <f t="shared" si="22"/>
        <v>0</v>
      </c>
      <c r="Y170">
        <f t="shared" si="23"/>
        <v>0</v>
      </c>
      <c r="Z170">
        <f t="shared" si="27"/>
        <v>0</v>
      </c>
      <c r="AA170">
        <f t="shared" si="28"/>
        <v>0</v>
      </c>
      <c r="AC170">
        <f t="shared" si="29"/>
        <v>0</v>
      </c>
      <c r="AD170">
        <f t="shared" si="24"/>
        <v>0</v>
      </c>
    </row>
    <row r="171" spans="1:30" x14ac:dyDescent="0.25">
      <c r="A171">
        <v>344</v>
      </c>
      <c r="B171">
        <f>IFERROR(VLOOKUP(A171,Capacity!$A$3:$D$532,4,), "0")</f>
        <v>441.78645937499999</v>
      </c>
      <c r="C171" s="4">
        <f>IFERROR(VLOOKUP(A171,Capacity!$A$3:$F$532,6,), "0")</f>
        <v>0.75</v>
      </c>
      <c r="D171">
        <v>319</v>
      </c>
      <c r="E171">
        <f>IFERROR(VLOOKUP(D171,Capacity!$A$3:$D$532,4,), "0")</f>
        <v>132.53593781250001</v>
      </c>
      <c r="F171" s="4">
        <f>IFERROR(VLOOKUP(D171,Capacity!$A$3:$F$532,6,), "0")</f>
        <v>0.75</v>
      </c>
      <c r="G171">
        <v>252</v>
      </c>
      <c r="H171">
        <f>IFERROR(VLOOKUP(G171,Capacity!$A$3:$D$532,4,), "0")</f>
        <v>15.079644480000002</v>
      </c>
      <c r="I171" s="4">
        <f>IFERROR(VLOOKUP(G171,Capacity!$A$3:$F$532,6,), "0")</f>
        <v>0.2</v>
      </c>
      <c r="K171" t="str">
        <f>IFERROR(VLOOKUP(J171,Capacity!$A$3:$D$532,4,), "0")</f>
        <v>0</v>
      </c>
      <c r="L171" s="4" t="str">
        <f>IFERROR(VLOOKUP(J171,Capacity!$A$3:$F$532,6,), "0")</f>
        <v>0</v>
      </c>
      <c r="M171" s="5">
        <f t="shared" si="20"/>
        <v>147.61558229250002</v>
      </c>
      <c r="N171" s="5">
        <f t="shared" si="21"/>
        <v>0.95</v>
      </c>
      <c r="O171">
        <v>27</v>
      </c>
      <c r="P171">
        <f>IFERROR(VLOOKUP(O171,Capacity!$A$3:$D$532,4,), "0")</f>
        <v>141.371667</v>
      </c>
      <c r="Q171" s="4">
        <f>IFERROR(VLOOKUP(O171,Capacity!$A$3:$F$532,6,), "0")</f>
        <v>0.75</v>
      </c>
      <c r="R171" s="5">
        <f t="shared" si="25"/>
        <v>141.371667</v>
      </c>
      <c r="S171" s="5">
        <f t="shared" si="26"/>
        <v>0.75</v>
      </c>
      <c r="T171">
        <v>344</v>
      </c>
      <c r="U171">
        <v>2</v>
      </c>
      <c r="V171">
        <v>2</v>
      </c>
      <c r="W171">
        <v>1</v>
      </c>
      <c r="X171">
        <f t="shared" si="22"/>
        <v>1.0441666666666669</v>
      </c>
      <c r="Y171">
        <f t="shared" si="23"/>
        <v>0.33413333333333339</v>
      </c>
      <c r="Z171">
        <f t="shared" si="27"/>
        <v>1.2666666666666666</v>
      </c>
      <c r="AA171">
        <f t="shared" si="28"/>
        <v>1.2666666666666666</v>
      </c>
      <c r="AC171">
        <f t="shared" si="29"/>
        <v>0.25313131313131321</v>
      </c>
      <c r="AD171">
        <f t="shared" si="24"/>
        <v>0.50626262626262641</v>
      </c>
    </row>
    <row r="172" spans="1:30" x14ac:dyDescent="0.25">
      <c r="A172">
        <v>28</v>
      </c>
      <c r="B172">
        <f>IFERROR(VLOOKUP(A172,Capacity!$A$3:$D$532,4,), "0")</f>
        <v>90.477866879999993</v>
      </c>
      <c r="C172" s="4">
        <f>IFERROR(VLOOKUP(A172,Capacity!$A$3:$F$532,6,), "0")</f>
        <v>0.6</v>
      </c>
      <c r="D172">
        <v>343</v>
      </c>
      <c r="E172">
        <f>IFERROR(VLOOKUP(D172,Capacity!$A$3:$D$532,4,), "0")</f>
        <v>45.238933439999997</v>
      </c>
      <c r="F172" s="4">
        <f>IFERROR(VLOOKUP(D172,Capacity!$A$3:$F$532,6,), "0")</f>
        <v>0.6</v>
      </c>
      <c r="H172" t="str">
        <f>IFERROR(VLOOKUP(G172,Capacity!$A$3:$D$532,4,), "0")</f>
        <v>0</v>
      </c>
      <c r="I172" s="4" t="str">
        <f>IFERROR(VLOOKUP(G172,Capacity!$A$3:$F$532,6,), "0")</f>
        <v>0</v>
      </c>
      <c r="K172" t="str">
        <f>IFERROR(VLOOKUP(J172,Capacity!$A$3:$D$532,4,), "0")</f>
        <v>0</v>
      </c>
      <c r="L172" s="4" t="str">
        <f>IFERROR(VLOOKUP(J172,Capacity!$A$3:$F$532,6,), "0")</f>
        <v>0</v>
      </c>
      <c r="M172" s="5">
        <f t="shared" si="20"/>
        <v>45.238933439999997</v>
      </c>
      <c r="N172" s="5">
        <f t="shared" si="21"/>
        <v>0.6</v>
      </c>
      <c r="O172">
        <v>27</v>
      </c>
      <c r="P172">
        <f>IFERROR(VLOOKUP(O172,Capacity!$A$3:$D$532,4,), "0")</f>
        <v>141.371667</v>
      </c>
      <c r="Q172" s="4">
        <f>IFERROR(VLOOKUP(O172,Capacity!$A$3:$F$532,6,), "0")</f>
        <v>0.75</v>
      </c>
      <c r="R172" s="5">
        <f t="shared" si="25"/>
        <v>141.371667</v>
      </c>
      <c r="S172" s="5">
        <f t="shared" si="26"/>
        <v>0.75</v>
      </c>
      <c r="T172">
        <v>28</v>
      </c>
      <c r="U172">
        <v>1</v>
      </c>
      <c r="V172">
        <v>1</v>
      </c>
      <c r="W172">
        <v>1</v>
      </c>
      <c r="X172">
        <f t="shared" si="22"/>
        <v>0.31999999999999995</v>
      </c>
      <c r="Y172">
        <f t="shared" si="23"/>
        <v>0.5</v>
      </c>
      <c r="Z172">
        <f t="shared" si="27"/>
        <v>0.79999999999999993</v>
      </c>
      <c r="AA172">
        <f t="shared" si="28"/>
        <v>1</v>
      </c>
      <c r="AC172">
        <f t="shared" si="29"/>
        <v>0.19512195121951217</v>
      </c>
      <c r="AD172">
        <f t="shared" si="24"/>
        <v>0.19512195121951217</v>
      </c>
    </row>
    <row r="173" spans="1:30" x14ac:dyDescent="0.25">
      <c r="A173">
        <v>345</v>
      </c>
      <c r="B173">
        <f>IFERROR(VLOOKUP(A173,Capacity!$A$3:$D$532,4,), "0")</f>
        <v>37.699111200000011</v>
      </c>
      <c r="C173" s="4">
        <f>IFERROR(VLOOKUP(A173,Capacity!$A$3:$F$532,6,), "0")</f>
        <v>0.4</v>
      </c>
      <c r="D173">
        <v>528</v>
      </c>
      <c r="E173">
        <f>IFERROR(VLOOKUP(D173,Capacity!$A$3:$D$532,4,), "0")</f>
        <v>7.2158455031249993</v>
      </c>
      <c r="F173" s="4">
        <f>IFERROR(VLOOKUP(D173,Capacity!$A$3:$F$532,6,), "0")</f>
        <v>0.17499999999999999</v>
      </c>
      <c r="G173">
        <v>251</v>
      </c>
      <c r="H173">
        <f>IFERROR(VLOOKUP(G173,Capacity!$A$3:$D$532,4,), "0")</f>
        <v>15.079644480000002</v>
      </c>
      <c r="I173" s="4">
        <f>IFERROR(VLOOKUP(G173,Capacity!$A$3:$F$532,6,), "0")</f>
        <v>0.2</v>
      </c>
      <c r="K173" t="str">
        <f>IFERROR(VLOOKUP(J173,Capacity!$A$3:$D$532,4,), "0")</f>
        <v>0</v>
      </c>
      <c r="L173" s="4" t="str">
        <f>IFERROR(VLOOKUP(J173,Capacity!$A$3:$F$532,6,), "0")</f>
        <v>0</v>
      </c>
      <c r="M173" s="5">
        <f t="shared" si="20"/>
        <v>22.295489983125002</v>
      </c>
      <c r="N173" s="5">
        <f t="shared" si="21"/>
        <v>0.375</v>
      </c>
      <c r="O173">
        <v>346</v>
      </c>
      <c r="P173">
        <f>IFERROR(VLOOKUP(O173,Capacity!$A$3:$D$532,4,), "0")</f>
        <v>115.61060768000002</v>
      </c>
      <c r="Q173" s="4">
        <f>IFERROR(VLOOKUP(O173,Capacity!$A$3:$F$532,6,), "0")</f>
        <v>0.4</v>
      </c>
      <c r="R173" s="5">
        <f t="shared" si="25"/>
        <v>115.61060768000002</v>
      </c>
      <c r="S173" s="5">
        <f t="shared" si="26"/>
        <v>0.4</v>
      </c>
      <c r="T173">
        <v>345</v>
      </c>
      <c r="U173">
        <v>2</v>
      </c>
      <c r="V173">
        <v>2</v>
      </c>
      <c r="W173">
        <v>1</v>
      </c>
      <c r="X173">
        <f t="shared" si="22"/>
        <v>0.19284986413043478</v>
      </c>
      <c r="Y173">
        <f t="shared" si="23"/>
        <v>0.59140624999999991</v>
      </c>
      <c r="Z173">
        <f t="shared" si="27"/>
        <v>0.9375</v>
      </c>
      <c r="AA173">
        <f t="shared" si="28"/>
        <v>0.9375</v>
      </c>
      <c r="AC173">
        <f t="shared" si="29"/>
        <v>0.14542776639344263</v>
      </c>
      <c r="AD173">
        <f t="shared" si="24"/>
        <v>0.29085553278688525</v>
      </c>
    </row>
    <row r="174" spans="1:30" x14ac:dyDescent="0.25">
      <c r="A174">
        <v>250</v>
      </c>
      <c r="B174">
        <f>IFERROR(VLOOKUP(A174,Capacity!$A$3:$D$532,4,), "0")</f>
        <v>11.545352804999998</v>
      </c>
      <c r="C174" s="4">
        <f>IFERROR(VLOOKUP(A174,Capacity!$A$3:$F$532,6,), "0")</f>
        <v>0.17499999999999999</v>
      </c>
      <c r="E174" t="str">
        <f>IFERROR(VLOOKUP(D174,Capacity!$A$3:$D$532,4,), "0")</f>
        <v>0</v>
      </c>
      <c r="F174" s="4" t="str">
        <f>IFERROR(VLOOKUP(D174,Capacity!$A$3:$F$532,6,), "0")</f>
        <v>0</v>
      </c>
      <c r="H174" t="str">
        <f>IFERROR(VLOOKUP(G174,Capacity!$A$3:$D$532,4,), "0")</f>
        <v>0</v>
      </c>
      <c r="I174" s="4" t="str">
        <f>IFERROR(VLOOKUP(G174,Capacity!$A$3:$F$532,6,), "0")</f>
        <v>0</v>
      </c>
      <c r="K174" t="str">
        <f>IFERROR(VLOOKUP(J174,Capacity!$A$3:$D$532,4,), "0")</f>
        <v>0</v>
      </c>
      <c r="L174" s="4" t="str">
        <f>IFERROR(VLOOKUP(J174,Capacity!$A$3:$F$532,6,), "0")</f>
        <v>0</v>
      </c>
      <c r="M174" s="5">
        <f t="shared" si="20"/>
        <v>0</v>
      </c>
      <c r="N174" s="5">
        <f t="shared" si="21"/>
        <v>0</v>
      </c>
      <c r="O174">
        <v>346</v>
      </c>
      <c r="P174">
        <f>IFERROR(VLOOKUP(O174,Capacity!$A$3:$D$532,4,), "0")</f>
        <v>115.61060768000002</v>
      </c>
      <c r="Q174" s="4">
        <f>IFERROR(VLOOKUP(O174,Capacity!$A$3:$F$532,6,), "0")</f>
        <v>0.4</v>
      </c>
      <c r="R174" s="5">
        <f t="shared" si="25"/>
        <v>115.61060768000002</v>
      </c>
      <c r="S174" s="5">
        <f t="shared" si="26"/>
        <v>0.4</v>
      </c>
      <c r="T174">
        <v>250</v>
      </c>
      <c r="U174">
        <v>0</v>
      </c>
      <c r="V174">
        <v>0</v>
      </c>
      <c r="W174">
        <v>1</v>
      </c>
      <c r="X174">
        <f t="shared" si="22"/>
        <v>0</v>
      </c>
      <c r="Y174">
        <f t="shared" si="23"/>
        <v>0</v>
      </c>
      <c r="Z174">
        <f t="shared" si="27"/>
        <v>0</v>
      </c>
      <c r="AA174">
        <f t="shared" si="28"/>
        <v>0</v>
      </c>
      <c r="AC174">
        <f t="shared" si="29"/>
        <v>0</v>
      </c>
      <c r="AD174">
        <f t="shared" si="24"/>
        <v>0</v>
      </c>
    </row>
    <row r="175" spans="1:30" x14ac:dyDescent="0.25">
      <c r="A175">
        <v>412</v>
      </c>
      <c r="B175">
        <f>IFERROR(VLOOKUP(A175,Capacity!$A$3:$D$532,4,), "0")</f>
        <v>21.647536509374998</v>
      </c>
      <c r="C175" s="4">
        <f>IFERROR(VLOOKUP(A175,Capacity!$A$3:$F$532,6,), "0")</f>
        <v>0.17499999999999999</v>
      </c>
      <c r="E175" t="str">
        <f>IFERROR(VLOOKUP(D175,Capacity!$A$3:$D$532,4,), "0")</f>
        <v>0</v>
      </c>
      <c r="F175" s="4" t="str">
        <f>IFERROR(VLOOKUP(D175,Capacity!$A$3:$F$532,6,), "0")</f>
        <v>0</v>
      </c>
      <c r="H175" t="str">
        <f>IFERROR(VLOOKUP(G175,Capacity!$A$3:$D$532,4,), "0")</f>
        <v>0</v>
      </c>
      <c r="I175" s="4" t="str">
        <f>IFERROR(VLOOKUP(G175,Capacity!$A$3:$F$532,6,), "0")</f>
        <v>0</v>
      </c>
      <c r="K175" t="str">
        <f>IFERROR(VLOOKUP(J175,Capacity!$A$3:$D$532,4,), "0")</f>
        <v>0</v>
      </c>
      <c r="L175" s="4" t="str">
        <f>IFERROR(VLOOKUP(J175,Capacity!$A$3:$F$532,6,), "0")</f>
        <v>0</v>
      </c>
      <c r="M175" s="5">
        <f t="shared" si="20"/>
        <v>0</v>
      </c>
      <c r="N175" s="5">
        <f t="shared" si="21"/>
        <v>0</v>
      </c>
      <c r="O175">
        <v>43</v>
      </c>
      <c r="P175">
        <f>IFERROR(VLOOKUP(O175,Capacity!$A$3:$D$532,4,), "0")</f>
        <v>40.212385280000007</v>
      </c>
      <c r="Q175" s="4">
        <f>IFERROR(VLOOKUP(O175,Capacity!$A$3:$F$532,6,), "0")</f>
        <v>0.4</v>
      </c>
      <c r="R175" s="5">
        <f t="shared" si="25"/>
        <v>40.212385280000007</v>
      </c>
      <c r="S175" s="5">
        <f t="shared" si="26"/>
        <v>0.4</v>
      </c>
      <c r="T175">
        <v>412</v>
      </c>
      <c r="U175">
        <v>0</v>
      </c>
      <c r="V175">
        <v>0</v>
      </c>
      <c r="W175">
        <v>1</v>
      </c>
      <c r="X175">
        <f t="shared" si="22"/>
        <v>0</v>
      </c>
      <c r="Y175">
        <f t="shared" si="23"/>
        <v>0</v>
      </c>
      <c r="Z175">
        <f t="shared" si="27"/>
        <v>0</v>
      </c>
      <c r="AA175">
        <f t="shared" si="28"/>
        <v>0</v>
      </c>
      <c r="AC175">
        <f t="shared" si="29"/>
        <v>0</v>
      </c>
      <c r="AD175">
        <f t="shared" si="24"/>
        <v>0</v>
      </c>
    </row>
    <row r="176" spans="1:30" x14ac:dyDescent="0.25">
      <c r="A176">
        <v>371</v>
      </c>
      <c r="B176">
        <f>IFERROR(VLOOKUP(A176,Capacity!$A$3:$D$532,4,), "0")</f>
        <v>23.090705609999997</v>
      </c>
      <c r="C176" s="4">
        <f>IFERROR(VLOOKUP(A176,Capacity!$A$3:$F$532,6,), "0")</f>
        <v>0.17499999999999999</v>
      </c>
      <c r="E176" t="str">
        <f>IFERROR(VLOOKUP(D176,Capacity!$A$3:$D$532,4,), "0")</f>
        <v>0</v>
      </c>
      <c r="F176" s="4" t="str">
        <f>IFERROR(VLOOKUP(D176,Capacity!$A$3:$F$532,6,), "0")</f>
        <v>0</v>
      </c>
      <c r="H176" t="str">
        <f>IFERROR(VLOOKUP(G176,Capacity!$A$3:$D$532,4,), "0")</f>
        <v>0</v>
      </c>
      <c r="I176" s="4" t="str">
        <f>IFERROR(VLOOKUP(G176,Capacity!$A$3:$F$532,6,), "0")</f>
        <v>0</v>
      </c>
      <c r="K176" t="str">
        <f>IFERROR(VLOOKUP(J176,Capacity!$A$3:$D$532,4,), "0")</f>
        <v>0</v>
      </c>
      <c r="L176" s="4" t="str">
        <f>IFERROR(VLOOKUP(J176,Capacity!$A$3:$F$532,6,), "0")</f>
        <v>0</v>
      </c>
      <c r="M176" s="5">
        <f t="shared" si="20"/>
        <v>0</v>
      </c>
      <c r="N176" s="5">
        <f t="shared" si="21"/>
        <v>0</v>
      </c>
      <c r="O176">
        <v>43</v>
      </c>
      <c r="P176">
        <f>IFERROR(VLOOKUP(O176,Capacity!$A$3:$D$532,4,), "0")</f>
        <v>40.212385280000007</v>
      </c>
      <c r="Q176" s="4">
        <f>IFERROR(VLOOKUP(O176,Capacity!$A$3:$F$532,6,), "0")</f>
        <v>0.4</v>
      </c>
      <c r="R176" s="5">
        <f t="shared" si="25"/>
        <v>40.212385280000007</v>
      </c>
      <c r="S176" s="5">
        <f t="shared" si="26"/>
        <v>0.4</v>
      </c>
      <c r="T176">
        <v>371</v>
      </c>
      <c r="U176">
        <v>0</v>
      </c>
      <c r="V176">
        <v>0</v>
      </c>
      <c r="W176">
        <v>1</v>
      </c>
      <c r="X176">
        <f t="shared" si="22"/>
        <v>0</v>
      </c>
      <c r="Y176">
        <f t="shared" si="23"/>
        <v>0</v>
      </c>
      <c r="Z176">
        <f t="shared" si="27"/>
        <v>0</v>
      </c>
      <c r="AA176">
        <f t="shared" si="28"/>
        <v>0</v>
      </c>
      <c r="AC176">
        <f t="shared" si="29"/>
        <v>0</v>
      </c>
      <c r="AD176">
        <f t="shared" si="24"/>
        <v>0</v>
      </c>
    </row>
    <row r="177" spans="1:30" x14ac:dyDescent="0.25">
      <c r="A177">
        <v>42</v>
      </c>
      <c r="B177">
        <f>IFERROR(VLOOKUP(A177,Capacity!$A$3:$D$532,4,), "0")</f>
        <v>40.212385280000007</v>
      </c>
      <c r="C177" s="4">
        <f>IFERROR(VLOOKUP(A177,Capacity!$A$3:$F$532,6,), "0")</f>
        <v>0.4</v>
      </c>
      <c r="D177">
        <v>527</v>
      </c>
      <c r="E177">
        <f>IFERROR(VLOOKUP(D177,Capacity!$A$3:$D$532,4,), "0")</f>
        <v>23.090705609999997</v>
      </c>
      <c r="F177" s="4">
        <f>IFERROR(VLOOKUP(D177,Capacity!$A$3:$F$532,6,), "0")</f>
        <v>0.17499999999999999</v>
      </c>
      <c r="G177">
        <v>409</v>
      </c>
      <c r="H177">
        <f>IFERROR(VLOOKUP(G177,Capacity!$A$3:$D$532,4,), "0")</f>
        <v>21.647536509374998</v>
      </c>
      <c r="I177" s="4">
        <f>IFERROR(VLOOKUP(G177,Capacity!$A$3:$F$532,6,), "0")</f>
        <v>0.17499999999999999</v>
      </c>
      <c r="J177">
        <v>41</v>
      </c>
      <c r="K177">
        <f>IFERROR(VLOOKUP(J177,Capacity!$A$3:$D$532,4,), "0")</f>
        <v>40.212385280000007</v>
      </c>
      <c r="L177" s="4">
        <f>IFERROR(VLOOKUP(J177,Capacity!$A$3:$F$532,6,), "0")</f>
        <v>0.4</v>
      </c>
      <c r="M177" s="5">
        <f t="shared" si="20"/>
        <v>84.950627399375009</v>
      </c>
      <c r="N177" s="5">
        <f t="shared" si="21"/>
        <v>0.75</v>
      </c>
      <c r="O177">
        <v>43</v>
      </c>
      <c r="P177">
        <f>IFERROR(VLOOKUP(O177,Capacity!$A$3:$D$532,4,), "0")</f>
        <v>40.212385280000007</v>
      </c>
      <c r="Q177" s="4">
        <f>IFERROR(VLOOKUP(O177,Capacity!$A$3:$F$532,6,), "0")</f>
        <v>0.4</v>
      </c>
      <c r="R177" s="5">
        <f t="shared" si="25"/>
        <v>40.212385280000007</v>
      </c>
      <c r="S177" s="5">
        <f t="shared" si="26"/>
        <v>0.4</v>
      </c>
      <c r="T177">
        <v>42</v>
      </c>
      <c r="U177">
        <v>3</v>
      </c>
      <c r="V177">
        <v>3</v>
      </c>
      <c r="W177">
        <v>1</v>
      </c>
      <c r="X177">
        <f t="shared" si="22"/>
        <v>2.112548828125</v>
      </c>
      <c r="Y177">
        <f t="shared" si="23"/>
        <v>2.112548828125</v>
      </c>
      <c r="Z177">
        <f t="shared" si="27"/>
        <v>1.875</v>
      </c>
      <c r="AA177">
        <f t="shared" si="28"/>
        <v>1.875</v>
      </c>
      <c r="AC177">
        <f t="shared" si="29"/>
        <v>1.0562744140625</v>
      </c>
      <c r="AD177">
        <f t="shared" si="24"/>
        <v>3.1688232421875</v>
      </c>
    </row>
    <row r="178" spans="1:30" x14ac:dyDescent="0.25">
      <c r="A178">
        <v>81</v>
      </c>
      <c r="B178">
        <f>IFERROR(VLOOKUP(A178,Capacity!$A$3:$D$532,4,), "0")</f>
        <v>90.477866879999993</v>
      </c>
      <c r="C178" s="4">
        <f>IFERROR(VLOOKUP(A178,Capacity!$A$3:$F$532,6,), "0")</f>
        <v>0.6</v>
      </c>
      <c r="D178">
        <v>80</v>
      </c>
      <c r="E178">
        <f>IFERROR(VLOOKUP(D178,Capacity!$A$3:$D$532,4,), "0")</f>
        <v>90.477866879999993</v>
      </c>
      <c r="F178" s="4">
        <f>IFERROR(VLOOKUP(D178,Capacity!$A$3:$F$532,6,), "0")</f>
        <v>0.6</v>
      </c>
      <c r="H178" t="str">
        <f>IFERROR(VLOOKUP(G178,Capacity!$A$3:$D$532,4,), "0")</f>
        <v>0</v>
      </c>
      <c r="I178" s="4" t="str">
        <f>IFERROR(VLOOKUP(G178,Capacity!$A$3:$F$532,6,), "0")</f>
        <v>0</v>
      </c>
      <c r="K178" t="str">
        <f>IFERROR(VLOOKUP(J178,Capacity!$A$3:$D$532,4,), "0")</f>
        <v>0</v>
      </c>
      <c r="L178" s="4" t="str">
        <f>IFERROR(VLOOKUP(J178,Capacity!$A$3:$F$532,6,), "0")</f>
        <v>0</v>
      </c>
      <c r="M178" s="5">
        <f t="shared" si="20"/>
        <v>90.477866879999993</v>
      </c>
      <c r="N178" s="5">
        <f t="shared" si="21"/>
        <v>0.6</v>
      </c>
      <c r="O178">
        <v>82</v>
      </c>
      <c r="P178">
        <f>IFERROR(VLOOKUP(O178,Capacity!$A$3:$D$532,4,), "0")</f>
        <v>90.477866879999993</v>
      </c>
      <c r="Q178" s="4">
        <f>IFERROR(VLOOKUP(O178,Capacity!$A$3:$F$532,6,), "0")</f>
        <v>0.6</v>
      </c>
      <c r="R178" s="5">
        <f t="shared" si="25"/>
        <v>90.477866879999993</v>
      </c>
      <c r="S178" s="5">
        <f t="shared" si="26"/>
        <v>0.6</v>
      </c>
      <c r="T178">
        <v>81</v>
      </c>
      <c r="U178">
        <v>1</v>
      </c>
      <c r="V178">
        <v>1</v>
      </c>
      <c r="W178">
        <v>1</v>
      </c>
      <c r="X178">
        <f t="shared" si="22"/>
        <v>1</v>
      </c>
      <c r="Y178">
        <f t="shared" si="23"/>
        <v>1</v>
      </c>
      <c r="Z178">
        <f t="shared" si="27"/>
        <v>1</v>
      </c>
      <c r="AA178">
        <f t="shared" si="28"/>
        <v>1</v>
      </c>
      <c r="AC178">
        <f t="shared" si="29"/>
        <v>0.5</v>
      </c>
      <c r="AD178">
        <f t="shared" si="24"/>
        <v>0.5</v>
      </c>
    </row>
    <row r="179" spans="1:30" x14ac:dyDescent="0.25">
      <c r="A179">
        <v>408</v>
      </c>
      <c r="B179">
        <f>IFERROR(VLOOKUP(A179,Capacity!$A$3:$D$532,4,), "0")</f>
        <v>21.166480142499999</v>
      </c>
      <c r="C179" s="4">
        <f>IFERROR(VLOOKUP(A179,Capacity!$A$3:$F$532,6,), "0")</f>
        <v>0.17499999999999999</v>
      </c>
      <c r="E179" t="str">
        <f>IFERROR(VLOOKUP(D179,Capacity!$A$3:$D$532,4,), "0")</f>
        <v>0</v>
      </c>
      <c r="F179" s="4" t="str">
        <f>IFERROR(VLOOKUP(D179,Capacity!$A$3:$F$532,6,), "0")</f>
        <v>0</v>
      </c>
      <c r="H179" t="str">
        <f>IFERROR(VLOOKUP(G179,Capacity!$A$3:$D$532,4,), "0")</f>
        <v>0</v>
      </c>
      <c r="I179" s="4" t="str">
        <f>IFERROR(VLOOKUP(G179,Capacity!$A$3:$F$532,6,), "0")</f>
        <v>0</v>
      </c>
      <c r="K179" t="str">
        <f>IFERROR(VLOOKUP(J179,Capacity!$A$3:$D$532,4,), "0")</f>
        <v>0</v>
      </c>
      <c r="L179" s="4" t="str">
        <f>IFERROR(VLOOKUP(J179,Capacity!$A$3:$F$532,6,), "0")</f>
        <v>0</v>
      </c>
      <c r="M179" s="5">
        <f t="shared" si="20"/>
        <v>0</v>
      </c>
      <c r="N179" s="5">
        <f t="shared" si="21"/>
        <v>0</v>
      </c>
      <c r="O179">
        <v>184</v>
      </c>
      <c r="P179">
        <f>IFERROR(VLOOKUP(O179,Capacity!$A$3:$D$532,4,), "0")</f>
        <v>22.619466719999998</v>
      </c>
      <c r="Q179" s="4">
        <f>IFERROR(VLOOKUP(O179,Capacity!$A$3:$F$532,6,), "0")</f>
        <v>0.3</v>
      </c>
      <c r="R179" s="5">
        <f t="shared" si="25"/>
        <v>22.619466719999998</v>
      </c>
      <c r="S179" s="5">
        <f t="shared" si="26"/>
        <v>0.3</v>
      </c>
      <c r="T179">
        <v>408</v>
      </c>
      <c r="U179">
        <v>0</v>
      </c>
      <c r="V179">
        <v>0</v>
      </c>
      <c r="W179">
        <v>1</v>
      </c>
      <c r="X179">
        <f t="shared" si="22"/>
        <v>0</v>
      </c>
      <c r="Y179">
        <f t="shared" si="23"/>
        <v>0</v>
      </c>
      <c r="Z179">
        <f t="shared" si="27"/>
        <v>0</v>
      </c>
      <c r="AA179">
        <f t="shared" si="28"/>
        <v>0</v>
      </c>
      <c r="AC179">
        <f t="shared" si="29"/>
        <v>0</v>
      </c>
      <c r="AD179">
        <f t="shared" si="24"/>
        <v>0</v>
      </c>
    </row>
    <row r="180" spans="1:30" x14ac:dyDescent="0.25">
      <c r="A180">
        <v>189</v>
      </c>
      <c r="B180">
        <f>IFERROR(VLOOKUP(A180,Capacity!$A$3:$D$532,4,), "0")</f>
        <v>22.619466719999998</v>
      </c>
      <c r="C180" s="4">
        <f>IFERROR(VLOOKUP(A180,Capacity!$A$3:$F$532,6,), "0")</f>
        <v>0.3</v>
      </c>
      <c r="D180">
        <v>406</v>
      </c>
      <c r="E180">
        <f>IFERROR(VLOOKUP(D180,Capacity!$A$3:$D$532,4,), "0")</f>
        <v>21.166480142499999</v>
      </c>
      <c r="F180" s="4">
        <f>IFERROR(VLOOKUP(D180,Capacity!$A$3:$F$532,6,), "0")</f>
        <v>0.17499999999999999</v>
      </c>
      <c r="G180">
        <v>191</v>
      </c>
      <c r="H180">
        <f>IFERROR(VLOOKUP(G180,Capacity!$A$3:$D$532,4,), "0")</f>
        <v>22.619466719999998</v>
      </c>
      <c r="I180" s="4">
        <f>IFERROR(VLOOKUP(G180,Capacity!$A$3:$F$532,6,), "0")</f>
        <v>0.3</v>
      </c>
      <c r="K180" t="str">
        <f>IFERROR(VLOOKUP(J180,Capacity!$A$3:$D$532,4,), "0")</f>
        <v>0</v>
      </c>
      <c r="L180" s="4" t="str">
        <f>IFERROR(VLOOKUP(J180,Capacity!$A$3:$F$532,6,), "0")</f>
        <v>0</v>
      </c>
      <c r="M180" s="5">
        <f t="shared" si="20"/>
        <v>43.785946862499998</v>
      </c>
      <c r="N180" s="5">
        <f t="shared" si="21"/>
        <v>0.47499999999999998</v>
      </c>
      <c r="O180">
        <v>184</v>
      </c>
      <c r="P180">
        <f>IFERROR(VLOOKUP(O180,Capacity!$A$3:$D$532,4,), "0")</f>
        <v>22.619466719999998</v>
      </c>
      <c r="Q180" s="4">
        <f>IFERROR(VLOOKUP(O180,Capacity!$A$3:$F$532,6,), "0")</f>
        <v>0.3</v>
      </c>
      <c r="R180" s="5">
        <f t="shared" si="25"/>
        <v>22.619466719999998</v>
      </c>
      <c r="S180" s="5">
        <f t="shared" si="26"/>
        <v>0.3</v>
      </c>
      <c r="T180">
        <v>189</v>
      </c>
      <c r="U180">
        <v>2</v>
      </c>
      <c r="V180">
        <v>2</v>
      </c>
      <c r="W180">
        <v>1</v>
      </c>
      <c r="X180">
        <f t="shared" si="22"/>
        <v>1.9357638888888888</v>
      </c>
      <c r="Y180">
        <f t="shared" si="23"/>
        <v>1.9357638888888888</v>
      </c>
      <c r="Z180">
        <f t="shared" si="27"/>
        <v>1.5833333333333333</v>
      </c>
      <c r="AA180">
        <f t="shared" si="28"/>
        <v>1.5833333333333333</v>
      </c>
      <c r="AC180">
        <f t="shared" si="29"/>
        <v>0.96788194444444442</v>
      </c>
      <c r="AD180">
        <f t="shared" si="24"/>
        <v>1.9357638888888888</v>
      </c>
    </row>
    <row r="181" spans="1:30" x14ac:dyDescent="0.25">
      <c r="A181">
        <v>459</v>
      </c>
      <c r="B181">
        <f>IFERROR(VLOOKUP(A181,Capacity!$A$3:$D$532,4,), "0")</f>
        <v>19.242254674999998</v>
      </c>
      <c r="C181" s="4">
        <f>IFERROR(VLOOKUP(A181,Capacity!$A$3:$F$532,6,), "0")</f>
        <v>0.17499999999999999</v>
      </c>
      <c r="E181" t="str">
        <f>IFERROR(VLOOKUP(D181,Capacity!$A$3:$D$532,4,), "0")</f>
        <v>0</v>
      </c>
      <c r="F181" s="4" t="str">
        <f>IFERROR(VLOOKUP(D181,Capacity!$A$3:$F$532,6,), "0")</f>
        <v>0</v>
      </c>
      <c r="H181" t="str">
        <f>IFERROR(VLOOKUP(G181,Capacity!$A$3:$D$532,4,), "0")</f>
        <v>0</v>
      </c>
      <c r="I181" s="4" t="str">
        <f>IFERROR(VLOOKUP(G181,Capacity!$A$3:$F$532,6,), "0")</f>
        <v>0</v>
      </c>
      <c r="K181" t="str">
        <f>IFERROR(VLOOKUP(J181,Capacity!$A$3:$D$532,4,), "0")</f>
        <v>0</v>
      </c>
      <c r="L181" s="4" t="str">
        <f>IFERROR(VLOOKUP(J181,Capacity!$A$3:$F$532,6,), "0")</f>
        <v>0</v>
      </c>
      <c r="M181" s="5">
        <f t="shared" si="20"/>
        <v>0</v>
      </c>
      <c r="N181" s="5">
        <f t="shared" si="21"/>
        <v>0</v>
      </c>
      <c r="O181">
        <v>185</v>
      </c>
      <c r="P181">
        <f>IFERROR(VLOOKUP(O181,Capacity!$A$3:$D$532,4,), "0")</f>
        <v>628.31852000000003</v>
      </c>
      <c r="Q181" s="4">
        <f>IFERROR(VLOOKUP(O181,Capacity!$A$3:$F$532,6,), "0")</f>
        <v>1</v>
      </c>
      <c r="R181" s="5">
        <f t="shared" si="25"/>
        <v>628.31852000000003</v>
      </c>
      <c r="S181" s="5">
        <f t="shared" si="26"/>
        <v>1</v>
      </c>
      <c r="T181">
        <v>459</v>
      </c>
      <c r="U181">
        <v>0</v>
      </c>
      <c r="V181">
        <v>0</v>
      </c>
      <c r="W181">
        <v>1</v>
      </c>
      <c r="X181">
        <f t="shared" si="22"/>
        <v>0</v>
      </c>
      <c r="Y181">
        <f t="shared" si="23"/>
        <v>0</v>
      </c>
      <c r="Z181">
        <f t="shared" si="27"/>
        <v>0</v>
      </c>
      <c r="AA181">
        <f t="shared" si="28"/>
        <v>0</v>
      </c>
      <c r="AC181">
        <f t="shared" si="29"/>
        <v>0</v>
      </c>
      <c r="AD181">
        <f t="shared" si="24"/>
        <v>0</v>
      </c>
    </row>
    <row r="182" spans="1:30" x14ac:dyDescent="0.25">
      <c r="A182">
        <v>192</v>
      </c>
      <c r="B182">
        <f>IFERROR(VLOOKUP(A182,Capacity!$A$3:$D$532,4,), "0")</f>
        <v>20.106192640000003</v>
      </c>
      <c r="C182" s="4">
        <f>IFERROR(VLOOKUP(A182,Capacity!$A$3:$F$532,6,), "0")</f>
        <v>0.2</v>
      </c>
      <c r="D182">
        <v>461</v>
      </c>
      <c r="E182">
        <f>IFERROR(VLOOKUP(D182,Capacity!$A$3:$D$532,4,), "0")</f>
        <v>19.242254674999998</v>
      </c>
      <c r="F182" s="4">
        <f>IFERROR(VLOOKUP(D182,Capacity!$A$3:$F$532,6,), "0")</f>
        <v>0.17499999999999999</v>
      </c>
      <c r="G182">
        <v>202</v>
      </c>
      <c r="H182">
        <f>IFERROR(VLOOKUP(G182,Capacity!$A$3:$D$532,4,), "0")</f>
        <v>28.902651920000004</v>
      </c>
      <c r="I182" s="4">
        <f>IFERROR(VLOOKUP(G182,Capacity!$A$3:$F$532,6,), "0")</f>
        <v>0.2</v>
      </c>
      <c r="K182" t="str">
        <f>IFERROR(VLOOKUP(J182,Capacity!$A$3:$D$532,4,), "0")</f>
        <v>0</v>
      </c>
      <c r="L182" s="4" t="str">
        <f>IFERROR(VLOOKUP(J182,Capacity!$A$3:$F$532,6,), "0")</f>
        <v>0</v>
      </c>
      <c r="M182" s="5">
        <f t="shared" si="20"/>
        <v>48.144906595000002</v>
      </c>
      <c r="N182" s="5">
        <f t="shared" si="21"/>
        <v>0.375</v>
      </c>
      <c r="O182">
        <v>185</v>
      </c>
      <c r="P182">
        <f>IFERROR(VLOOKUP(O182,Capacity!$A$3:$D$532,4,), "0")</f>
        <v>628.31852000000003</v>
      </c>
      <c r="Q182" s="4">
        <f>IFERROR(VLOOKUP(O182,Capacity!$A$3:$F$532,6,), "0")</f>
        <v>1</v>
      </c>
      <c r="R182" s="5">
        <f t="shared" si="25"/>
        <v>628.31852000000003</v>
      </c>
      <c r="S182" s="5">
        <f t="shared" si="26"/>
        <v>1</v>
      </c>
      <c r="T182">
        <v>192</v>
      </c>
      <c r="U182">
        <v>2</v>
      </c>
      <c r="V182">
        <v>2</v>
      </c>
      <c r="W182">
        <v>1</v>
      </c>
      <c r="X182">
        <f t="shared" si="22"/>
        <v>7.6624999999999999E-2</v>
      </c>
      <c r="Y182">
        <f t="shared" si="23"/>
        <v>2.3945312499999996</v>
      </c>
      <c r="Z182">
        <f t="shared" si="27"/>
        <v>0.375</v>
      </c>
      <c r="AA182">
        <f t="shared" si="28"/>
        <v>1.875</v>
      </c>
      <c r="AC182">
        <f t="shared" si="29"/>
        <v>7.4249031007751931E-2</v>
      </c>
      <c r="AD182">
        <f t="shared" si="24"/>
        <v>0.14849806201550386</v>
      </c>
    </row>
    <row r="183" spans="1:30" x14ac:dyDescent="0.25">
      <c r="A183">
        <v>209</v>
      </c>
      <c r="B183">
        <f>IFERROR(VLOOKUP(A183,Capacity!$A$3:$D$532,4,), "0")</f>
        <v>123.700208625</v>
      </c>
      <c r="C183" s="4">
        <f>IFERROR(VLOOKUP(A183,Capacity!$A$3:$F$532,6,), "0")</f>
        <v>0.75</v>
      </c>
      <c r="D183">
        <v>469</v>
      </c>
      <c r="E183">
        <f>IFERROR(VLOOKUP(D183,Capacity!$A$3:$D$532,4,), "0")</f>
        <v>16.836972840624998</v>
      </c>
      <c r="F183" s="4">
        <f>IFERROR(VLOOKUP(D183,Capacity!$A$3:$F$532,6,), "0")</f>
        <v>0.17499999999999999</v>
      </c>
      <c r="G183">
        <v>201</v>
      </c>
      <c r="H183">
        <f>IFERROR(VLOOKUP(G183,Capacity!$A$3:$D$532,4,), "0")</f>
        <v>16.355916473749996</v>
      </c>
      <c r="I183" s="4">
        <f>IFERROR(VLOOKUP(G183,Capacity!$A$3:$F$532,6,), "0")</f>
        <v>0.17499999999999999</v>
      </c>
      <c r="K183" t="str">
        <f>IFERROR(VLOOKUP(J183,Capacity!$A$3:$D$532,4,), "0")</f>
        <v>0</v>
      </c>
      <c r="L183" s="4" t="str">
        <f>IFERROR(VLOOKUP(J183,Capacity!$A$3:$F$532,6,), "0")</f>
        <v>0</v>
      </c>
      <c r="M183" s="5">
        <f t="shared" si="20"/>
        <v>33.192889314374995</v>
      </c>
      <c r="N183" s="5">
        <f t="shared" si="21"/>
        <v>0.35</v>
      </c>
      <c r="O183">
        <v>208</v>
      </c>
      <c r="P183">
        <f>IFERROR(VLOOKUP(O183,Capacity!$A$3:$D$532,4,), "0")</f>
        <v>25.132740800000008</v>
      </c>
      <c r="Q183" s="4">
        <f>IFERROR(VLOOKUP(O183,Capacity!$A$3:$F$532,6,), "0")</f>
        <v>0.4</v>
      </c>
      <c r="R183" s="5">
        <f t="shared" si="25"/>
        <v>25.132740800000008</v>
      </c>
      <c r="S183" s="5">
        <f t="shared" si="26"/>
        <v>0.4</v>
      </c>
      <c r="T183">
        <v>209</v>
      </c>
      <c r="U183">
        <v>2</v>
      </c>
      <c r="V183">
        <v>2</v>
      </c>
      <c r="W183">
        <v>1</v>
      </c>
      <c r="X183">
        <f t="shared" si="22"/>
        <v>1.3207031249999994</v>
      </c>
      <c r="Y183">
        <f t="shared" si="23"/>
        <v>0.26833333333333331</v>
      </c>
      <c r="Z183">
        <f t="shared" si="27"/>
        <v>0.87499999999999989</v>
      </c>
      <c r="AA183">
        <f t="shared" si="28"/>
        <v>0.46666666666666662</v>
      </c>
      <c r="AC183">
        <f t="shared" si="29"/>
        <v>0.22302110817941947</v>
      </c>
      <c r="AD183">
        <f t="shared" si="24"/>
        <v>0.44604221635883895</v>
      </c>
    </row>
    <row r="184" spans="1:30" x14ac:dyDescent="0.25">
      <c r="A184">
        <v>205</v>
      </c>
      <c r="B184">
        <f>IFERROR(VLOOKUP(A184,Capacity!$A$3:$D$532,4,), "0")</f>
        <v>309.25052156250001</v>
      </c>
      <c r="C184" s="4">
        <f>IFERROR(VLOOKUP(A184,Capacity!$A$3:$F$532,6,), "0")</f>
        <v>0.75</v>
      </c>
      <c r="D184">
        <v>470</v>
      </c>
      <c r="E184">
        <f>IFERROR(VLOOKUP(D184,Capacity!$A$3:$D$532,4,), "0")</f>
        <v>4.8105636687499995</v>
      </c>
      <c r="F184" s="4">
        <f>IFERROR(VLOOKUP(D184,Capacity!$A$3:$F$532,6,), "0")</f>
        <v>0.17499999999999999</v>
      </c>
      <c r="G184">
        <v>204</v>
      </c>
      <c r="H184">
        <f>IFERROR(VLOOKUP(G184,Capacity!$A$3:$D$532,4,), "0")</f>
        <v>6.734789136249999</v>
      </c>
      <c r="I184" s="4">
        <f>IFERROR(VLOOKUP(G184,Capacity!$A$3:$F$532,6,), "0")</f>
        <v>0.17499999999999999</v>
      </c>
      <c r="K184" t="str">
        <f>IFERROR(VLOOKUP(J184,Capacity!$A$3:$D$532,4,), "0")</f>
        <v>0</v>
      </c>
      <c r="L184" s="4" t="str">
        <f>IFERROR(VLOOKUP(J184,Capacity!$A$3:$F$532,6,), "0")</f>
        <v>0</v>
      </c>
      <c r="M184" s="5">
        <f t="shared" si="20"/>
        <v>11.545352804999998</v>
      </c>
      <c r="N184" s="5">
        <f t="shared" si="21"/>
        <v>0.35</v>
      </c>
      <c r="O184">
        <v>208</v>
      </c>
      <c r="P184">
        <f>IFERROR(VLOOKUP(O184,Capacity!$A$3:$D$532,4,), "0")</f>
        <v>25.132740800000008</v>
      </c>
      <c r="Q184" s="4">
        <f>IFERROR(VLOOKUP(O184,Capacity!$A$3:$F$532,6,), "0")</f>
        <v>0.4</v>
      </c>
      <c r="R184" s="5">
        <f t="shared" si="25"/>
        <v>25.132740800000008</v>
      </c>
      <c r="S184" s="5">
        <f t="shared" si="26"/>
        <v>0.4</v>
      </c>
      <c r="T184">
        <v>205</v>
      </c>
      <c r="U184">
        <v>2</v>
      </c>
      <c r="V184">
        <v>2</v>
      </c>
      <c r="W184">
        <v>1</v>
      </c>
      <c r="X184">
        <f t="shared" si="22"/>
        <v>0.45937499999999981</v>
      </c>
      <c r="Y184">
        <f t="shared" si="23"/>
        <v>3.7333333333333329E-2</v>
      </c>
      <c r="Z184">
        <f t="shared" si="27"/>
        <v>0.87499999999999989</v>
      </c>
      <c r="AA184">
        <f t="shared" si="28"/>
        <v>0.46666666666666662</v>
      </c>
      <c r="AC184">
        <f t="shared" si="29"/>
        <v>3.4527304756312382E-2</v>
      </c>
      <c r="AD184">
        <f t="shared" si="24"/>
        <v>6.9054609512624765E-2</v>
      </c>
    </row>
    <row r="185" spans="1:30" x14ac:dyDescent="0.25">
      <c r="A185">
        <v>463</v>
      </c>
      <c r="B185">
        <f>IFERROR(VLOOKUP(A185,Capacity!$A$3:$D$532,4,), "0")</f>
        <v>10.58324007125</v>
      </c>
      <c r="C185" s="4">
        <f>IFERROR(VLOOKUP(A185,Capacity!$A$3:$F$532,6,), "0")</f>
        <v>0.17499999999999999</v>
      </c>
      <c r="E185" t="str">
        <f>IFERROR(VLOOKUP(D185,Capacity!$A$3:$D$532,4,), "0")</f>
        <v>0</v>
      </c>
      <c r="F185" s="4" t="str">
        <f>IFERROR(VLOOKUP(D185,Capacity!$A$3:$F$532,6,), "0")</f>
        <v>0</v>
      </c>
      <c r="H185" t="str">
        <f>IFERROR(VLOOKUP(G185,Capacity!$A$3:$D$532,4,), "0")</f>
        <v>0</v>
      </c>
      <c r="I185" s="4" t="str">
        <f>IFERROR(VLOOKUP(G185,Capacity!$A$3:$F$532,6,), "0")</f>
        <v>0</v>
      </c>
      <c r="K185" t="str">
        <f>IFERROR(VLOOKUP(J185,Capacity!$A$3:$D$532,4,), "0")</f>
        <v>0</v>
      </c>
      <c r="L185" s="4" t="str">
        <f>IFERROR(VLOOKUP(J185,Capacity!$A$3:$F$532,6,), "0")</f>
        <v>0</v>
      </c>
      <c r="M185" s="5">
        <f t="shared" si="20"/>
        <v>0</v>
      </c>
      <c r="N185" s="5">
        <f t="shared" si="21"/>
        <v>0</v>
      </c>
      <c r="O185">
        <v>206</v>
      </c>
      <c r="P185">
        <f>IFERROR(VLOOKUP(O185,Capacity!$A$3:$D$532,4,), "0")</f>
        <v>17.318029207499997</v>
      </c>
      <c r="Q185" s="4">
        <f>IFERROR(VLOOKUP(O185,Capacity!$A$3:$F$532,6,), "0")</f>
        <v>0.17499999999999999</v>
      </c>
      <c r="R185" s="5">
        <f t="shared" si="25"/>
        <v>17.318029207499997</v>
      </c>
      <c r="S185" s="5">
        <f t="shared" si="26"/>
        <v>0.17499999999999999</v>
      </c>
      <c r="T185">
        <v>463</v>
      </c>
      <c r="U185">
        <v>0</v>
      </c>
      <c r="V185">
        <v>0</v>
      </c>
      <c r="W185">
        <v>1</v>
      </c>
      <c r="X185">
        <f t="shared" si="22"/>
        <v>0</v>
      </c>
      <c r="Y185">
        <f t="shared" si="23"/>
        <v>0</v>
      </c>
      <c r="Z185">
        <f t="shared" si="27"/>
        <v>0</v>
      </c>
      <c r="AA185">
        <f t="shared" si="28"/>
        <v>0</v>
      </c>
      <c r="AC185">
        <f t="shared" si="29"/>
        <v>0</v>
      </c>
      <c r="AD185">
        <f t="shared" si="24"/>
        <v>0</v>
      </c>
    </row>
    <row r="186" spans="1:30" x14ac:dyDescent="0.25">
      <c r="A186">
        <v>473</v>
      </c>
      <c r="B186">
        <f>IFERROR(VLOOKUP(A186,Capacity!$A$3:$D$532,4,), "0")</f>
        <v>25.977043811249995</v>
      </c>
      <c r="C186" s="4">
        <f>IFERROR(VLOOKUP(A186,Capacity!$A$3:$F$532,6,), "0")</f>
        <v>0.17499999999999999</v>
      </c>
      <c r="E186" t="str">
        <f>IFERROR(VLOOKUP(D186,Capacity!$A$3:$D$532,4,), "0")</f>
        <v>0</v>
      </c>
      <c r="F186" s="4" t="str">
        <f>IFERROR(VLOOKUP(D186,Capacity!$A$3:$F$532,6,), "0")</f>
        <v>0</v>
      </c>
      <c r="H186" t="str">
        <f>IFERROR(VLOOKUP(G186,Capacity!$A$3:$D$532,4,), "0")</f>
        <v>0</v>
      </c>
      <c r="I186" s="4" t="str">
        <f>IFERROR(VLOOKUP(G186,Capacity!$A$3:$F$532,6,), "0")</f>
        <v>0</v>
      </c>
      <c r="K186" t="str">
        <f>IFERROR(VLOOKUP(J186,Capacity!$A$3:$D$532,4,), "0")</f>
        <v>0</v>
      </c>
      <c r="L186" s="4" t="str">
        <f>IFERROR(VLOOKUP(J186,Capacity!$A$3:$F$532,6,), "0")</f>
        <v>0</v>
      </c>
      <c r="M186" s="5">
        <f t="shared" si="20"/>
        <v>0</v>
      </c>
      <c r="N186" s="5">
        <f t="shared" si="21"/>
        <v>0</v>
      </c>
      <c r="O186">
        <v>214</v>
      </c>
      <c r="P186">
        <f>IFERROR(VLOOKUP(O186,Capacity!$A$3:$D$532,4,), "0")</f>
        <v>5.7726764024999992</v>
      </c>
      <c r="Q186" s="4">
        <f>IFERROR(VLOOKUP(O186,Capacity!$A$3:$F$532,6,), "0")</f>
        <v>0.17499999999999999</v>
      </c>
      <c r="R186" s="5">
        <f t="shared" si="25"/>
        <v>5.7726764024999992</v>
      </c>
      <c r="S186" s="5">
        <f t="shared" si="26"/>
        <v>0.17499999999999999</v>
      </c>
      <c r="T186">
        <v>473</v>
      </c>
      <c r="U186">
        <v>0</v>
      </c>
      <c r="V186">
        <v>0</v>
      </c>
      <c r="W186">
        <v>1</v>
      </c>
      <c r="X186">
        <f t="shared" si="22"/>
        <v>0</v>
      </c>
      <c r="Y186">
        <f t="shared" si="23"/>
        <v>0</v>
      </c>
      <c r="Z186">
        <f t="shared" si="27"/>
        <v>0</v>
      </c>
      <c r="AA186">
        <f t="shared" si="28"/>
        <v>0</v>
      </c>
      <c r="AC186">
        <f t="shared" si="29"/>
        <v>0</v>
      </c>
      <c r="AD186">
        <f t="shared" si="24"/>
        <v>0</v>
      </c>
    </row>
    <row r="187" spans="1:30" x14ac:dyDescent="0.25">
      <c r="A187">
        <v>213</v>
      </c>
      <c r="B187">
        <f>IFERROR(VLOOKUP(A187,Capacity!$A$3:$D$532,4,), "0")</f>
        <v>9.621127337499999</v>
      </c>
      <c r="C187" s="4">
        <f>IFERROR(VLOOKUP(A187,Capacity!$A$3:$F$532,6,), "0")</f>
        <v>0.17499999999999999</v>
      </c>
      <c r="D187">
        <v>474</v>
      </c>
      <c r="E187">
        <f>IFERROR(VLOOKUP(D187,Capacity!$A$3:$D$532,4,), "0")</f>
        <v>24.052818343749998</v>
      </c>
      <c r="F187" s="4">
        <f>IFERROR(VLOOKUP(D187,Capacity!$A$3:$F$532,6,), "0")</f>
        <v>0.17499999999999999</v>
      </c>
      <c r="G187">
        <v>217</v>
      </c>
      <c r="H187">
        <f>IFERROR(VLOOKUP(G187,Capacity!$A$3:$D$532,4,), "0")</f>
        <v>19.242254674999998</v>
      </c>
      <c r="I187" s="4">
        <f>IFERROR(VLOOKUP(G187,Capacity!$A$3:$F$532,6,), "0")</f>
        <v>0.17499999999999999</v>
      </c>
      <c r="K187" t="str">
        <f>IFERROR(VLOOKUP(J187,Capacity!$A$3:$D$532,4,), "0")</f>
        <v>0</v>
      </c>
      <c r="L187" s="4" t="str">
        <f>IFERROR(VLOOKUP(J187,Capacity!$A$3:$F$532,6,), "0")</f>
        <v>0</v>
      </c>
      <c r="M187" s="5">
        <f t="shared" si="20"/>
        <v>43.295073018749996</v>
      </c>
      <c r="N187" s="5">
        <f t="shared" si="21"/>
        <v>0.35</v>
      </c>
      <c r="O187">
        <v>214</v>
      </c>
      <c r="P187">
        <f>IFERROR(VLOOKUP(O187,Capacity!$A$3:$D$532,4,), "0")</f>
        <v>5.7726764024999992</v>
      </c>
      <c r="Q187" s="4">
        <f>IFERROR(VLOOKUP(O187,Capacity!$A$3:$F$532,6,), "0")</f>
        <v>0.17499999999999999</v>
      </c>
      <c r="R187" s="5">
        <f t="shared" si="25"/>
        <v>5.7726764024999992</v>
      </c>
      <c r="S187" s="5">
        <f t="shared" si="26"/>
        <v>0.17499999999999999</v>
      </c>
      <c r="T187">
        <v>213</v>
      </c>
      <c r="U187">
        <v>2</v>
      </c>
      <c r="V187">
        <v>2</v>
      </c>
      <c r="W187">
        <v>1</v>
      </c>
      <c r="X187">
        <f t="shared" si="22"/>
        <v>7.5</v>
      </c>
      <c r="Y187">
        <f t="shared" si="23"/>
        <v>4.5</v>
      </c>
      <c r="Z187">
        <f t="shared" si="27"/>
        <v>2</v>
      </c>
      <c r="AA187">
        <f t="shared" si="28"/>
        <v>2</v>
      </c>
      <c r="AC187">
        <f t="shared" si="29"/>
        <v>2.8125</v>
      </c>
      <c r="AD187">
        <f t="shared" si="24"/>
        <v>5.625</v>
      </c>
    </row>
    <row r="188" spans="1:30" x14ac:dyDescent="0.25">
      <c r="A188">
        <v>114</v>
      </c>
      <c r="B188">
        <f>IFERROR(VLOOKUP(A188,Capacity!$A$3:$D$532,4,), "0")</f>
        <v>15.079644480000002</v>
      </c>
      <c r="C188" s="4">
        <f>IFERROR(VLOOKUP(A188,Capacity!$A$3:$F$532,6,), "0")</f>
        <v>0.2</v>
      </c>
      <c r="D188">
        <v>115</v>
      </c>
      <c r="E188">
        <f>IFERROR(VLOOKUP(D188,Capacity!$A$3:$D$532,4,), "0")</f>
        <v>18.849555600000006</v>
      </c>
      <c r="F188" s="4">
        <f>IFERROR(VLOOKUP(D188,Capacity!$A$3:$F$532,6,), "0")</f>
        <v>0.2</v>
      </c>
      <c r="H188" t="str">
        <f>IFERROR(VLOOKUP(G188,Capacity!$A$3:$D$532,4,), "0")</f>
        <v>0</v>
      </c>
      <c r="I188" s="4" t="str">
        <f>IFERROR(VLOOKUP(G188,Capacity!$A$3:$F$532,6,), "0")</f>
        <v>0</v>
      </c>
      <c r="K188" t="str">
        <f>IFERROR(VLOOKUP(J188,Capacity!$A$3:$D$532,4,), "0")</f>
        <v>0</v>
      </c>
      <c r="L188" s="4" t="str">
        <f>IFERROR(VLOOKUP(J188,Capacity!$A$3:$F$532,6,), "0")</f>
        <v>0</v>
      </c>
      <c r="M188" s="5">
        <f t="shared" si="20"/>
        <v>18.849555600000006</v>
      </c>
      <c r="N188" s="5">
        <f t="shared" si="21"/>
        <v>0.2</v>
      </c>
      <c r="O188">
        <v>111</v>
      </c>
      <c r="P188">
        <f>IFERROR(VLOOKUP(O188,Capacity!$A$3:$D$532,4,), "0")</f>
        <v>12.566370400000004</v>
      </c>
      <c r="Q188" s="4">
        <f>IFERROR(VLOOKUP(O188,Capacity!$A$3:$F$532,6,), "0")</f>
        <v>0.2</v>
      </c>
      <c r="R188" s="5">
        <f t="shared" si="25"/>
        <v>12.566370400000004</v>
      </c>
      <c r="S188" s="5">
        <f t="shared" si="26"/>
        <v>0.2</v>
      </c>
      <c r="T188">
        <v>114</v>
      </c>
      <c r="U188">
        <v>1</v>
      </c>
      <c r="V188">
        <v>1</v>
      </c>
      <c r="W188">
        <v>1</v>
      </c>
      <c r="X188">
        <f t="shared" si="22"/>
        <v>1.5</v>
      </c>
      <c r="Y188">
        <f t="shared" si="23"/>
        <v>1.2500000000000002</v>
      </c>
      <c r="Z188">
        <f t="shared" si="27"/>
        <v>1</v>
      </c>
      <c r="AA188">
        <f t="shared" si="28"/>
        <v>1</v>
      </c>
      <c r="AC188">
        <f t="shared" si="29"/>
        <v>0.68181818181818188</v>
      </c>
      <c r="AD188">
        <f t="shared" si="24"/>
        <v>0.68181818181818188</v>
      </c>
    </row>
    <row r="189" spans="1:30" x14ac:dyDescent="0.25">
      <c r="A189">
        <v>110</v>
      </c>
      <c r="B189">
        <f>IFERROR(VLOOKUP(A189,Capacity!$A$3:$D$532,4,), "0")</f>
        <v>17.592918560000005</v>
      </c>
      <c r="C189" s="4">
        <f>IFERROR(VLOOKUP(A189,Capacity!$A$3:$F$532,6,), "0")</f>
        <v>0.2</v>
      </c>
      <c r="D189">
        <v>109</v>
      </c>
      <c r="E189">
        <f>IFERROR(VLOOKUP(D189,Capacity!$A$3:$D$532,4,), "0")</f>
        <v>14.431691006249999</v>
      </c>
      <c r="F189" s="4">
        <f>IFERROR(VLOOKUP(D189,Capacity!$A$3:$F$532,6,), "0")</f>
        <v>0.17499999999999999</v>
      </c>
      <c r="G189">
        <v>106</v>
      </c>
      <c r="H189">
        <f>IFERROR(VLOOKUP(G189,Capacity!$A$3:$D$532,4,), "0")</f>
        <v>13.469578272499998</v>
      </c>
      <c r="I189" s="4">
        <f>IFERROR(VLOOKUP(G189,Capacity!$A$3:$F$532,6,), "0")</f>
        <v>0.17499999999999999</v>
      </c>
      <c r="K189" t="str">
        <f>IFERROR(VLOOKUP(J189,Capacity!$A$3:$D$532,4,), "0")</f>
        <v>0</v>
      </c>
      <c r="L189" s="4" t="str">
        <f>IFERROR(VLOOKUP(J189,Capacity!$A$3:$F$532,6,), "0")</f>
        <v>0</v>
      </c>
      <c r="M189" s="5">
        <f t="shared" si="20"/>
        <v>27.901269278749997</v>
      </c>
      <c r="N189" s="5">
        <f t="shared" si="21"/>
        <v>0.35</v>
      </c>
      <c r="O189">
        <v>111</v>
      </c>
      <c r="P189">
        <f>IFERROR(VLOOKUP(O189,Capacity!$A$3:$D$532,4,), "0")</f>
        <v>12.566370400000004</v>
      </c>
      <c r="Q189" s="4">
        <f>IFERROR(VLOOKUP(O189,Capacity!$A$3:$F$532,6,), "0")</f>
        <v>0.2</v>
      </c>
      <c r="R189" s="5">
        <f t="shared" si="25"/>
        <v>12.566370400000004</v>
      </c>
      <c r="S189" s="5">
        <f t="shared" si="26"/>
        <v>0.2</v>
      </c>
      <c r="T189">
        <v>110</v>
      </c>
      <c r="U189">
        <v>2</v>
      </c>
      <c r="V189">
        <v>2</v>
      </c>
      <c r="W189">
        <v>1</v>
      </c>
      <c r="X189">
        <f t="shared" si="22"/>
        <v>2.220312499999999</v>
      </c>
      <c r="Y189">
        <f t="shared" si="23"/>
        <v>1.5859374999999993</v>
      </c>
      <c r="Z189">
        <f t="shared" si="27"/>
        <v>1.7499999999999998</v>
      </c>
      <c r="AA189">
        <f t="shared" si="28"/>
        <v>1.7499999999999998</v>
      </c>
      <c r="AC189">
        <f t="shared" si="29"/>
        <v>0.92513020833333293</v>
      </c>
      <c r="AD189">
        <f t="shared" si="24"/>
        <v>1.8502604166666659</v>
      </c>
    </row>
    <row r="190" spans="1:30" x14ac:dyDescent="0.25">
      <c r="A190">
        <v>117</v>
      </c>
      <c r="B190">
        <f>IFERROR(VLOOKUP(A190,Capacity!$A$3:$D$532,4,), "0")</f>
        <v>16.836972840624998</v>
      </c>
      <c r="C190" s="4">
        <f>IFERROR(VLOOKUP(A190,Capacity!$A$3:$F$532,6,), "0")</f>
        <v>0.17499999999999999</v>
      </c>
      <c r="D190">
        <v>436</v>
      </c>
      <c r="E190">
        <f>IFERROR(VLOOKUP(D190,Capacity!$A$3:$D$532,4,), "0")</f>
        <v>10.58324007125</v>
      </c>
      <c r="F190" s="4">
        <f>IFERROR(VLOOKUP(D190,Capacity!$A$3:$F$532,6,), "0")</f>
        <v>0.17499999999999999</v>
      </c>
      <c r="H190" t="str">
        <f>IFERROR(VLOOKUP(G190,Capacity!$A$3:$D$532,4,), "0")</f>
        <v>0</v>
      </c>
      <c r="I190" s="4" t="str">
        <f>IFERROR(VLOOKUP(G190,Capacity!$A$3:$F$532,6,), "0")</f>
        <v>0</v>
      </c>
      <c r="K190" t="str">
        <f>IFERROR(VLOOKUP(J190,Capacity!$A$3:$D$532,4,), "0")</f>
        <v>0</v>
      </c>
      <c r="L190" s="4" t="str">
        <f>IFERROR(VLOOKUP(J190,Capacity!$A$3:$F$532,6,), "0")</f>
        <v>0</v>
      </c>
      <c r="M190" s="5">
        <f t="shared" si="20"/>
        <v>10.58324007125</v>
      </c>
      <c r="N190" s="5">
        <f t="shared" si="21"/>
        <v>0.17499999999999999</v>
      </c>
      <c r="O190">
        <v>118</v>
      </c>
      <c r="P190">
        <f>IFERROR(VLOOKUP(O190,Capacity!$A$3:$D$532,4,), "0")</f>
        <v>14.431691006249999</v>
      </c>
      <c r="Q190" s="4">
        <f>IFERROR(VLOOKUP(O190,Capacity!$A$3:$F$532,6,), "0")</f>
        <v>0.17499999999999999</v>
      </c>
      <c r="R190" s="5">
        <f t="shared" si="25"/>
        <v>14.431691006249999</v>
      </c>
      <c r="S190" s="5">
        <f t="shared" si="26"/>
        <v>0.17499999999999999</v>
      </c>
      <c r="T190">
        <v>117</v>
      </c>
      <c r="U190">
        <v>1</v>
      </c>
      <c r="V190">
        <v>1</v>
      </c>
      <c r="W190">
        <v>1</v>
      </c>
      <c r="X190">
        <f t="shared" si="22"/>
        <v>0.73333333333333339</v>
      </c>
      <c r="Y190">
        <f t="shared" si="23"/>
        <v>0.62857142857142856</v>
      </c>
      <c r="Z190">
        <f t="shared" si="27"/>
        <v>1</v>
      </c>
      <c r="AA190">
        <f t="shared" si="28"/>
        <v>1</v>
      </c>
      <c r="AC190">
        <f t="shared" si="29"/>
        <v>0.33846153846153848</v>
      </c>
      <c r="AD190">
        <f t="shared" si="24"/>
        <v>0.33846153846153848</v>
      </c>
    </row>
    <row r="191" spans="1:30" x14ac:dyDescent="0.25">
      <c r="A191">
        <v>54</v>
      </c>
      <c r="B191">
        <f>IFERROR(VLOOKUP(A191,Capacity!$A$3:$D$532,4,), "0")</f>
        <v>7.6969018699999987</v>
      </c>
      <c r="C191" s="4">
        <f>IFERROR(VLOOKUP(A191,Capacity!$A$3:$F$532,6,), "0")</f>
        <v>0.17499999999999999</v>
      </c>
      <c r="D191">
        <v>425</v>
      </c>
      <c r="E191">
        <f>IFERROR(VLOOKUP(D191,Capacity!$A$3:$D$532,4,), "0")</f>
        <v>21.647536509374998</v>
      </c>
      <c r="F191" s="4">
        <f>IFERROR(VLOOKUP(D191,Capacity!$A$3:$F$532,6,), "0")</f>
        <v>0.17499999999999999</v>
      </c>
      <c r="G191">
        <v>379</v>
      </c>
      <c r="H191">
        <f>IFERROR(VLOOKUP(G191,Capacity!$A$3:$D$532,4,), "0")</f>
        <v>7.6969018699999987</v>
      </c>
      <c r="I191" s="4">
        <f>IFERROR(VLOOKUP(G191,Capacity!$A$3:$F$532,6,), "0")</f>
        <v>0.17499999999999999</v>
      </c>
      <c r="J191">
        <v>360</v>
      </c>
      <c r="K191">
        <f>IFERROR(VLOOKUP(J191,Capacity!$A$3:$D$532,4,), "0")</f>
        <v>25.014931077499998</v>
      </c>
      <c r="L191" s="4">
        <f>IFERROR(VLOOKUP(J191,Capacity!$A$3:$F$532,6,), "0")</f>
        <v>0.17499999999999999</v>
      </c>
      <c r="M191" s="5">
        <f t="shared" si="20"/>
        <v>54.359369456874994</v>
      </c>
      <c r="N191" s="5">
        <f t="shared" si="21"/>
        <v>0.52499999999999991</v>
      </c>
      <c r="O191">
        <v>53</v>
      </c>
      <c r="P191">
        <f>IFERROR(VLOOKUP(O191,Capacity!$A$3:$D$532,4,), "0")</f>
        <v>28.274333400000007</v>
      </c>
      <c r="Q191" s="4">
        <f>IFERROR(VLOOKUP(O191,Capacity!$A$3:$F$532,6,), "0")</f>
        <v>0.2</v>
      </c>
      <c r="R191" s="5">
        <f t="shared" si="25"/>
        <v>28.274333400000007</v>
      </c>
      <c r="S191" s="5">
        <f t="shared" si="26"/>
        <v>0.2</v>
      </c>
      <c r="T191">
        <v>54</v>
      </c>
      <c r="U191">
        <v>3</v>
      </c>
      <c r="V191">
        <v>3</v>
      </c>
      <c r="W191">
        <v>1</v>
      </c>
      <c r="X191">
        <f t="shared" si="22"/>
        <v>1.9225694444444437</v>
      </c>
      <c r="Y191">
        <f t="shared" si="23"/>
        <v>7.0625</v>
      </c>
      <c r="Z191">
        <f t="shared" si="27"/>
        <v>2.6249999999999996</v>
      </c>
      <c r="AA191">
        <f t="shared" si="28"/>
        <v>2.9999999999999996</v>
      </c>
      <c r="AC191">
        <f t="shared" si="29"/>
        <v>1.5111899563318771</v>
      </c>
      <c r="AD191">
        <f t="shared" si="24"/>
        <v>4.533569868995631</v>
      </c>
    </row>
    <row r="192" spans="1:30" x14ac:dyDescent="0.25">
      <c r="A192">
        <v>18</v>
      </c>
      <c r="B192">
        <f>IFERROR(VLOOKUP(A192,Capacity!$A$3:$D$532,4,), "0")</f>
        <v>32.672563040000007</v>
      </c>
      <c r="C192" s="4">
        <f>IFERROR(VLOOKUP(A192,Capacity!$A$3:$F$532,6,), "0")</f>
        <v>0.2</v>
      </c>
      <c r="D192">
        <v>17</v>
      </c>
      <c r="E192">
        <f>IFERROR(VLOOKUP(D192,Capacity!$A$3:$D$532,4,), "0")</f>
        <v>10.053096320000002</v>
      </c>
      <c r="F192" s="4">
        <f>IFERROR(VLOOKUP(D192,Capacity!$A$3:$F$532,6,), "0")</f>
        <v>0.2</v>
      </c>
      <c r="H192" t="str">
        <f>IFERROR(VLOOKUP(G192,Capacity!$A$3:$D$532,4,), "0")</f>
        <v>0</v>
      </c>
      <c r="I192" s="4" t="str">
        <f>IFERROR(VLOOKUP(G192,Capacity!$A$3:$F$532,6,), "0")</f>
        <v>0</v>
      </c>
      <c r="K192" t="str">
        <f>IFERROR(VLOOKUP(J192,Capacity!$A$3:$D$532,4,), "0")</f>
        <v>0</v>
      </c>
      <c r="L192" s="4" t="str">
        <f>IFERROR(VLOOKUP(J192,Capacity!$A$3:$F$532,6,), "0")</f>
        <v>0</v>
      </c>
      <c r="M192" s="5">
        <f t="shared" si="20"/>
        <v>10.053096320000002</v>
      </c>
      <c r="N192" s="5">
        <f t="shared" si="21"/>
        <v>0.2</v>
      </c>
      <c r="O192">
        <v>53</v>
      </c>
      <c r="P192">
        <f>IFERROR(VLOOKUP(O192,Capacity!$A$3:$D$532,4,), "0")</f>
        <v>28.274333400000007</v>
      </c>
      <c r="Q192" s="4">
        <f>IFERROR(VLOOKUP(O192,Capacity!$A$3:$F$532,6,), "0")</f>
        <v>0.2</v>
      </c>
      <c r="R192" s="5">
        <f t="shared" si="25"/>
        <v>28.274333400000007</v>
      </c>
      <c r="S192" s="5">
        <f t="shared" si="26"/>
        <v>0.2</v>
      </c>
      <c r="T192">
        <v>18</v>
      </c>
      <c r="U192">
        <v>1</v>
      </c>
      <c r="V192">
        <v>1</v>
      </c>
      <c r="W192">
        <v>1</v>
      </c>
      <c r="X192">
        <f t="shared" si="22"/>
        <v>0.35555555555555551</v>
      </c>
      <c r="Y192">
        <f t="shared" si="23"/>
        <v>0.30769230769230765</v>
      </c>
      <c r="Z192">
        <f t="shared" si="27"/>
        <v>1</v>
      </c>
      <c r="AA192">
        <f t="shared" si="28"/>
        <v>1</v>
      </c>
      <c r="AC192">
        <f t="shared" si="29"/>
        <v>0.16494845360824739</v>
      </c>
      <c r="AD192">
        <f t="shared" si="24"/>
        <v>0.16494845360824739</v>
      </c>
    </row>
    <row r="193" spans="1:30" x14ac:dyDescent="0.25">
      <c r="A193">
        <v>426</v>
      </c>
      <c r="B193">
        <f>IFERROR(VLOOKUP(A193,Capacity!$A$3:$D$532,4,), "0")</f>
        <v>7.6969018699999987</v>
      </c>
      <c r="C193" s="4">
        <f>IFERROR(VLOOKUP(A193,Capacity!$A$3:$F$532,6,), "0")</f>
        <v>0.17499999999999999</v>
      </c>
      <c r="E193" t="str">
        <f>IFERROR(VLOOKUP(D193,Capacity!$A$3:$D$532,4,), "0")</f>
        <v>0</v>
      </c>
      <c r="F193" s="4" t="str">
        <f>IFERROR(VLOOKUP(D193,Capacity!$A$3:$F$532,6,), "0")</f>
        <v>0</v>
      </c>
      <c r="H193" t="str">
        <f>IFERROR(VLOOKUP(G193,Capacity!$A$3:$D$532,4,), "0")</f>
        <v>0</v>
      </c>
      <c r="I193" s="4" t="str">
        <f>IFERROR(VLOOKUP(G193,Capacity!$A$3:$F$532,6,), "0")</f>
        <v>0</v>
      </c>
      <c r="K193" t="str">
        <f>IFERROR(VLOOKUP(J193,Capacity!$A$3:$D$532,4,), "0")</f>
        <v>0</v>
      </c>
      <c r="L193" s="4" t="str">
        <f>IFERROR(VLOOKUP(J193,Capacity!$A$3:$F$532,6,), "0")</f>
        <v>0</v>
      </c>
      <c r="M193" s="5">
        <f t="shared" si="20"/>
        <v>0</v>
      </c>
      <c r="N193" s="5">
        <f t="shared" si="21"/>
        <v>0</v>
      </c>
      <c r="O193">
        <v>95</v>
      </c>
      <c r="P193">
        <f>IFERROR(VLOOKUP(O193,Capacity!$A$3:$D$532,4,), "0")</f>
        <v>30.886567646900005</v>
      </c>
      <c r="Q193" s="4">
        <f>IFERROR(VLOOKUP(O193,Capacity!$A$3:$F$532,6,), "0")</f>
        <v>0.26500000000000001</v>
      </c>
      <c r="R193" s="5">
        <f t="shared" si="25"/>
        <v>30.886567646900005</v>
      </c>
      <c r="S193" s="5">
        <f t="shared" si="26"/>
        <v>0.26500000000000001</v>
      </c>
      <c r="T193">
        <v>426</v>
      </c>
      <c r="U193">
        <v>0</v>
      </c>
      <c r="V193">
        <v>0</v>
      </c>
      <c r="W193">
        <v>1</v>
      </c>
      <c r="X193">
        <f t="shared" si="22"/>
        <v>0</v>
      </c>
      <c r="Y193">
        <f t="shared" si="23"/>
        <v>0</v>
      </c>
      <c r="Z193">
        <f t="shared" si="27"/>
        <v>0</v>
      </c>
      <c r="AA193">
        <f t="shared" si="28"/>
        <v>0</v>
      </c>
      <c r="AC193">
        <f t="shared" si="29"/>
        <v>0</v>
      </c>
      <c r="AD193">
        <f t="shared" si="24"/>
        <v>0</v>
      </c>
    </row>
    <row r="194" spans="1:30" x14ac:dyDescent="0.25">
      <c r="A194">
        <v>96</v>
      </c>
      <c r="B194">
        <f>IFERROR(VLOOKUP(A194,Capacity!$A$3:$D$532,4,), "0")</f>
        <v>7.6969018699999987</v>
      </c>
      <c r="C194" s="4">
        <f>IFERROR(VLOOKUP(A194,Capacity!$A$3:$F$532,6,), "0")</f>
        <v>0.17499999999999999</v>
      </c>
      <c r="E194" t="str">
        <f>IFERROR(VLOOKUP(D194,Capacity!$A$3:$D$532,4,), "0")</f>
        <v>0</v>
      </c>
      <c r="F194" s="4" t="str">
        <f>IFERROR(VLOOKUP(D194,Capacity!$A$3:$F$532,6,), "0")</f>
        <v>0</v>
      </c>
      <c r="H194" t="str">
        <f>IFERROR(VLOOKUP(G194,Capacity!$A$3:$D$532,4,), "0")</f>
        <v>0</v>
      </c>
      <c r="I194" s="4" t="str">
        <f>IFERROR(VLOOKUP(G194,Capacity!$A$3:$F$532,6,), "0")</f>
        <v>0</v>
      </c>
      <c r="K194" t="str">
        <f>IFERROR(VLOOKUP(J194,Capacity!$A$3:$D$532,4,), "0")</f>
        <v>0</v>
      </c>
      <c r="L194" s="4" t="str">
        <f>IFERROR(VLOOKUP(J194,Capacity!$A$3:$F$532,6,), "0")</f>
        <v>0</v>
      </c>
      <c r="M194" s="5">
        <f t="shared" ref="M194:M257" si="30">$E194+$H194+$K194</f>
        <v>0</v>
      </c>
      <c r="N194" s="5">
        <f t="shared" si="21"/>
        <v>0</v>
      </c>
      <c r="O194">
        <v>95</v>
      </c>
      <c r="P194">
        <f>IFERROR(VLOOKUP(O194,Capacity!$A$3:$D$532,4,), "0")</f>
        <v>30.886567646900005</v>
      </c>
      <c r="Q194" s="4">
        <f>IFERROR(VLOOKUP(O194,Capacity!$A$3:$F$532,6,), "0")</f>
        <v>0.26500000000000001</v>
      </c>
      <c r="R194" s="5">
        <f t="shared" si="25"/>
        <v>30.886567646900005</v>
      </c>
      <c r="S194" s="5">
        <f t="shared" si="26"/>
        <v>0.26500000000000001</v>
      </c>
      <c r="T194">
        <v>96</v>
      </c>
      <c r="U194">
        <v>0</v>
      </c>
      <c r="V194">
        <v>0</v>
      </c>
      <c r="W194">
        <v>1</v>
      </c>
      <c r="X194">
        <f t="shared" si="22"/>
        <v>0</v>
      </c>
      <c r="Y194">
        <f t="shared" si="23"/>
        <v>0</v>
      </c>
      <c r="Z194">
        <f t="shared" si="27"/>
        <v>0</v>
      </c>
      <c r="AA194">
        <f t="shared" si="28"/>
        <v>0</v>
      </c>
      <c r="AC194">
        <f t="shared" si="29"/>
        <v>0</v>
      </c>
      <c r="AD194">
        <f t="shared" si="24"/>
        <v>0</v>
      </c>
    </row>
    <row r="195" spans="1:30" x14ac:dyDescent="0.25">
      <c r="A195">
        <v>55</v>
      </c>
      <c r="B195">
        <f>IFERROR(VLOOKUP(A195,Capacity!$A$3:$D$532,4,), "0")</f>
        <v>21.647536509374998</v>
      </c>
      <c r="C195" s="4">
        <f>IFERROR(VLOOKUP(A195,Capacity!$A$3:$F$532,6,), "0")</f>
        <v>0.17499999999999999</v>
      </c>
      <c r="D195">
        <v>56</v>
      </c>
      <c r="E195">
        <f>IFERROR(VLOOKUP(D195,Capacity!$A$3:$D$532,4,), "0")</f>
        <v>7.6969018699999987</v>
      </c>
      <c r="F195" s="4">
        <f>IFERROR(VLOOKUP(D195,Capacity!$A$3:$F$532,6,), "0")</f>
        <v>0.17499999999999999</v>
      </c>
      <c r="G195">
        <v>16</v>
      </c>
      <c r="H195">
        <f>IFERROR(VLOOKUP(G195,Capacity!$A$3:$D$532,4,), "0")</f>
        <v>57.36076848710001</v>
      </c>
      <c r="I195" s="4">
        <f>IFERROR(VLOOKUP(G195,Capacity!$A$3:$F$532,6,), "0")</f>
        <v>0.26500000000000001</v>
      </c>
      <c r="K195" t="str">
        <f>IFERROR(VLOOKUP(J195,Capacity!$A$3:$D$532,4,), "0")</f>
        <v>0</v>
      </c>
      <c r="L195" s="4" t="str">
        <f>IFERROR(VLOOKUP(J195,Capacity!$A$3:$F$532,6,), "0")</f>
        <v>0</v>
      </c>
      <c r="M195" s="5">
        <f t="shared" si="30"/>
        <v>65.057670357100008</v>
      </c>
      <c r="N195" s="5">
        <f t="shared" ref="N195:N258" si="31">$F195+$I195+$L195</f>
        <v>0.44</v>
      </c>
      <c r="O195">
        <v>95</v>
      </c>
      <c r="P195">
        <f>IFERROR(VLOOKUP(O195,Capacity!$A$3:$D$532,4,), "0")</f>
        <v>30.886567646900005</v>
      </c>
      <c r="Q195" s="4">
        <f>IFERROR(VLOOKUP(O195,Capacity!$A$3:$F$532,6,), "0")</f>
        <v>0.26500000000000001</v>
      </c>
      <c r="R195" s="5">
        <f t="shared" si="25"/>
        <v>30.886567646900005</v>
      </c>
      <c r="S195" s="5">
        <f t="shared" si="26"/>
        <v>0.26500000000000001</v>
      </c>
      <c r="T195">
        <v>55</v>
      </c>
      <c r="U195">
        <v>2</v>
      </c>
      <c r="V195">
        <v>2</v>
      </c>
      <c r="W195">
        <v>1</v>
      </c>
      <c r="X195">
        <f t="shared" ref="X195:X258" si="32">($M195/$R195)</f>
        <v>2.1063418603468445</v>
      </c>
      <c r="Y195">
        <f t="shared" ref="Y195:Y258" si="33">($M195/$B195)</f>
        <v>3.0053151927437649</v>
      </c>
      <c r="Z195">
        <f t="shared" si="27"/>
        <v>1.6603773584905659</v>
      </c>
      <c r="AA195">
        <f t="shared" si="28"/>
        <v>2.5142857142857147</v>
      </c>
      <c r="AC195">
        <f t="shared" si="29"/>
        <v>1.2383892597382211</v>
      </c>
      <c r="AD195">
        <f t="shared" ref="AD195:AD258" si="34">U195*AC195</f>
        <v>2.4767785194764422</v>
      </c>
    </row>
    <row r="196" spans="1:30" x14ac:dyDescent="0.25">
      <c r="A196">
        <v>438</v>
      </c>
      <c r="B196">
        <f>IFERROR(VLOOKUP(A196,Capacity!$A$3:$D$532,4,), "0")</f>
        <v>124.40706696000001</v>
      </c>
      <c r="C196" s="4">
        <f>IFERROR(VLOOKUP(A196,Capacity!$A$3:$F$532,6,), "0")</f>
        <v>0.6</v>
      </c>
      <c r="E196" t="str">
        <f>IFERROR(VLOOKUP(D196,Capacity!$A$3:$D$532,4,), "0")</f>
        <v>0</v>
      </c>
      <c r="F196" s="4" t="str">
        <f>IFERROR(VLOOKUP(D196,Capacity!$A$3:$F$532,6,), "0")</f>
        <v>0</v>
      </c>
      <c r="H196" t="str">
        <f>IFERROR(VLOOKUP(G196,Capacity!$A$3:$D$532,4,), "0")</f>
        <v>0</v>
      </c>
      <c r="I196" s="4" t="str">
        <f>IFERROR(VLOOKUP(G196,Capacity!$A$3:$F$532,6,), "0")</f>
        <v>0</v>
      </c>
      <c r="K196" t="str">
        <f>IFERROR(VLOOKUP(J196,Capacity!$A$3:$D$532,4,), "0")</f>
        <v>0</v>
      </c>
      <c r="L196" s="4" t="str">
        <f>IFERROR(VLOOKUP(J196,Capacity!$A$3:$F$532,6,), "0")</f>
        <v>0</v>
      </c>
      <c r="M196" s="5">
        <f t="shared" si="30"/>
        <v>0</v>
      </c>
      <c r="N196" s="5">
        <f t="shared" si="31"/>
        <v>0</v>
      </c>
      <c r="O196">
        <v>123</v>
      </c>
      <c r="P196">
        <f>IFERROR(VLOOKUP(O196,Capacity!$A$3:$D$532,4,), "0")</f>
        <v>7.6969018699999987</v>
      </c>
      <c r="Q196" s="4">
        <f>IFERROR(VLOOKUP(O196,Capacity!$A$3:$F$532,6,), "0")</f>
        <v>0.17499999999999999</v>
      </c>
      <c r="R196" s="5">
        <f t="shared" ref="R196:R259" si="35">$P196</f>
        <v>7.6969018699999987</v>
      </c>
      <c r="S196" s="5">
        <f t="shared" ref="S196:S259" si="36">$Q196</f>
        <v>0.17499999999999999</v>
      </c>
      <c r="T196">
        <v>438</v>
      </c>
      <c r="U196">
        <v>0</v>
      </c>
      <c r="V196">
        <v>0</v>
      </c>
      <c r="W196">
        <v>1</v>
      </c>
      <c r="X196">
        <f t="shared" si="32"/>
        <v>0</v>
      </c>
      <c r="Y196">
        <f t="shared" si="33"/>
        <v>0</v>
      </c>
      <c r="Z196">
        <f t="shared" ref="Z196:Z259" si="37">($N196/$S196)</f>
        <v>0</v>
      </c>
      <c r="AA196">
        <f t="shared" ref="AA196:AA259" si="38">($N196/$C196)</f>
        <v>0</v>
      </c>
      <c r="AC196">
        <f t="shared" ref="AC196:AC259" si="39">$M196/($R196+$B196)</f>
        <v>0</v>
      </c>
      <c r="AD196">
        <f t="shared" si="34"/>
        <v>0</v>
      </c>
    </row>
    <row r="197" spans="1:30" x14ac:dyDescent="0.25">
      <c r="A197">
        <v>98</v>
      </c>
      <c r="B197">
        <f>IFERROR(VLOOKUP(A197,Capacity!$A$3:$D$532,4,), "0")</f>
        <v>25.446900060000001</v>
      </c>
      <c r="C197" s="4">
        <f>IFERROR(VLOOKUP(A197,Capacity!$A$3:$F$532,6,), "0")</f>
        <v>0.3</v>
      </c>
      <c r="D197">
        <v>99</v>
      </c>
      <c r="E197">
        <f>IFERROR(VLOOKUP(D197,Capacity!$A$3:$D$532,4,), "0")</f>
        <v>29.688050070000003</v>
      </c>
      <c r="F197" s="4">
        <f>IFERROR(VLOOKUP(D197,Capacity!$A$3:$F$532,6,), "0")</f>
        <v>0.3</v>
      </c>
      <c r="G197">
        <v>97</v>
      </c>
      <c r="H197">
        <f>IFERROR(VLOOKUP(G197,Capacity!$A$3:$D$532,4,), "0")</f>
        <v>203.57520048000001</v>
      </c>
      <c r="I197" s="4">
        <f>IFERROR(VLOOKUP(G197,Capacity!$A$3:$F$532,6,), "0")</f>
        <v>0.9</v>
      </c>
      <c r="K197" t="str">
        <f>IFERROR(VLOOKUP(J197,Capacity!$A$3:$D$532,4,), "0")</f>
        <v>0</v>
      </c>
      <c r="L197" s="4" t="str">
        <f>IFERROR(VLOOKUP(J197,Capacity!$A$3:$F$532,6,), "0")</f>
        <v>0</v>
      </c>
      <c r="M197" s="5">
        <f t="shared" si="30"/>
        <v>233.26325055000001</v>
      </c>
      <c r="N197" s="5">
        <f t="shared" si="31"/>
        <v>1.2</v>
      </c>
      <c r="O197">
        <v>123</v>
      </c>
      <c r="P197">
        <f>IFERROR(VLOOKUP(O197,Capacity!$A$3:$D$532,4,), "0")</f>
        <v>7.6969018699999987</v>
      </c>
      <c r="Q197" s="4">
        <f>IFERROR(VLOOKUP(O197,Capacity!$A$3:$F$532,6,), "0")</f>
        <v>0.17499999999999999</v>
      </c>
      <c r="R197" s="5">
        <f t="shared" si="35"/>
        <v>7.6969018699999987</v>
      </c>
      <c r="S197" s="5">
        <f t="shared" si="36"/>
        <v>0.17499999999999999</v>
      </c>
      <c r="T197">
        <v>98</v>
      </c>
      <c r="U197">
        <v>2</v>
      </c>
      <c r="V197">
        <v>2</v>
      </c>
      <c r="W197">
        <v>1</v>
      </c>
      <c r="X197">
        <f t="shared" si="32"/>
        <v>30.306122448979597</v>
      </c>
      <c r="Y197">
        <f t="shared" si="33"/>
        <v>9.1666666666666661</v>
      </c>
      <c r="Z197">
        <f t="shared" si="37"/>
        <v>6.8571428571428577</v>
      </c>
      <c r="AA197">
        <f t="shared" si="38"/>
        <v>4</v>
      </c>
      <c r="AC197">
        <f t="shared" si="39"/>
        <v>7.0379146919431275</v>
      </c>
      <c r="AD197">
        <f t="shared" si="34"/>
        <v>14.075829383886255</v>
      </c>
    </row>
    <row r="198" spans="1:30" x14ac:dyDescent="0.25">
      <c r="A198">
        <v>361</v>
      </c>
      <c r="B198">
        <f>IFERROR(VLOOKUP(A198,Capacity!$A$3:$D$532,4,), "0")</f>
        <v>3.8484509349999994</v>
      </c>
      <c r="C198" s="4">
        <f>IFERROR(VLOOKUP(A198,Capacity!$A$3:$F$532,6,), "0")</f>
        <v>0.17499999999999999</v>
      </c>
      <c r="E198" t="str">
        <f>IFERROR(VLOOKUP(D198,Capacity!$A$3:$D$532,4,), "0")</f>
        <v>0</v>
      </c>
      <c r="F198" s="4" t="str">
        <f>IFERROR(VLOOKUP(D198,Capacity!$A$3:$F$532,6,), "0")</f>
        <v>0</v>
      </c>
      <c r="H198" t="str">
        <f>IFERROR(VLOOKUP(G198,Capacity!$A$3:$D$532,4,), "0")</f>
        <v>0</v>
      </c>
      <c r="I198" s="4" t="str">
        <f>IFERROR(VLOOKUP(G198,Capacity!$A$3:$F$532,6,), "0")</f>
        <v>0</v>
      </c>
      <c r="K198" t="str">
        <f>IFERROR(VLOOKUP(J198,Capacity!$A$3:$D$532,4,), "0")</f>
        <v>0</v>
      </c>
      <c r="L198" s="4" t="str">
        <f>IFERROR(VLOOKUP(J198,Capacity!$A$3:$F$532,6,), "0")</f>
        <v>0</v>
      </c>
      <c r="M198" s="5">
        <f t="shared" si="30"/>
        <v>0</v>
      </c>
      <c r="N198" s="5">
        <f t="shared" si="31"/>
        <v>0</v>
      </c>
      <c r="O198">
        <v>19</v>
      </c>
      <c r="P198">
        <f>IFERROR(VLOOKUP(O198,Capacity!$A$3:$D$532,4,), "0")</f>
        <v>57.36076848710001</v>
      </c>
      <c r="Q198" s="4">
        <f>IFERROR(VLOOKUP(O198,Capacity!$A$3:$F$532,6,), "0")</f>
        <v>0.26500000000000001</v>
      </c>
      <c r="R198" s="5">
        <f t="shared" si="35"/>
        <v>57.36076848710001</v>
      </c>
      <c r="S198" s="5">
        <f t="shared" si="36"/>
        <v>0.26500000000000001</v>
      </c>
      <c r="T198">
        <v>361</v>
      </c>
      <c r="U198">
        <v>0</v>
      </c>
      <c r="V198">
        <v>0</v>
      </c>
      <c r="W198">
        <v>1</v>
      </c>
      <c r="X198">
        <f t="shared" si="32"/>
        <v>0</v>
      </c>
      <c r="Y198">
        <f t="shared" si="33"/>
        <v>0</v>
      </c>
      <c r="Z198">
        <f t="shared" si="37"/>
        <v>0</v>
      </c>
      <c r="AA198">
        <f t="shared" si="38"/>
        <v>0</v>
      </c>
      <c r="AC198">
        <f t="shared" si="39"/>
        <v>0</v>
      </c>
      <c r="AD198">
        <f t="shared" si="34"/>
        <v>0</v>
      </c>
    </row>
    <row r="199" spans="1:30" x14ac:dyDescent="0.25">
      <c r="A199">
        <v>5</v>
      </c>
      <c r="B199">
        <f>IFERROR(VLOOKUP(A199,Capacity!$A$3:$D$532,4,), "0")</f>
        <v>39.711301260300004</v>
      </c>
      <c r="C199" s="4">
        <f>IFERROR(VLOOKUP(A199,Capacity!$A$3:$F$532,6,), "0")</f>
        <v>0.26500000000000001</v>
      </c>
      <c r="D199">
        <v>351</v>
      </c>
      <c r="E199">
        <f>IFERROR(VLOOKUP(D199,Capacity!$A$3:$D$532,4,), "0")</f>
        <v>7.2158455031249993</v>
      </c>
      <c r="F199" s="4">
        <f>IFERROR(VLOOKUP(D199,Capacity!$A$3:$F$532,6,), "0")</f>
        <v>0.17499999999999999</v>
      </c>
      <c r="G199">
        <v>243</v>
      </c>
      <c r="H199">
        <f>IFERROR(VLOOKUP(G199,Capacity!$A$3:$D$532,4,), "0")</f>
        <v>15.079644480000002</v>
      </c>
      <c r="I199" s="4">
        <f>IFERROR(VLOOKUP(G199,Capacity!$A$3:$F$532,6,), "0")</f>
        <v>0.2</v>
      </c>
      <c r="J199">
        <v>6</v>
      </c>
      <c r="K199">
        <f>IFERROR(VLOOKUP(J199,Capacity!$A$3:$D$532,4,), "0")</f>
        <v>16.546375525125004</v>
      </c>
      <c r="L199" s="4">
        <f>IFERROR(VLOOKUP(J199,Capacity!$A$3:$F$532,6,), "0")</f>
        <v>0.26500000000000001</v>
      </c>
      <c r="M199" s="5">
        <f t="shared" si="30"/>
        <v>38.841865508250009</v>
      </c>
      <c r="N199" s="5">
        <f t="shared" si="31"/>
        <v>0.64</v>
      </c>
      <c r="O199">
        <v>19</v>
      </c>
      <c r="P199">
        <f>IFERROR(VLOOKUP(O199,Capacity!$A$3:$D$532,4,), "0")</f>
        <v>57.36076848710001</v>
      </c>
      <c r="Q199" s="4">
        <f>IFERROR(VLOOKUP(O199,Capacity!$A$3:$F$532,6,), "0")</f>
        <v>0.26500000000000001</v>
      </c>
      <c r="R199" s="5">
        <f t="shared" si="35"/>
        <v>57.36076848710001</v>
      </c>
      <c r="S199" s="5">
        <f t="shared" si="36"/>
        <v>0.26500000000000001</v>
      </c>
      <c r="T199">
        <v>5</v>
      </c>
      <c r="U199">
        <v>3</v>
      </c>
      <c r="V199">
        <v>3</v>
      </c>
      <c r="W199">
        <v>1</v>
      </c>
      <c r="X199">
        <f t="shared" si="32"/>
        <v>0.67715036832160369</v>
      </c>
      <c r="Y199">
        <f t="shared" si="33"/>
        <v>0.97810608757564987</v>
      </c>
      <c r="Z199">
        <f t="shared" si="37"/>
        <v>2.4150943396226414</v>
      </c>
      <c r="AA199">
        <f t="shared" si="38"/>
        <v>2.4150943396226414</v>
      </c>
      <c r="AC199">
        <f t="shared" si="39"/>
        <v>0.40013430855367493</v>
      </c>
      <c r="AD199">
        <f t="shared" si="34"/>
        <v>1.2004029256610247</v>
      </c>
    </row>
    <row r="200" spans="1:30" x14ac:dyDescent="0.25">
      <c r="A200">
        <v>244</v>
      </c>
      <c r="B200">
        <f>IFERROR(VLOOKUP(A200,Capacity!$A$3:$D$532,4,), "0")</f>
        <v>11.545352804999998</v>
      </c>
      <c r="C200" s="4">
        <f>IFERROR(VLOOKUP(A200,Capacity!$A$3:$F$532,6,), "0")</f>
        <v>0.17499999999999999</v>
      </c>
      <c r="E200" t="str">
        <f>IFERROR(VLOOKUP(D200,Capacity!$A$3:$D$532,4,), "0")</f>
        <v>0</v>
      </c>
      <c r="F200" s="4" t="str">
        <f>IFERROR(VLOOKUP(D200,Capacity!$A$3:$F$532,6,), "0")</f>
        <v>0</v>
      </c>
      <c r="H200" t="str">
        <f>IFERROR(VLOOKUP(G200,Capacity!$A$3:$D$532,4,), "0")</f>
        <v>0</v>
      </c>
      <c r="I200" s="4" t="str">
        <f>IFERROR(VLOOKUP(G200,Capacity!$A$3:$F$532,6,), "0")</f>
        <v>0</v>
      </c>
      <c r="K200" t="str">
        <f>IFERROR(VLOOKUP(J200,Capacity!$A$3:$D$532,4,), "0")</f>
        <v>0</v>
      </c>
      <c r="L200" s="4" t="str">
        <f>IFERROR(VLOOKUP(J200,Capacity!$A$3:$F$532,6,), "0")</f>
        <v>0</v>
      </c>
      <c r="M200" s="5">
        <f t="shared" si="30"/>
        <v>0</v>
      </c>
      <c r="N200" s="5">
        <f t="shared" si="31"/>
        <v>0</v>
      </c>
      <c r="O200">
        <v>4</v>
      </c>
      <c r="P200">
        <f>IFERROR(VLOOKUP(O200,Capacity!$A$3:$D$532,4,), "0")</f>
        <v>7.2158455031249993</v>
      </c>
      <c r="Q200" s="4">
        <f>IFERROR(VLOOKUP(O200,Capacity!$A$3:$F$532,6,), "0")</f>
        <v>0.17499999999999999</v>
      </c>
      <c r="R200" s="5">
        <f t="shared" si="35"/>
        <v>7.2158455031249993</v>
      </c>
      <c r="S200" s="5">
        <f t="shared" si="36"/>
        <v>0.17499999999999999</v>
      </c>
      <c r="T200">
        <v>244</v>
      </c>
      <c r="U200">
        <v>0</v>
      </c>
      <c r="V200">
        <v>0</v>
      </c>
      <c r="W200">
        <v>1</v>
      </c>
      <c r="X200">
        <f t="shared" si="32"/>
        <v>0</v>
      </c>
      <c r="Y200">
        <f t="shared" si="33"/>
        <v>0</v>
      </c>
      <c r="Z200">
        <f t="shared" si="37"/>
        <v>0</v>
      </c>
      <c r="AA200">
        <f t="shared" si="38"/>
        <v>0</v>
      </c>
      <c r="AC200">
        <f t="shared" si="39"/>
        <v>0</v>
      </c>
      <c r="AD200">
        <f t="shared" si="34"/>
        <v>0</v>
      </c>
    </row>
    <row r="201" spans="1:30" x14ac:dyDescent="0.25">
      <c r="A201">
        <v>343</v>
      </c>
      <c r="B201">
        <f>IFERROR(VLOOKUP(A201,Capacity!$A$3:$D$532,4,), "0")</f>
        <v>45.238933439999997</v>
      </c>
      <c r="C201" s="4">
        <f>IFERROR(VLOOKUP(A201,Capacity!$A$3:$F$532,6,), "0")</f>
        <v>0.6</v>
      </c>
      <c r="D201">
        <v>342</v>
      </c>
      <c r="E201">
        <f>IFERROR(VLOOKUP(D201,Capacity!$A$3:$D$532,4,), "0")</f>
        <v>20.106192640000003</v>
      </c>
      <c r="F201" s="4">
        <f>IFERROR(VLOOKUP(D201,Capacity!$A$3:$F$532,6,), "0")</f>
        <v>0.4</v>
      </c>
      <c r="G201">
        <v>320</v>
      </c>
      <c r="H201">
        <f>IFERROR(VLOOKUP(G201,Capacity!$A$3:$D$532,4,), "0")</f>
        <v>82.466805750000006</v>
      </c>
      <c r="I201" s="4">
        <f>IFERROR(VLOOKUP(G201,Capacity!$A$3:$F$532,6,), "0")</f>
        <v>0.5</v>
      </c>
      <c r="K201" t="str">
        <f>IFERROR(VLOOKUP(J201,Capacity!$A$3:$D$532,4,), "0")</f>
        <v>0</v>
      </c>
      <c r="L201" s="4" t="str">
        <f>IFERROR(VLOOKUP(J201,Capacity!$A$3:$F$532,6,), "0")</f>
        <v>0</v>
      </c>
      <c r="M201" s="5">
        <f t="shared" si="30"/>
        <v>102.57299839000001</v>
      </c>
      <c r="N201" s="5">
        <f t="shared" si="31"/>
        <v>0.9</v>
      </c>
      <c r="O201">
        <v>28</v>
      </c>
      <c r="P201">
        <f>IFERROR(VLOOKUP(O201,Capacity!$A$3:$D$532,4,), "0")</f>
        <v>90.477866879999993</v>
      </c>
      <c r="Q201" s="4">
        <f>IFERROR(VLOOKUP(O201,Capacity!$A$3:$F$532,6,), "0")</f>
        <v>0.6</v>
      </c>
      <c r="R201" s="5">
        <f t="shared" si="35"/>
        <v>90.477866879999993</v>
      </c>
      <c r="S201" s="5">
        <f t="shared" si="36"/>
        <v>0.6</v>
      </c>
      <c r="T201">
        <v>343</v>
      </c>
      <c r="U201">
        <v>2</v>
      </c>
      <c r="V201">
        <v>2</v>
      </c>
      <c r="W201">
        <v>1</v>
      </c>
      <c r="X201">
        <f t="shared" si="32"/>
        <v>1.1336805555555558</v>
      </c>
      <c r="Y201">
        <f t="shared" si="33"/>
        <v>2.2673611111111116</v>
      </c>
      <c r="Z201">
        <f t="shared" si="37"/>
        <v>1.5</v>
      </c>
      <c r="AA201">
        <f t="shared" si="38"/>
        <v>1.5</v>
      </c>
      <c r="AC201">
        <f t="shared" si="39"/>
        <v>0.75578703703703709</v>
      </c>
      <c r="AD201">
        <f t="shared" si="34"/>
        <v>1.5115740740740742</v>
      </c>
    </row>
    <row r="202" spans="1:30" x14ac:dyDescent="0.25">
      <c r="A202">
        <v>319</v>
      </c>
      <c r="B202">
        <f>IFERROR(VLOOKUP(A202,Capacity!$A$3:$D$532,4,), "0")</f>
        <v>132.53593781250001</v>
      </c>
      <c r="C202" s="4">
        <f>IFERROR(VLOOKUP(A202,Capacity!$A$3:$F$532,6,), "0")</f>
        <v>0.75</v>
      </c>
      <c r="D202">
        <v>505</v>
      </c>
      <c r="E202">
        <f>IFERROR(VLOOKUP(D202,Capacity!$A$3:$D$532,4,), "0")</f>
        <v>14.431691006249999</v>
      </c>
      <c r="F202" s="4">
        <f>IFERROR(VLOOKUP(D202,Capacity!$A$3:$F$532,6,), "0")</f>
        <v>0.17499999999999999</v>
      </c>
      <c r="G202">
        <v>318</v>
      </c>
      <c r="H202">
        <f>IFERROR(VLOOKUP(G202,Capacity!$A$3:$D$532,4,), "0")</f>
        <v>132.53593781250001</v>
      </c>
      <c r="I202" s="4">
        <f>IFERROR(VLOOKUP(G202,Capacity!$A$3:$F$532,6,), "0")</f>
        <v>0.75</v>
      </c>
      <c r="J202">
        <v>253</v>
      </c>
      <c r="K202">
        <f>IFERROR(VLOOKUP(J202,Capacity!$A$3:$D$532,4,), "0")</f>
        <v>15.079644480000002</v>
      </c>
      <c r="L202" s="4">
        <f>IFERROR(VLOOKUP(J202,Capacity!$A$3:$F$532,6,), "0")</f>
        <v>0.2</v>
      </c>
      <c r="M202" s="5">
        <f t="shared" si="30"/>
        <v>162.04727329875001</v>
      </c>
      <c r="N202" s="5">
        <f t="shared" si="31"/>
        <v>1.125</v>
      </c>
      <c r="O202">
        <v>344</v>
      </c>
      <c r="P202">
        <f>IFERROR(VLOOKUP(O202,Capacity!$A$3:$D$532,4,), "0")</f>
        <v>441.78645937499999</v>
      </c>
      <c r="Q202" s="4">
        <f>IFERROR(VLOOKUP(O202,Capacity!$A$3:$F$532,6,), "0")</f>
        <v>0.75</v>
      </c>
      <c r="R202" s="5">
        <f t="shared" si="35"/>
        <v>441.78645937499999</v>
      </c>
      <c r="S202" s="5">
        <f t="shared" si="36"/>
        <v>0.75</v>
      </c>
      <c r="T202">
        <v>319</v>
      </c>
      <c r="U202">
        <v>3</v>
      </c>
      <c r="V202">
        <v>3</v>
      </c>
      <c r="W202">
        <v>1</v>
      </c>
      <c r="X202">
        <f t="shared" si="32"/>
        <v>0.36680000000000001</v>
      </c>
      <c r="Y202">
        <f t="shared" si="33"/>
        <v>1.2226666666666668</v>
      </c>
      <c r="Z202">
        <f t="shared" si="37"/>
        <v>1.5</v>
      </c>
      <c r="AA202">
        <f t="shared" si="38"/>
        <v>1.5</v>
      </c>
      <c r="AC202">
        <f t="shared" si="39"/>
        <v>0.2821538461538462</v>
      </c>
      <c r="AD202">
        <f t="shared" si="34"/>
        <v>0.8464615384615386</v>
      </c>
    </row>
    <row r="203" spans="1:30" x14ac:dyDescent="0.25">
      <c r="A203">
        <v>252</v>
      </c>
      <c r="B203">
        <f>IFERROR(VLOOKUP(A203,Capacity!$A$3:$D$532,4,), "0")</f>
        <v>15.079644480000002</v>
      </c>
      <c r="C203" s="4">
        <f>IFERROR(VLOOKUP(A203,Capacity!$A$3:$F$532,6,), "0")</f>
        <v>0.2</v>
      </c>
      <c r="E203" t="str">
        <f>IFERROR(VLOOKUP(D203,Capacity!$A$3:$D$532,4,), "0")</f>
        <v>0</v>
      </c>
      <c r="F203" s="4" t="str">
        <f>IFERROR(VLOOKUP(D203,Capacity!$A$3:$F$532,6,), "0")</f>
        <v>0</v>
      </c>
      <c r="H203" t="str">
        <f>IFERROR(VLOOKUP(G203,Capacity!$A$3:$D$532,4,), "0")</f>
        <v>0</v>
      </c>
      <c r="I203" s="4" t="str">
        <f>IFERROR(VLOOKUP(G203,Capacity!$A$3:$F$532,6,), "0")</f>
        <v>0</v>
      </c>
      <c r="K203" t="str">
        <f>IFERROR(VLOOKUP(J203,Capacity!$A$3:$D$532,4,), "0")</f>
        <v>0</v>
      </c>
      <c r="L203" s="4" t="str">
        <f>IFERROR(VLOOKUP(J203,Capacity!$A$3:$F$532,6,), "0")</f>
        <v>0</v>
      </c>
      <c r="M203" s="5">
        <f t="shared" si="30"/>
        <v>0</v>
      </c>
      <c r="N203" s="5">
        <f t="shared" si="31"/>
        <v>0</v>
      </c>
      <c r="O203">
        <v>344</v>
      </c>
      <c r="P203">
        <f>IFERROR(VLOOKUP(O203,Capacity!$A$3:$D$532,4,), "0")</f>
        <v>441.78645937499999</v>
      </c>
      <c r="Q203" s="4">
        <f>IFERROR(VLOOKUP(O203,Capacity!$A$3:$F$532,6,), "0")</f>
        <v>0.75</v>
      </c>
      <c r="R203" s="5">
        <f t="shared" si="35"/>
        <v>441.78645937499999</v>
      </c>
      <c r="S203" s="5">
        <f t="shared" si="36"/>
        <v>0.75</v>
      </c>
      <c r="T203">
        <v>252</v>
      </c>
      <c r="U203">
        <v>0</v>
      </c>
      <c r="V203">
        <v>0</v>
      </c>
      <c r="W203">
        <v>1</v>
      </c>
      <c r="X203">
        <f t="shared" si="32"/>
        <v>0</v>
      </c>
      <c r="Y203">
        <f t="shared" si="33"/>
        <v>0</v>
      </c>
      <c r="Z203">
        <f t="shared" si="37"/>
        <v>0</v>
      </c>
      <c r="AA203">
        <f t="shared" si="38"/>
        <v>0</v>
      </c>
      <c r="AC203">
        <f t="shared" si="39"/>
        <v>0</v>
      </c>
      <c r="AD203">
        <f t="shared" si="34"/>
        <v>0</v>
      </c>
    </row>
    <row r="204" spans="1:30" x14ac:dyDescent="0.25">
      <c r="A204">
        <v>528</v>
      </c>
      <c r="B204">
        <f>IFERROR(VLOOKUP(A204,Capacity!$A$3:$D$532,4,), "0")</f>
        <v>7.2158455031249993</v>
      </c>
      <c r="C204" s="4">
        <f>IFERROR(VLOOKUP(A204,Capacity!$A$3:$F$532,6,), "0")</f>
        <v>0.17499999999999999</v>
      </c>
      <c r="E204" t="str">
        <f>IFERROR(VLOOKUP(D204,Capacity!$A$3:$D$532,4,), "0")</f>
        <v>0</v>
      </c>
      <c r="F204" s="4" t="str">
        <f>IFERROR(VLOOKUP(D204,Capacity!$A$3:$F$532,6,), "0")</f>
        <v>0</v>
      </c>
      <c r="H204" t="str">
        <f>IFERROR(VLOOKUP(G204,Capacity!$A$3:$D$532,4,), "0")</f>
        <v>0</v>
      </c>
      <c r="I204" s="4" t="str">
        <f>IFERROR(VLOOKUP(G204,Capacity!$A$3:$F$532,6,), "0")</f>
        <v>0</v>
      </c>
      <c r="K204" t="str">
        <f>IFERROR(VLOOKUP(J204,Capacity!$A$3:$D$532,4,), "0")</f>
        <v>0</v>
      </c>
      <c r="L204" s="4" t="str">
        <f>IFERROR(VLOOKUP(J204,Capacity!$A$3:$F$532,6,), "0")</f>
        <v>0</v>
      </c>
      <c r="M204" s="5">
        <f t="shared" si="30"/>
        <v>0</v>
      </c>
      <c r="N204" s="5">
        <f t="shared" si="31"/>
        <v>0</v>
      </c>
      <c r="O204">
        <v>345</v>
      </c>
      <c r="P204">
        <f>IFERROR(VLOOKUP(O204,Capacity!$A$3:$D$532,4,), "0")</f>
        <v>37.699111200000011</v>
      </c>
      <c r="Q204" s="4">
        <f>IFERROR(VLOOKUP(O204,Capacity!$A$3:$F$532,6,), "0")</f>
        <v>0.4</v>
      </c>
      <c r="R204" s="5">
        <f t="shared" si="35"/>
        <v>37.699111200000011</v>
      </c>
      <c r="S204" s="5">
        <f t="shared" si="36"/>
        <v>0.4</v>
      </c>
      <c r="T204">
        <v>528</v>
      </c>
      <c r="U204">
        <v>0</v>
      </c>
      <c r="V204">
        <v>0</v>
      </c>
      <c r="W204">
        <v>1</v>
      </c>
      <c r="X204">
        <f t="shared" si="32"/>
        <v>0</v>
      </c>
      <c r="Y204">
        <f t="shared" si="33"/>
        <v>0</v>
      </c>
      <c r="Z204">
        <f t="shared" si="37"/>
        <v>0</v>
      </c>
      <c r="AA204">
        <f t="shared" si="38"/>
        <v>0</v>
      </c>
      <c r="AC204">
        <f t="shared" si="39"/>
        <v>0</v>
      </c>
      <c r="AD204">
        <f t="shared" si="34"/>
        <v>0</v>
      </c>
    </row>
    <row r="205" spans="1:30" x14ac:dyDescent="0.25">
      <c r="A205">
        <v>251</v>
      </c>
      <c r="B205">
        <f>IFERROR(VLOOKUP(A205,Capacity!$A$3:$D$532,4,), "0")</f>
        <v>15.079644480000002</v>
      </c>
      <c r="C205" s="4">
        <f>IFERROR(VLOOKUP(A205,Capacity!$A$3:$F$532,6,), "0")</f>
        <v>0.2</v>
      </c>
      <c r="E205" t="str">
        <f>IFERROR(VLOOKUP(D205,Capacity!$A$3:$D$532,4,), "0")</f>
        <v>0</v>
      </c>
      <c r="F205" s="4" t="str">
        <f>IFERROR(VLOOKUP(D205,Capacity!$A$3:$F$532,6,), "0")</f>
        <v>0</v>
      </c>
      <c r="H205" t="str">
        <f>IFERROR(VLOOKUP(G205,Capacity!$A$3:$D$532,4,), "0")</f>
        <v>0</v>
      </c>
      <c r="I205" s="4" t="str">
        <f>IFERROR(VLOOKUP(G205,Capacity!$A$3:$F$532,6,), "0")</f>
        <v>0</v>
      </c>
      <c r="K205" t="str">
        <f>IFERROR(VLOOKUP(J205,Capacity!$A$3:$D$532,4,), "0")</f>
        <v>0</v>
      </c>
      <c r="L205" s="4" t="str">
        <f>IFERROR(VLOOKUP(J205,Capacity!$A$3:$F$532,6,), "0")</f>
        <v>0</v>
      </c>
      <c r="M205" s="5">
        <f t="shared" si="30"/>
        <v>0</v>
      </c>
      <c r="N205" s="5">
        <f t="shared" si="31"/>
        <v>0</v>
      </c>
      <c r="O205">
        <v>345</v>
      </c>
      <c r="P205">
        <f>IFERROR(VLOOKUP(O205,Capacity!$A$3:$D$532,4,), "0")</f>
        <v>37.699111200000011</v>
      </c>
      <c r="Q205" s="4">
        <f>IFERROR(VLOOKUP(O205,Capacity!$A$3:$F$532,6,), "0")</f>
        <v>0.4</v>
      </c>
      <c r="R205" s="5">
        <f t="shared" si="35"/>
        <v>37.699111200000011</v>
      </c>
      <c r="S205" s="5">
        <f t="shared" si="36"/>
        <v>0.4</v>
      </c>
      <c r="T205">
        <v>251</v>
      </c>
      <c r="U205">
        <v>0</v>
      </c>
      <c r="V205">
        <v>0</v>
      </c>
      <c r="W205">
        <v>1</v>
      </c>
      <c r="X205">
        <f t="shared" si="32"/>
        <v>0</v>
      </c>
      <c r="Y205">
        <f t="shared" si="33"/>
        <v>0</v>
      </c>
      <c r="Z205">
        <f t="shared" si="37"/>
        <v>0</v>
      </c>
      <c r="AA205">
        <f t="shared" si="38"/>
        <v>0</v>
      </c>
      <c r="AC205">
        <f t="shared" si="39"/>
        <v>0</v>
      </c>
      <c r="AD205">
        <f t="shared" si="34"/>
        <v>0</v>
      </c>
    </row>
    <row r="206" spans="1:30" x14ac:dyDescent="0.25">
      <c r="A206">
        <v>527</v>
      </c>
      <c r="B206">
        <f>IFERROR(VLOOKUP(A206,Capacity!$A$3:$D$532,4,), "0")</f>
        <v>23.090705609999997</v>
      </c>
      <c r="C206" s="4">
        <f>IFERROR(VLOOKUP(A206,Capacity!$A$3:$F$532,6,), "0")</f>
        <v>0.17499999999999999</v>
      </c>
      <c r="E206" t="str">
        <f>IFERROR(VLOOKUP(D206,Capacity!$A$3:$D$532,4,), "0")</f>
        <v>0</v>
      </c>
      <c r="F206" s="4" t="str">
        <f>IFERROR(VLOOKUP(D206,Capacity!$A$3:$F$532,6,), "0")</f>
        <v>0</v>
      </c>
      <c r="H206" t="str">
        <f>IFERROR(VLOOKUP(G206,Capacity!$A$3:$D$532,4,), "0")</f>
        <v>0</v>
      </c>
      <c r="I206" s="4" t="str">
        <f>IFERROR(VLOOKUP(G206,Capacity!$A$3:$F$532,6,), "0")</f>
        <v>0</v>
      </c>
      <c r="K206" t="str">
        <f>IFERROR(VLOOKUP(J206,Capacity!$A$3:$D$532,4,), "0")</f>
        <v>0</v>
      </c>
      <c r="L206" s="4" t="str">
        <f>IFERROR(VLOOKUP(J206,Capacity!$A$3:$F$532,6,), "0")</f>
        <v>0</v>
      </c>
      <c r="M206" s="5">
        <f t="shared" si="30"/>
        <v>0</v>
      </c>
      <c r="N206" s="5">
        <f t="shared" si="31"/>
        <v>0</v>
      </c>
      <c r="O206">
        <v>42</v>
      </c>
      <c r="P206">
        <f>IFERROR(VLOOKUP(O206,Capacity!$A$3:$D$532,4,), "0")</f>
        <v>40.212385280000007</v>
      </c>
      <c r="Q206" s="4">
        <f>IFERROR(VLOOKUP(O206,Capacity!$A$3:$F$532,6,), "0")</f>
        <v>0.4</v>
      </c>
      <c r="R206" s="5">
        <f t="shared" si="35"/>
        <v>40.212385280000007</v>
      </c>
      <c r="S206" s="5">
        <f t="shared" si="36"/>
        <v>0.4</v>
      </c>
      <c r="T206">
        <v>527</v>
      </c>
      <c r="U206">
        <v>0</v>
      </c>
      <c r="V206">
        <v>0</v>
      </c>
      <c r="W206">
        <v>1</v>
      </c>
      <c r="X206">
        <f t="shared" si="32"/>
        <v>0</v>
      </c>
      <c r="Y206">
        <f t="shared" si="33"/>
        <v>0</v>
      </c>
      <c r="Z206">
        <f t="shared" si="37"/>
        <v>0</v>
      </c>
      <c r="AA206">
        <f t="shared" si="38"/>
        <v>0</v>
      </c>
      <c r="AC206">
        <f t="shared" si="39"/>
        <v>0</v>
      </c>
      <c r="AD206">
        <f t="shared" si="34"/>
        <v>0</v>
      </c>
    </row>
    <row r="207" spans="1:30" x14ac:dyDescent="0.25">
      <c r="A207">
        <v>409</v>
      </c>
      <c r="B207">
        <f>IFERROR(VLOOKUP(A207,Capacity!$A$3:$D$532,4,), "0")</f>
        <v>21.647536509374998</v>
      </c>
      <c r="C207" s="4">
        <f>IFERROR(VLOOKUP(A207,Capacity!$A$3:$F$532,6,), "0")</f>
        <v>0.17499999999999999</v>
      </c>
      <c r="E207" t="str">
        <f>IFERROR(VLOOKUP(D207,Capacity!$A$3:$D$532,4,), "0")</f>
        <v>0</v>
      </c>
      <c r="F207" s="4" t="str">
        <f>IFERROR(VLOOKUP(D207,Capacity!$A$3:$F$532,6,), "0")</f>
        <v>0</v>
      </c>
      <c r="H207" t="str">
        <f>IFERROR(VLOOKUP(G207,Capacity!$A$3:$D$532,4,), "0")</f>
        <v>0</v>
      </c>
      <c r="I207" s="4" t="str">
        <f>IFERROR(VLOOKUP(G207,Capacity!$A$3:$F$532,6,), "0")</f>
        <v>0</v>
      </c>
      <c r="K207" t="str">
        <f>IFERROR(VLOOKUP(J207,Capacity!$A$3:$D$532,4,), "0")</f>
        <v>0</v>
      </c>
      <c r="L207" s="4" t="str">
        <f>IFERROR(VLOOKUP(J207,Capacity!$A$3:$F$532,6,), "0")</f>
        <v>0</v>
      </c>
      <c r="M207" s="5">
        <f t="shared" si="30"/>
        <v>0</v>
      </c>
      <c r="N207" s="5">
        <f t="shared" si="31"/>
        <v>0</v>
      </c>
      <c r="O207">
        <v>42</v>
      </c>
      <c r="P207">
        <f>IFERROR(VLOOKUP(O207,Capacity!$A$3:$D$532,4,), "0")</f>
        <v>40.212385280000007</v>
      </c>
      <c r="Q207" s="4">
        <f>IFERROR(VLOOKUP(O207,Capacity!$A$3:$F$532,6,), "0")</f>
        <v>0.4</v>
      </c>
      <c r="R207" s="5">
        <f t="shared" si="35"/>
        <v>40.212385280000007</v>
      </c>
      <c r="S207" s="5">
        <f t="shared" si="36"/>
        <v>0.4</v>
      </c>
      <c r="T207">
        <v>409</v>
      </c>
      <c r="U207">
        <v>0</v>
      </c>
      <c r="V207">
        <v>0</v>
      </c>
      <c r="W207">
        <v>1</v>
      </c>
      <c r="X207">
        <f t="shared" si="32"/>
        <v>0</v>
      </c>
      <c r="Y207">
        <f t="shared" si="33"/>
        <v>0</v>
      </c>
      <c r="Z207">
        <f t="shared" si="37"/>
        <v>0</v>
      </c>
      <c r="AA207">
        <f t="shared" si="38"/>
        <v>0</v>
      </c>
      <c r="AC207">
        <f t="shared" si="39"/>
        <v>0</v>
      </c>
      <c r="AD207">
        <f t="shared" si="34"/>
        <v>0</v>
      </c>
    </row>
    <row r="208" spans="1:30" x14ac:dyDescent="0.25">
      <c r="A208">
        <v>41</v>
      </c>
      <c r="B208">
        <f>IFERROR(VLOOKUP(A208,Capacity!$A$3:$D$532,4,), "0")</f>
        <v>40.212385280000007</v>
      </c>
      <c r="C208" s="4">
        <f>IFERROR(VLOOKUP(A208,Capacity!$A$3:$F$532,6,), "0")</f>
        <v>0.4</v>
      </c>
      <c r="D208">
        <v>526</v>
      </c>
      <c r="E208">
        <f>IFERROR(VLOOKUP(D208,Capacity!$A$3:$D$532,4,), "0")</f>
        <v>22.128592876249996</v>
      </c>
      <c r="F208" s="4">
        <f>IFERROR(VLOOKUP(D208,Capacity!$A$3:$F$532,6,), "0")</f>
        <v>0.17499999999999999</v>
      </c>
      <c r="G208">
        <v>407</v>
      </c>
      <c r="H208">
        <f>IFERROR(VLOOKUP(G208,Capacity!$A$3:$D$532,4,), "0")</f>
        <v>21.647536509374998</v>
      </c>
      <c r="I208" s="4">
        <f>IFERROR(VLOOKUP(G208,Capacity!$A$3:$F$532,6,), "0")</f>
        <v>0.17499999999999999</v>
      </c>
      <c r="J208">
        <v>40</v>
      </c>
      <c r="K208">
        <f>IFERROR(VLOOKUP(J208,Capacity!$A$3:$D$532,4,), "0")</f>
        <v>40.212385280000007</v>
      </c>
      <c r="L208" s="4">
        <f>IFERROR(VLOOKUP(J208,Capacity!$A$3:$F$532,6,), "0")</f>
        <v>0.4</v>
      </c>
      <c r="M208" s="5">
        <f t="shared" si="30"/>
        <v>83.988514665625004</v>
      </c>
      <c r="N208" s="5">
        <f t="shared" si="31"/>
        <v>0.75</v>
      </c>
      <c r="O208">
        <v>42</v>
      </c>
      <c r="P208">
        <f>IFERROR(VLOOKUP(O208,Capacity!$A$3:$D$532,4,), "0")</f>
        <v>40.212385280000007</v>
      </c>
      <c r="Q208" s="4">
        <f>IFERROR(VLOOKUP(O208,Capacity!$A$3:$F$532,6,), "0")</f>
        <v>0.4</v>
      </c>
      <c r="R208" s="5">
        <f t="shared" si="35"/>
        <v>40.212385280000007</v>
      </c>
      <c r="S208" s="5">
        <f t="shared" si="36"/>
        <v>0.4</v>
      </c>
      <c r="T208">
        <v>41</v>
      </c>
      <c r="U208">
        <v>3</v>
      </c>
      <c r="V208">
        <v>3</v>
      </c>
      <c r="W208">
        <v>1</v>
      </c>
      <c r="X208">
        <f t="shared" si="32"/>
        <v>2.0886230468749996</v>
      </c>
      <c r="Y208">
        <f t="shared" si="33"/>
        <v>2.0886230468749996</v>
      </c>
      <c r="Z208">
        <f t="shared" si="37"/>
        <v>1.875</v>
      </c>
      <c r="AA208">
        <f t="shared" si="38"/>
        <v>1.875</v>
      </c>
      <c r="AC208">
        <f t="shared" si="39"/>
        <v>1.0443115234374998</v>
      </c>
      <c r="AD208">
        <f t="shared" si="34"/>
        <v>3.1329345703124991</v>
      </c>
    </row>
    <row r="209" spans="1:30" x14ac:dyDescent="0.25">
      <c r="A209">
        <v>80</v>
      </c>
      <c r="B209">
        <f>IFERROR(VLOOKUP(A209,Capacity!$A$3:$D$532,4,), "0")</f>
        <v>90.477866879999993</v>
      </c>
      <c r="C209" s="4">
        <f>IFERROR(VLOOKUP(A209,Capacity!$A$3:$F$532,6,), "0")</f>
        <v>0.6</v>
      </c>
      <c r="D209">
        <v>78</v>
      </c>
      <c r="E209">
        <f>IFERROR(VLOOKUP(D209,Capacity!$A$3:$D$532,4,), "0")</f>
        <v>90.477866879999993</v>
      </c>
      <c r="F209" s="4">
        <f>IFERROR(VLOOKUP(D209,Capacity!$A$3:$F$532,6,), "0")</f>
        <v>0.6</v>
      </c>
      <c r="H209" t="str">
        <f>IFERROR(VLOOKUP(G209,Capacity!$A$3:$D$532,4,), "0")</f>
        <v>0</v>
      </c>
      <c r="I209" s="4" t="str">
        <f>IFERROR(VLOOKUP(G209,Capacity!$A$3:$F$532,6,), "0")</f>
        <v>0</v>
      </c>
      <c r="K209" t="str">
        <f>IFERROR(VLOOKUP(J209,Capacity!$A$3:$D$532,4,), "0")</f>
        <v>0</v>
      </c>
      <c r="L209" s="4" t="str">
        <f>IFERROR(VLOOKUP(J209,Capacity!$A$3:$F$532,6,), "0")</f>
        <v>0</v>
      </c>
      <c r="M209" s="5">
        <f t="shared" si="30"/>
        <v>90.477866879999993</v>
      </c>
      <c r="N209" s="5">
        <f t="shared" si="31"/>
        <v>0.6</v>
      </c>
      <c r="O209">
        <v>81</v>
      </c>
      <c r="P209">
        <f>IFERROR(VLOOKUP(O209,Capacity!$A$3:$D$532,4,), "0")</f>
        <v>90.477866879999993</v>
      </c>
      <c r="Q209" s="4">
        <f>IFERROR(VLOOKUP(O209,Capacity!$A$3:$F$532,6,), "0")</f>
        <v>0.6</v>
      </c>
      <c r="R209" s="5">
        <f t="shared" si="35"/>
        <v>90.477866879999993</v>
      </c>
      <c r="S209" s="5">
        <f t="shared" si="36"/>
        <v>0.6</v>
      </c>
      <c r="T209">
        <v>80</v>
      </c>
      <c r="U209">
        <v>1</v>
      </c>
      <c r="V209">
        <v>1</v>
      </c>
      <c r="W209">
        <v>1</v>
      </c>
      <c r="X209">
        <f t="shared" si="32"/>
        <v>1</v>
      </c>
      <c r="Y209">
        <f t="shared" si="33"/>
        <v>1</v>
      </c>
      <c r="Z209">
        <f t="shared" si="37"/>
        <v>1</v>
      </c>
      <c r="AA209">
        <f t="shared" si="38"/>
        <v>1</v>
      </c>
      <c r="AC209">
        <f t="shared" si="39"/>
        <v>0.5</v>
      </c>
      <c r="AD209">
        <f t="shared" si="34"/>
        <v>0.5</v>
      </c>
    </row>
    <row r="210" spans="1:30" x14ac:dyDescent="0.25">
      <c r="A210">
        <v>406</v>
      </c>
      <c r="B210">
        <f>IFERROR(VLOOKUP(A210,Capacity!$A$3:$D$532,4,), "0")</f>
        <v>21.166480142499999</v>
      </c>
      <c r="C210" s="4">
        <f>IFERROR(VLOOKUP(A210,Capacity!$A$3:$F$532,6,), "0")</f>
        <v>0.17499999999999999</v>
      </c>
      <c r="E210" t="str">
        <f>IFERROR(VLOOKUP(D210,Capacity!$A$3:$D$532,4,), "0")</f>
        <v>0</v>
      </c>
      <c r="F210" s="4" t="str">
        <f>IFERROR(VLOOKUP(D210,Capacity!$A$3:$F$532,6,), "0")</f>
        <v>0</v>
      </c>
      <c r="H210" t="str">
        <f>IFERROR(VLOOKUP(G210,Capacity!$A$3:$D$532,4,), "0")</f>
        <v>0</v>
      </c>
      <c r="I210" s="4" t="str">
        <f>IFERROR(VLOOKUP(G210,Capacity!$A$3:$F$532,6,), "0")</f>
        <v>0</v>
      </c>
      <c r="K210" t="str">
        <f>IFERROR(VLOOKUP(J210,Capacity!$A$3:$D$532,4,), "0")</f>
        <v>0</v>
      </c>
      <c r="L210" s="4" t="str">
        <f>IFERROR(VLOOKUP(J210,Capacity!$A$3:$F$532,6,), "0")</f>
        <v>0</v>
      </c>
      <c r="M210" s="5">
        <f t="shared" si="30"/>
        <v>0</v>
      </c>
      <c r="N210" s="5">
        <f t="shared" si="31"/>
        <v>0</v>
      </c>
      <c r="O210">
        <v>189</v>
      </c>
      <c r="P210">
        <f>IFERROR(VLOOKUP(O210,Capacity!$A$3:$D$532,4,), "0")</f>
        <v>22.619466719999998</v>
      </c>
      <c r="Q210" s="4">
        <f>IFERROR(VLOOKUP(O210,Capacity!$A$3:$F$532,6,), "0")</f>
        <v>0.3</v>
      </c>
      <c r="R210" s="5">
        <f t="shared" si="35"/>
        <v>22.619466719999998</v>
      </c>
      <c r="S210" s="5">
        <f t="shared" si="36"/>
        <v>0.3</v>
      </c>
      <c r="T210">
        <v>406</v>
      </c>
      <c r="U210">
        <v>0</v>
      </c>
      <c r="V210">
        <v>0</v>
      </c>
      <c r="W210">
        <v>1</v>
      </c>
      <c r="X210">
        <f t="shared" si="32"/>
        <v>0</v>
      </c>
      <c r="Y210">
        <f t="shared" si="33"/>
        <v>0</v>
      </c>
      <c r="Z210">
        <f t="shared" si="37"/>
        <v>0</v>
      </c>
      <c r="AA210">
        <f t="shared" si="38"/>
        <v>0</v>
      </c>
      <c r="AC210">
        <f t="shared" si="39"/>
        <v>0</v>
      </c>
      <c r="AD210">
        <f t="shared" si="34"/>
        <v>0</v>
      </c>
    </row>
    <row r="211" spans="1:30" x14ac:dyDescent="0.25">
      <c r="A211">
        <v>191</v>
      </c>
      <c r="B211">
        <f>IFERROR(VLOOKUP(A211,Capacity!$A$3:$D$532,4,), "0")</f>
        <v>22.619466719999998</v>
      </c>
      <c r="C211" s="4">
        <f>IFERROR(VLOOKUP(A211,Capacity!$A$3:$F$532,6,), "0")</f>
        <v>0.3</v>
      </c>
      <c r="D211">
        <v>404</v>
      </c>
      <c r="E211">
        <f>IFERROR(VLOOKUP(D211,Capacity!$A$3:$D$532,4,), "0")</f>
        <v>21.166480142499999</v>
      </c>
      <c r="F211" s="4">
        <f>IFERROR(VLOOKUP(D211,Capacity!$A$3:$F$532,6,), "0")</f>
        <v>0.17499999999999999</v>
      </c>
      <c r="G211">
        <v>196</v>
      </c>
      <c r="H211">
        <f>IFERROR(VLOOKUP(G211,Capacity!$A$3:$D$532,4,), "0")</f>
        <v>22.619466719999998</v>
      </c>
      <c r="I211" s="4">
        <f>IFERROR(VLOOKUP(G211,Capacity!$A$3:$F$532,6,), "0")</f>
        <v>0.3</v>
      </c>
      <c r="K211" t="str">
        <f>IFERROR(VLOOKUP(J211,Capacity!$A$3:$D$532,4,), "0")</f>
        <v>0</v>
      </c>
      <c r="L211" s="4" t="str">
        <f>IFERROR(VLOOKUP(J211,Capacity!$A$3:$F$532,6,), "0")</f>
        <v>0</v>
      </c>
      <c r="M211" s="5">
        <f t="shared" si="30"/>
        <v>43.785946862499998</v>
      </c>
      <c r="N211" s="5">
        <f t="shared" si="31"/>
        <v>0.47499999999999998</v>
      </c>
      <c r="O211">
        <v>189</v>
      </c>
      <c r="P211">
        <f>IFERROR(VLOOKUP(O211,Capacity!$A$3:$D$532,4,), "0")</f>
        <v>22.619466719999998</v>
      </c>
      <c r="Q211" s="4">
        <f>IFERROR(VLOOKUP(O211,Capacity!$A$3:$F$532,6,), "0")</f>
        <v>0.3</v>
      </c>
      <c r="R211" s="5">
        <f t="shared" si="35"/>
        <v>22.619466719999998</v>
      </c>
      <c r="S211" s="5">
        <f t="shared" si="36"/>
        <v>0.3</v>
      </c>
      <c r="T211">
        <v>191</v>
      </c>
      <c r="U211">
        <v>2</v>
      </c>
      <c r="V211">
        <v>2</v>
      </c>
      <c r="W211">
        <v>1</v>
      </c>
      <c r="X211">
        <f t="shared" si="32"/>
        <v>1.9357638888888888</v>
      </c>
      <c r="Y211">
        <f t="shared" si="33"/>
        <v>1.9357638888888888</v>
      </c>
      <c r="Z211">
        <f t="shared" si="37"/>
        <v>1.5833333333333333</v>
      </c>
      <c r="AA211">
        <f t="shared" si="38"/>
        <v>1.5833333333333333</v>
      </c>
      <c r="AC211">
        <f t="shared" si="39"/>
        <v>0.96788194444444442</v>
      </c>
      <c r="AD211">
        <f t="shared" si="34"/>
        <v>1.9357638888888888</v>
      </c>
    </row>
    <row r="212" spans="1:30" x14ac:dyDescent="0.25">
      <c r="A212">
        <v>461</v>
      </c>
      <c r="B212">
        <f>IFERROR(VLOOKUP(A212,Capacity!$A$3:$D$532,4,), "0")</f>
        <v>19.242254674999998</v>
      </c>
      <c r="C212" s="4">
        <f>IFERROR(VLOOKUP(A212,Capacity!$A$3:$F$532,6,), "0")</f>
        <v>0.17499999999999999</v>
      </c>
      <c r="E212" t="str">
        <f>IFERROR(VLOOKUP(D212,Capacity!$A$3:$D$532,4,), "0")</f>
        <v>0</v>
      </c>
      <c r="F212" s="4" t="str">
        <f>IFERROR(VLOOKUP(D212,Capacity!$A$3:$F$532,6,), "0")</f>
        <v>0</v>
      </c>
      <c r="H212" t="str">
        <f>IFERROR(VLOOKUP(G212,Capacity!$A$3:$D$532,4,), "0")</f>
        <v>0</v>
      </c>
      <c r="I212" s="4" t="str">
        <f>IFERROR(VLOOKUP(G212,Capacity!$A$3:$F$532,6,), "0")</f>
        <v>0</v>
      </c>
      <c r="K212" t="str">
        <f>IFERROR(VLOOKUP(J212,Capacity!$A$3:$D$532,4,), "0")</f>
        <v>0</v>
      </c>
      <c r="L212" s="4" t="str">
        <f>IFERROR(VLOOKUP(J212,Capacity!$A$3:$F$532,6,), "0")</f>
        <v>0</v>
      </c>
      <c r="M212" s="5">
        <f t="shared" si="30"/>
        <v>0</v>
      </c>
      <c r="N212" s="5">
        <f t="shared" si="31"/>
        <v>0</v>
      </c>
      <c r="O212">
        <v>192</v>
      </c>
      <c r="P212">
        <f>IFERROR(VLOOKUP(O212,Capacity!$A$3:$D$532,4,), "0")</f>
        <v>20.106192640000003</v>
      </c>
      <c r="Q212" s="4">
        <f>IFERROR(VLOOKUP(O212,Capacity!$A$3:$F$532,6,), "0")</f>
        <v>0.2</v>
      </c>
      <c r="R212" s="5">
        <f t="shared" si="35"/>
        <v>20.106192640000003</v>
      </c>
      <c r="S212" s="5">
        <f t="shared" si="36"/>
        <v>0.2</v>
      </c>
      <c r="T212">
        <v>461</v>
      </c>
      <c r="U212">
        <v>0</v>
      </c>
      <c r="V212">
        <v>0</v>
      </c>
      <c r="W212">
        <v>1</v>
      </c>
      <c r="X212">
        <f t="shared" si="32"/>
        <v>0</v>
      </c>
      <c r="Y212">
        <f t="shared" si="33"/>
        <v>0</v>
      </c>
      <c r="Z212">
        <f t="shared" si="37"/>
        <v>0</v>
      </c>
      <c r="AA212">
        <f t="shared" si="38"/>
        <v>0</v>
      </c>
      <c r="AC212">
        <f t="shared" si="39"/>
        <v>0</v>
      </c>
      <c r="AD212">
        <f t="shared" si="34"/>
        <v>0</v>
      </c>
    </row>
    <row r="213" spans="1:30" x14ac:dyDescent="0.25">
      <c r="A213">
        <v>202</v>
      </c>
      <c r="B213">
        <f>IFERROR(VLOOKUP(A213,Capacity!$A$3:$D$532,4,), "0")</f>
        <v>28.902651920000004</v>
      </c>
      <c r="C213" s="4">
        <f>IFERROR(VLOOKUP(A213,Capacity!$A$3:$F$532,6,), "0")</f>
        <v>0.2</v>
      </c>
      <c r="D213">
        <v>200</v>
      </c>
      <c r="E213">
        <f>IFERROR(VLOOKUP(D213,Capacity!$A$3:$D$532,4,), "0")</f>
        <v>10.053096320000002</v>
      </c>
      <c r="F213" s="4">
        <f>IFERROR(VLOOKUP(D213,Capacity!$A$3:$F$532,6,), "0")</f>
        <v>0.2</v>
      </c>
      <c r="H213" t="str">
        <f>IFERROR(VLOOKUP(G213,Capacity!$A$3:$D$532,4,), "0")</f>
        <v>0</v>
      </c>
      <c r="I213" s="4" t="str">
        <f>IFERROR(VLOOKUP(G213,Capacity!$A$3:$F$532,6,), "0")</f>
        <v>0</v>
      </c>
      <c r="K213" t="str">
        <f>IFERROR(VLOOKUP(J213,Capacity!$A$3:$D$532,4,), "0")</f>
        <v>0</v>
      </c>
      <c r="L213" s="4" t="str">
        <f>IFERROR(VLOOKUP(J213,Capacity!$A$3:$F$532,6,), "0")</f>
        <v>0</v>
      </c>
      <c r="M213" s="5">
        <f t="shared" si="30"/>
        <v>10.053096320000002</v>
      </c>
      <c r="N213" s="5">
        <f t="shared" si="31"/>
        <v>0.2</v>
      </c>
      <c r="O213">
        <v>192</v>
      </c>
      <c r="P213">
        <f>IFERROR(VLOOKUP(O213,Capacity!$A$3:$D$532,4,), "0")</f>
        <v>20.106192640000003</v>
      </c>
      <c r="Q213" s="4">
        <f>IFERROR(VLOOKUP(O213,Capacity!$A$3:$F$532,6,), "0")</f>
        <v>0.2</v>
      </c>
      <c r="R213" s="5">
        <f t="shared" si="35"/>
        <v>20.106192640000003</v>
      </c>
      <c r="S213" s="5">
        <f t="shared" si="36"/>
        <v>0.2</v>
      </c>
      <c r="T213">
        <v>202</v>
      </c>
      <c r="U213">
        <v>1</v>
      </c>
      <c r="V213">
        <v>1</v>
      </c>
      <c r="W213">
        <v>1</v>
      </c>
      <c r="X213">
        <f t="shared" si="32"/>
        <v>0.5</v>
      </c>
      <c r="Y213">
        <f t="shared" si="33"/>
        <v>0.34782608695652173</v>
      </c>
      <c r="Z213">
        <f t="shared" si="37"/>
        <v>1</v>
      </c>
      <c r="AA213">
        <f t="shared" si="38"/>
        <v>1</v>
      </c>
      <c r="AC213">
        <f t="shared" si="39"/>
        <v>0.20512820512820512</v>
      </c>
      <c r="AD213">
        <f t="shared" si="34"/>
        <v>0.20512820512820512</v>
      </c>
    </row>
    <row r="214" spans="1:30" x14ac:dyDescent="0.25">
      <c r="A214">
        <v>470</v>
      </c>
      <c r="B214">
        <f>IFERROR(VLOOKUP(A214,Capacity!$A$3:$D$532,4,), "0")</f>
        <v>4.8105636687499995</v>
      </c>
      <c r="C214" s="4">
        <f>IFERROR(VLOOKUP(A214,Capacity!$A$3:$F$532,6,), "0")</f>
        <v>0.17499999999999999</v>
      </c>
      <c r="E214" t="str">
        <f>IFERROR(VLOOKUP(D214,Capacity!$A$3:$D$532,4,), "0")</f>
        <v>0</v>
      </c>
      <c r="F214" s="4" t="str">
        <f>IFERROR(VLOOKUP(D214,Capacity!$A$3:$F$532,6,), "0")</f>
        <v>0</v>
      </c>
      <c r="H214" t="str">
        <f>IFERROR(VLOOKUP(G214,Capacity!$A$3:$D$532,4,), "0")</f>
        <v>0</v>
      </c>
      <c r="I214" s="4" t="str">
        <f>IFERROR(VLOOKUP(G214,Capacity!$A$3:$F$532,6,), "0")</f>
        <v>0</v>
      </c>
      <c r="K214" t="str">
        <f>IFERROR(VLOOKUP(J214,Capacity!$A$3:$D$532,4,), "0")</f>
        <v>0</v>
      </c>
      <c r="L214" s="4" t="str">
        <f>IFERROR(VLOOKUP(J214,Capacity!$A$3:$F$532,6,), "0")</f>
        <v>0</v>
      </c>
      <c r="M214" s="5">
        <f t="shared" si="30"/>
        <v>0</v>
      </c>
      <c r="N214" s="5">
        <f t="shared" si="31"/>
        <v>0</v>
      </c>
      <c r="O214">
        <v>205</v>
      </c>
      <c r="P214">
        <f>IFERROR(VLOOKUP(O214,Capacity!$A$3:$D$532,4,), "0")</f>
        <v>309.25052156250001</v>
      </c>
      <c r="Q214" s="4">
        <f>IFERROR(VLOOKUP(O214,Capacity!$A$3:$F$532,6,), "0")</f>
        <v>0.75</v>
      </c>
      <c r="R214" s="5">
        <f t="shared" si="35"/>
        <v>309.25052156250001</v>
      </c>
      <c r="S214" s="5">
        <f t="shared" si="36"/>
        <v>0.75</v>
      </c>
      <c r="T214">
        <v>470</v>
      </c>
      <c r="U214">
        <v>0</v>
      </c>
      <c r="V214">
        <v>0</v>
      </c>
      <c r="W214">
        <v>1</v>
      </c>
      <c r="X214">
        <f t="shared" si="32"/>
        <v>0</v>
      </c>
      <c r="Y214">
        <f t="shared" si="33"/>
        <v>0</v>
      </c>
      <c r="Z214">
        <f t="shared" si="37"/>
        <v>0</v>
      </c>
      <c r="AA214">
        <f t="shared" si="38"/>
        <v>0</v>
      </c>
      <c r="AC214">
        <f t="shared" si="39"/>
        <v>0</v>
      </c>
      <c r="AD214">
        <f t="shared" si="34"/>
        <v>0</v>
      </c>
    </row>
    <row r="215" spans="1:30" x14ac:dyDescent="0.25">
      <c r="A215">
        <v>204</v>
      </c>
      <c r="B215">
        <f>IFERROR(VLOOKUP(A215,Capacity!$A$3:$D$532,4,), "0")</f>
        <v>6.734789136249999</v>
      </c>
      <c r="C215" s="4">
        <f>IFERROR(VLOOKUP(A215,Capacity!$A$3:$F$532,6,), "0")</f>
        <v>0.17499999999999999</v>
      </c>
      <c r="D215">
        <v>467</v>
      </c>
      <c r="E215">
        <f>IFERROR(VLOOKUP(D215,Capacity!$A$3:$D$532,4,), "0")</f>
        <v>38.484509349999996</v>
      </c>
      <c r="F215" s="4">
        <f>IFERROR(VLOOKUP(D215,Capacity!$A$3:$F$532,6,), "0")</f>
        <v>0.17499999999999999</v>
      </c>
      <c r="H215" t="str">
        <f>IFERROR(VLOOKUP(G215,Capacity!$A$3:$D$532,4,), "0")</f>
        <v>0</v>
      </c>
      <c r="I215" s="4" t="str">
        <f>IFERROR(VLOOKUP(G215,Capacity!$A$3:$F$532,6,), "0")</f>
        <v>0</v>
      </c>
      <c r="K215" t="str">
        <f>IFERROR(VLOOKUP(J215,Capacity!$A$3:$D$532,4,), "0")</f>
        <v>0</v>
      </c>
      <c r="L215" s="4" t="str">
        <f>IFERROR(VLOOKUP(J215,Capacity!$A$3:$F$532,6,), "0")</f>
        <v>0</v>
      </c>
      <c r="M215" s="5">
        <f t="shared" si="30"/>
        <v>38.484509349999996</v>
      </c>
      <c r="N215" s="5">
        <f t="shared" si="31"/>
        <v>0.17499999999999999</v>
      </c>
      <c r="O215">
        <v>205</v>
      </c>
      <c r="P215">
        <f>IFERROR(VLOOKUP(O215,Capacity!$A$3:$D$532,4,), "0")</f>
        <v>309.25052156250001</v>
      </c>
      <c r="Q215" s="4">
        <f>IFERROR(VLOOKUP(O215,Capacity!$A$3:$F$532,6,), "0")</f>
        <v>0.75</v>
      </c>
      <c r="R215" s="5">
        <f t="shared" si="35"/>
        <v>309.25052156250001</v>
      </c>
      <c r="S215" s="5">
        <f t="shared" si="36"/>
        <v>0.75</v>
      </c>
      <c r="T215">
        <v>204</v>
      </c>
      <c r="U215">
        <v>1</v>
      </c>
      <c r="V215">
        <v>1</v>
      </c>
      <c r="W215">
        <v>1</v>
      </c>
      <c r="X215">
        <f t="shared" si="32"/>
        <v>0.12444444444444443</v>
      </c>
      <c r="Y215">
        <f t="shared" si="33"/>
        <v>5.7142857142857144</v>
      </c>
      <c r="Z215">
        <f t="shared" si="37"/>
        <v>0.23333333333333331</v>
      </c>
      <c r="AA215">
        <f t="shared" si="38"/>
        <v>1</v>
      </c>
      <c r="AC215">
        <f t="shared" si="39"/>
        <v>0.12179208351457153</v>
      </c>
      <c r="AD215">
        <f t="shared" si="34"/>
        <v>0.12179208351457153</v>
      </c>
    </row>
    <row r="216" spans="1:30" x14ac:dyDescent="0.25">
      <c r="A216">
        <v>469</v>
      </c>
      <c r="B216">
        <f>IFERROR(VLOOKUP(A216,Capacity!$A$3:$D$532,4,), "0")</f>
        <v>16.836972840624998</v>
      </c>
      <c r="C216" s="4">
        <f>IFERROR(VLOOKUP(A216,Capacity!$A$3:$F$532,6,), "0")</f>
        <v>0.17499999999999999</v>
      </c>
      <c r="E216" t="str">
        <f>IFERROR(VLOOKUP(D216,Capacity!$A$3:$D$532,4,), "0")</f>
        <v>0</v>
      </c>
      <c r="F216" s="4" t="str">
        <f>IFERROR(VLOOKUP(D216,Capacity!$A$3:$F$532,6,), "0")</f>
        <v>0</v>
      </c>
      <c r="H216" t="str">
        <f>IFERROR(VLOOKUP(G216,Capacity!$A$3:$D$532,4,), "0")</f>
        <v>0</v>
      </c>
      <c r="I216" s="4" t="str">
        <f>IFERROR(VLOOKUP(G216,Capacity!$A$3:$F$532,6,), "0")</f>
        <v>0</v>
      </c>
      <c r="K216" t="str">
        <f>IFERROR(VLOOKUP(J216,Capacity!$A$3:$D$532,4,), "0")</f>
        <v>0</v>
      </c>
      <c r="L216" s="4" t="str">
        <f>IFERROR(VLOOKUP(J216,Capacity!$A$3:$F$532,6,), "0")</f>
        <v>0</v>
      </c>
      <c r="M216" s="5">
        <f t="shared" si="30"/>
        <v>0</v>
      </c>
      <c r="N216" s="5">
        <f t="shared" si="31"/>
        <v>0</v>
      </c>
      <c r="O216">
        <v>209</v>
      </c>
      <c r="P216">
        <f>IFERROR(VLOOKUP(O216,Capacity!$A$3:$D$532,4,), "0")</f>
        <v>123.700208625</v>
      </c>
      <c r="Q216" s="4">
        <f>IFERROR(VLOOKUP(O216,Capacity!$A$3:$F$532,6,), "0")</f>
        <v>0.75</v>
      </c>
      <c r="R216" s="5">
        <f t="shared" si="35"/>
        <v>123.700208625</v>
      </c>
      <c r="S216" s="5">
        <f t="shared" si="36"/>
        <v>0.75</v>
      </c>
      <c r="T216">
        <v>469</v>
      </c>
      <c r="U216">
        <v>0</v>
      </c>
      <c r="V216">
        <v>0</v>
      </c>
      <c r="W216">
        <v>1</v>
      </c>
      <c r="X216">
        <f t="shared" si="32"/>
        <v>0</v>
      </c>
      <c r="Y216">
        <f t="shared" si="33"/>
        <v>0</v>
      </c>
      <c r="Z216">
        <f t="shared" si="37"/>
        <v>0</v>
      </c>
      <c r="AA216">
        <f t="shared" si="38"/>
        <v>0</v>
      </c>
      <c r="AC216">
        <f t="shared" si="39"/>
        <v>0</v>
      </c>
      <c r="AD216">
        <f t="shared" si="34"/>
        <v>0</v>
      </c>
    </row>
    <row r="217" spans="1:30" x14ac:dyDescent="0.25">
      <c r="A217">
        <v>210</v>
      </c>
      <c r="B217">
        <f>IFERROR(VLOOKUP(A217,Capacity!$A$3:$D$532,4,), "0")</f>
        <v>50.265481600000015</v>
      </c>
      <c r="C217" s="4">
        <f>IFERROR(VLOOKUP(A217,Capacity!$A$3:$F$532,6,), "0")</f>
        <v>0.4</v>
      </c>
      <c r="D217">
        <v>211</v>
      </c>
      <c r="E217">
        <f>IFERROR(VLOOKUP(D217,Capacity!$A$3:$D$532,4,), "0")</f>
        <v>4.8105636687499995</v>
      </c>
      <c r="F217" s="4">
        <f>IFERROR(VLOOKUP(D217,Capacity!$A$3:$F$532,6,), "0")</f>
        <v>0.17499999999999999</v>
      </c>
      <c r="G217">
        <v>203</v>
      </c>
      <c r="H217">
        <f>IFERROR(VLOOKUP(G217,Capacity!$A$3:$D$532,4,), "0")</f>
        <v>75.398222400000023</v>
      </c>
      <c r="I217" s="4">
        <f>IFERROR(VLOOKUP(G217,Capacity!$A$3:$F$532,6,), "0")</f>
        <v>0.4</v>
      </c>
      <c r="K217" t="str">
        <f>IFERROR(VLOOKUP(J217,Capacity!$A$3:$D$532,4,), "0")</f>
        <v>0</v>
      </c>
      <c r="L217" s="4" t="str">
        <f>IFERROR(VLOOKUP(J217,Capacity!$A$3:$F$532,6,), "0")</f>
        <v>0</v>
      </c>
      <c r="M217" s="5">
        <f t="shared" si="30"/>
        <v>80.208786068750015</v>
      </c>
      <c r="N217" s="5">
        <f t="shared" si="31"/>
        <v>0.57499999999999996</v>
      </c>
      <c r="O217">
        <v>209</v>
      </c>
      <c r="P217">
        <f>IFERROR(VLOOKUP(O217,Capacity!$A$3:$D$532,4,), "0")</f>
        <v>123.700208625</v>
      </c>
      <c r="Q217" s="4">
        <f>IFERROR(VLOOKUP(O217,Capacity!$A$3:$F$532,6,), "0")</f>
        <v>0.75</v>
      </c>
      <c r="R217" s="5">
        <f t="shared" si="35"/>
        <v>123.700208625</v>
      </c>
      <c r="S217" s="5">
        <f t="shared" si="36"/>
        <v>0.75</v>
      </c>
      <c r="T217">
        <v>210</v>
      </c>
      <c r="U217">
        <v>2</v>
      </c>
      <c r="V217">
        <v>2</v>
      </c>
      <c r="W217">
        <v>1</v>
      </c>
      <c r="X217">
        <f t="shared" si="32"/>
        <v>0.64841269841269855</v>
      </c>
      <c r="Y217">
        <f t="shared" si="33"/>
        <v>1.5957031249999998</v>
      </c>
      <c r="Z217">
        <f t="shared" si="37"/>
        <v>0.76666666666666661</v>
      </c>
      <c r="AA217">
        <f t="shared" si="38"/>
        <v>1.4374999999999998</v>
      </c>
      <c r="AC217">
        <f t="shared" si="39"/>
        <v>0.46106094808126419</v>
      </c>
      <c r="AD217">
        <f t="shared" si="34"/>
        <v>0.92212189616252838</v>
      </c>
    </row>
    <row r="218" spans="1:30" x14ac:dyDescent="0.25">
      <c r="A218">
        <v>474</v>
      </c>
      <c r="B218">
        <f>IFERROR(VLOOKUP(A218,Capacity!$A$3:$D$532,4,), "0")</f>
        <v>24.052818343749998</v>
      </c>
      <c r="C218" s="4">
        <f>IFERROR(VLOOKUP(A218,Capacity!$A$3:$F$532,6,), "0")</f>
        <v>0.17499999999999999</v>
      </c>
      <c r="E218" t="str">
        <f>IFERROR(VLOOKUP(D218,Capacity!$A$3:$D$532,4,), "0")</f>
        <v>0</v>
      </c>
      <c r="F218" s="4" t="str">
        <f>IFERROR(VLOOKUP(D218,Capacity!$A$3:$F$532,6,), "0")</f>
        <v>0</v>
      </c>
      <c r="H218" t="str">
        <f>IFERROR(VLOOKUP(G218,Capacity!$A$3:$D$532,4,), "0")</f>
        <v>0</v>
      </c>
      <c r="I218" s="4" t="str">
        <f>IFERROR(VLOOKUP(G218,Capacity!$A$3:$F$532,6,), "0")</f>
        <v>0</v>
      </c>
      <c r="K218" t="str">
        <f>IFERROR(VLOOKUP(J218,Capacity!$A$3:$D$532,4,), "0")</f>
        <v>0</v>
      </c>
      <c r="L218" s="4" t="str">
        <f>IFERROR(VLOOKUP(J218,Capacity!$A$3:$F$532,6,), "0")</f>
        <v>0</v>
      </c>
      <c r="M218" s="5">
        <f t="shared" si="30"/>
        <v>0</v>
      </c>
      <c r="N218" s="5">
        <f t="shared" si="31"/>
        <v>0</v>
      </c>
      <c r="O218">
        <v>213</v>
      </c>
      <c r="P218">
        <f>IFERROR(VLOOKUP(O218,Capacity!$A$3:$D$532,4,), "0")</f>
        <v>9.621127337499999</v>
      </c>
      <c r="Q218" s="4">
        <f>IFERROR(VLOOKUP(O218,Capacity!$A$3:$F$532,6,), "0")</f>
        <v>0.17499999999999999</v>
      </c>
      <c r="R218" s="5">
        <f t="shared" si="35"/>
        <v>9.621127337499999</v>
      </c>
      <c r="S218" s="5">
        <f t="shared" si="36"/>
        <v>0.17499999999999999</v>
      </c>
      <c r="T218">
        <v>474</v>
      </c>
      <c r="U218">
        <v>0</v>
      </c>
      <c r="V218">
        <v>0</v>
      </c>
      <c r="W218">
        <v>1</v>
      </c>
      <c r="X218">
        <f t="shared" si="32"/>
        <v>0</v>
      </c>
      <c r="Y218">
        <f t="shared" si="33"/>
        <v>0</v>
      </c>
      <c r="Z218">
        <f t="shared" si="37"/>
        <v>0</v>
      </c>
      <c r="AA218">
        <f t="shared" si="38"/>
        <v>0</v>
      </c>
      <c r="AC218">
        <f t="shared" si="39"/>
        <v>0</v>
      </c>
      <c r="AD218">
        <f t="shared" si="34"/>
        <v>0</v>
      </c>
    </row>
    <row r="219" spans="1:30" x14ac:dyDescent="0.25">
      <c r="A219">
        <v>217</v>
      </c>
      <c r="B219">
        <f>IFERROR(VLOOKUP(A219,Capacity!$A$3:$D$532,4,), "0")</f>
        <v>19.242254674999998</v>
      </c>
      <c r="C219" s="4">
        <f>IFERROR(VLOOKUP(A219,Capacity!$A$3:$F$532,6,), "0")</f>
        <v>0.17499999999999999</v>
      </c>
      <c r="D219">
        <v>475</v>
      </c>
      <c r="E219">
        <f>IFERROR(VLOOKUP(D219,Capacity!$A$3:$D$532,4,), "0")</f>
        <v>26.939156544999996</v>
      </c>
      <c r="F219" s="4">
        <f>IFERROR(VLOOKUP(D219,Capacity!$A$3:$F$532,6,), "0")</f>
        <v>0.17499999999999999</v>
      </c>
      <c r="G219">
        <v>231</v>
      </c>
      <c r="H219">
        <f>IFERROR(VLOOKUP(G219,Capacity!$A$3:$D$532,4,), "0")</f>
        <v>16.355916473749996</v>
      </c>
      <c r="I219" s="4">
        <f>IFERROR(VLOOKUP(G219,Capacity!$A$3:$F$532,6,), "0")</f>
        <v>0.17499999999999999</v>
      </c>
      <c r="K219" t="str">
        <f>IFERROR(VLOOKUP(J219,Capacity!$A$3:$D$532,4,), "0")</f>
        <v>0</v>
      </c>
      <c r="L219" s="4" t="str">
        <f>IFERROR(VLOOKUP(J219,Capacity!$A$3:$F$532,6,), "0")</f>
        <v>0</v>
      </c>
      <c r="M219" s="5">
        <f t="shared" si="30"/>
        <v>43.295073018749989</v>
      </c>
      <c r="N219" s="5">
        <f t="shared" si="31"/>
        <v>0.35</v>
      </c>
      <c r="O219">
        <v>213</v>
      </c>
      <c r="P219">
        <f>IFERROR(VLOOKUP(O219,Capacity!$A$3:$D$532,4,), "0")</f>
        <v>9.621127337499999</v>
      </c>
      <c r="Q219" s="4">
        <f>IFERROR(VLOOKUP(O219,Capacity!$A$3:$F$532,6,), "0")</f>
        <v>0.17499999999999999</v>
      </c>
      <c r="R219" s="5">
        <f t="shared" si="35"/>
        <v>9.621127337499999</v>
      </c>
      <c r="S219" s="5">
        <f t="shared" si="36"/>
        <v>0.17499999999999999</v>
      </c>
      <c r="T219">
        <v>217</v>
      </c>
      <c r="U219">
        <v>2</v>
      </c>
      <c r="V219">
        <v>2</v>
      </c>
      <c r="W219">
        <v>1</v>
      </c>
      <c r="X219">
        <f t="shared" si="32"/>
        <v>4.4999999999999991</v>
      </c>
      <c r="Y219">
        <f t="shared" si="33"/>
        <v>2.2499999999999996</v>
      </c>
      <c r="Z219">
        <f t="shared" si="37"/>
        <v>2</v>
      </c>
      <c r="AA219">
        <f t="shared" si="38"/>
        <v>2</v>
      </c>
      <c r="AC219">
        <f t="shared" si="39"/>
        <v>1.4999999999999998</v>
      </c>
      <c r="AD219">
        <f t="shared" si="34"/>
        <v>2.9999999999999996</v>
      </c>
    </row>
    <row r="220" spans="1:30" x14ac:dyDescent="0.25">
      <c r="A220">
        <v>109</v>
      </c>
      <c r="B220">
        <f>IFERROR(VLOOKUP(A220,Capacity!$A$3:$D$532,4,), "0")</f>
        <v>14.431691006249999</v>
      </c>
      <c r="C220" s="4">
        <f>IFERROR(VLOOKUP(A220,Capacity!$A$3:$F$532,6,), "0")</f>
        <v>0.17499999999999999</v>
      </c>
      <c r="D220">
        <v>108</v>
      </c>
      <c r="E220">
        <f>IFERROR(VLOOKUP(D220,Capacity!$A$3:$D$532,4,), "0")</f>
        <v>15.393803739999997</v>
      </c>
      <c r="F220" s="4">
        <f>IFERROR(VLOOKUP(D220,Capacity!$A$3:$F$532,6,), "0")</f>
        <v>0.17499999999999999</v>
      </c>
      <c r="H220" t="str">
        <f>IFERROR(VLOOKUP(G220,Capacity!$A$3:$D$532,4,), "0")</f>
        <v>0</v>
      </c>
      <c r="I220" s="4" t="str">
        <f>IFERROR(VLOOKUP(G220,Capacity!$A$3:$F$532,6,), "0")</f>
        <v>0</v>
      </c>
      <c r="K220" t="str">
        <f>IFERROR(VLOOKUP(J220,Capacity!$A$3:$D$532,4,), "0")</f>
        <v>0</v>
      </c>
      <c r="L220" s="4" t="str">
        <f>IFERROR(VLOOKUP(J220,Capacity!$A$3:$F$532,6,), "0")</f>
        <v>0</v>
      </c>
      <c r="M220" s="5">
        <f t="shared" si="30"/>
        <v>15.393803739999997</v>
      </c>
      <c r="N220" s="5">
        <f t="shared" si="31"/>
        <v>0.17499999999999999</v>
      </c>
      <c r="O220">
        <v>110</v>
      </c>
      <c r="P220">
        <f>IFERROR(VLOOKUP(O220,Capacity!$A$3:$D$532,4,), "0")</f>
        <v>17.592918560000005</v>
      </c>
      <c r="Q220" s="4">
        <f>IFERROR(VLOOKUP(O220,Capacity!$A$3:$F$532,6,), "0")</f>
        <v>0.2</v>
      </c>
      <c r="R220" s="5">
        <f t="shared" si="35"/>
        <v>17.592918560000005</v>
      </c>
      <c r="S220" s="5">
        <f t="shared" si="36"/>
        <v>0.2</v>
      </c>
      <c r="T220">
        <v>109</v>
      </c>
      <c r="U220">
        <v>1</v>
      </c>
      <c r="V220">
        <v>1</v>
      </c>
      <c r="W220">
        <v>1</v>
      </c>
      <c r="X220">
        <f t="shared" si="32"/>
        <v>0.87499999999999967</v>
      </c>
      <c r="Y220">
        <f t="shared" si="33"/>
        <v>1.0666666666666667</v>
      </c>
      <c r="Z220">
        <f t="shared" si="37"/>
        <v>0.87499999999999989</v>
      </c>
      <c r="AA220">
        <f t="shared" si="38"/>
        <v>1</v>
      </c>
      <c r="AC220">
        <f t="shared" si="39"/>
        <v>0.48068669527896979</v>
      </c>
      <c r="AD220">
        <f t="shared" si="34"/>
        <v>0.48068669527896979</v>
      </c>
    </row>
    <row r="221" spans="1:30" x14ac:dyDescent="0.25">
      <c r="A221">
        <v>106</v>
      </c>
      <c r="B221">
        <f>IFERROR(VLOOKUP(A221,Capacity!$A$3:$D$532,4,), "0")</f>
        <v>13.469578272499998</v>
      </c>
      <c r="C221" s="4">
        <f>IFERROR(VLOOKUP(A221,Capacity!$A$3:$F$532,6,), "0")</f>
        <v>0.17499999999999999</v>
      </c>
      <c r="D221">
        <v>107</v>
      </c>
      <c r="E221">
        <f>IFERROR(VLOOKUP(D221,Capacity!$A$3:$D$532,4,), "0")</f>
        <v>20.204367408749999</v>
      </c>
      <c r="F221" s="4">
        <f>IFERROR(VLOOKUP(D221,Capacity!$A$3:$F$532,6,), "0")</f>
        <v>0.17499999999999999</v>
      </c>
      <c r="G221">
        <v>105</v>
      </c>
      <c r="H221">
        <f>IFERROR(VLOOKUP(G221,Capacity!$A$3:$D$532,4,), "0")</f>
        <v>30.787607479999995</v>
      </c>
      <c r="I221" s="4">
        <f>IFERROR(VLOOKUP(G221,Capacity!$A$3:$F$532,6,), "0")</f>
        <v>0.17499999999999999</v>
      </c>
      <c r="K221" t="str">
        <f>IFERROR(VLOOKUP(J221,Capacity!$A$3:$D$532,4,), "0")</f>
        <v>0</v>
      </c>
      <c r="L221" s="4" t="str">
        <f>IFERROR(VLOOKUP(J221,Capacity!$A$3:$F$532,6,), "0")</f>
        <v>0</v>
      </c>
      <c r="M221" s="5">
        <f t="shared" si="30"/>
        <v>50.991974888749994</v>
      </c>
      <c r="N221" s="5">
        <f t="shared" si="31"/>
        <v>0.35</v>
      </c>
      <c r="O221">
        <v>110</v>
      </c>
      <c r="P221">
        <f>IFERROR(VLOOKUP(O221,Capacity!$A$3:$D$532,4,), "0")</f>
        <v>17.592918560000005</v>
      </c>
      <c r="Q221" s="4">
        <f>IFERROR(VLOOKUP(O221,Capacity!$A$3:$F$532,6,), "0")</f>
        <v>0.2</v>
      </c>
      <c r="R221" s="5">
        <f t="shared" si="35"/>
        <v>17.592918560000005</v>
      </c>
      <c r="S221" s="5">
        <f t="shared" si="36"/>
        <v>0.2</v>
      </c>
      <c r="T221">
        <v>106</v>
      </c>
      <c r="U221">
        <v>2</v>
      </c>
      <c r="V221">
        <v>2</v>
      </c>
      <c r="W221">
        <v>1</v>
      </c>
      <c r="X221">
        <f t="shared" si="32"/>
        <v>2.8984374999999987</v>
      </c>
      <c r="Y221">
        <f t="shared" si="33"/>
        <v>3.7857142857142856</v>
      </c>
      <c r="Z221">
        <f t="shared" si="37"/>
        <v>1.7499999999999998</v>
      </c>
      <c r="AA221">
        <f t="shared" si="38"/>
        <v>2</v>
      </c>
      <c r="AC221">
        <f t="shared" si="39"/>
        <v>1.6415929203539819</v>
      </c>
      <c r="AD221">
        <f t="shared" si="34"/>
        <v>3.2831858407079637</v>
      </c>
    </row>
    <row r="222" spans="1:30" x14ac:dyDescent="0.25">
      <c r="A222">
        <v>115</v>
      </c>
      <c r="B222">
        <f>IFERROR(VLOOKUP(A222,Capacity!$A$3:$D$532,4,), "0")</f>
        <v>18.849555600000006</v>
      </c>
      <c r="C222" s="4">
        <f>IFERROR(VLOOKUP(A222,Capacity!$A$3:$F$532,6,), "0")</f>
        <v>0.2</v>
      </c>
      <c r="D222">
        <v>435</v>
      </c>
      <c r="E222">
        <f>IFERROR(VLOOKUP(D222,Capacity!$A$3:$D$532,4,), "0")</f>
        <v>9.621127337499999</v>
      </c>
      <c r="F222" s="4">
        <f>IFERROR(VLOOKUP(D222,Capacity!$A$3:$F$532,6,), "0")</f>
        <v>0.17499999999999999</v>
      </c>
      <c r="G222">
        <v>432</v>
      </c>
      <c r="H222">
        <f>IFERROR(VLOOKUP(G222,Capacity!$A$3:$D$532,4,), "0")</f>
        <v>7.6969018699999987</v>
      </c>
      <c r="I222" s="4">
        <f>IFERROR(VLOOKUP(G222,Capacity!$A$3:$F$532,6,), "0")</f>
        <v>0.17499999999999999</v>
      </c>
      <c r="J222">
        <v>116</v>
      </c>
      <c r="K222">
        <f>IFERROR(VLOOKUP(J222,Capacity!$A$3:$D$532,4,), "0")</f>
        <v>16.336281520000004</v>
      </c>
      <c r="L222" s="4">
        <f>IFERROR(VLOOKUP(J222,Capacity!$A$3:$F$532,6,), "0")</f>
        <v>0.2</v>
      </c>
      <c r="M222" s="5">
        <f t="shared" si="30"/>
        <v>33.654310727500004</v>
      </c>
      <c r="N222" s="5">
        <f t="shared" si="31"/>
        <v>0.55000000000000004</v>
      </c>
      <c r="O222">
        <v>114</v>
      </c>
      <c r="P222">
        <f>IFERROR(VLOOKUP(O222,Capacity!$A$3:$D$532,4,), "0")</f>
        <v>15.079644480000002</v>
      </c>
      <c r="Q222" s="4">
        <f>IFERROR(VLOOKUP(O222,Capacity!$A$3:$F$532,6,), "0")</f>
        <v>0.2</v>
      </c>
      <c r="R222" s="5">
        <f t="shared" si="35"/>
        <v>15.079644480000002</v>
      </c>
      <c r="S222" s="5">
        <f t="shared" si="36"/>
        <v>0.2</v>
      </c>
      <c r="T222">
        <v>115</v>
      </c>
      <c r="U222">
        <v>3</v>
      </c>
      <c r="V222">
        <v>3</v>
      </c>
      <c r="W222">
        <v>1</v>
      </c>
      <c r="X222">
        <f t="shared" si="32"/>
        <v>2.231770833333333</v>
      </c>
      <c r="Y222">
        <f t="shared" si="33"/>
        <v>1.7854166666666664</v>
      </c>
      <c r="Z222">
        <f t="shared" si="37"/>
        <v>2.75</v>
      </c>
      <c r="AA222">
        <f t="shared" si="38"/>
        <v>2.75</v>
      </c>
      <c r="AC222">
        <f t="shared" si="39"/>
        <v>0.99189814814814803</v>
      </c>
      <c r="AD222">
        <f t="shared" si="34"/>
        <v>2.9756944444444442</v>
      </c>
    </row>
    <row r="223" spans="1:30" x14ac:dyDescent="0.25">
      <c r="A223">
        <v>436</v>
      </c>
      <c r="B223">
        <f>IFERROR(VLOOKUP(A223,Capacity!$A$3:$D$532,4,), "0")</f>
        <v>10.58324007125</v>
      </c>
      <c r="C223" s="4">
        <f>IFERROR(VLOOKUP(A223,Capacity!$A$3:$F$532,6,), "0")</f>
        <v>0.17499999999999999</v>
      </c>
      <c r="E223" t="str">
        <f>IFERROR(VLOOKUP(D223,Capacity!$A$3:$D$532,4,), "0")</f>
        <v>0</v>
      </c>
      <c r="F223" s="4" t="str">
        <f>IFERROR(VLOOKUP(D223,Capacity!$A$3:$F$532,6,), "0")</f>
        <v>0</v>
      </c>
      <c r="H223" t="str">
        <f>IFERROR(VLOOKUP(G223,Capacity!$A$3:$D$532,4,), "0")</f>
        <v>0</v>
      </c>
      <c r="I223" s="4" t="str">
        <f>IFERROR(VLOOKUP(G223,Capacity!$A$3:$F$532,6,), "0")</f>
        <v>0</v>
      </c>
      <c r="K223" t="str">
        <f>IFERROR(VLOOKUP(J223,Capacity!$A$3:$D$532,4,), "0")</f>
        <v>0</v>
      </c>
      <c r="L223" s="4" t="str">
        <f>IFERROR(VLOOKUP(J223,Capacity!$A$3:$F$532,6,), "0")</f>
        <v>0</v>
      </c>
      <c r="M223" s="5">
        <f t="shared" si="30"/>
        <v>0</v>
      </c>
      <c r="N223" s="5">
        <f t="shared" si="31"/>
        <v>0</v>
      </c>
      <c r="O223">
        <v>117</v>
      </c>
      <c r="P223">
        <f>IFERROR(VLOOKUP(O223,Capacity!$A$3:$D$532,4,), "0")</f>
        <v>16.836972840624998</v>
      </c>
      <c r="Q223" s="4">
        <f>IFERROR(VLOOKUP(O223,Capacity!$A$3:$F$532,6,), "0")</f>
        <v>0.17499999999999999</v>
      </c>
      <c r="R223" s="5">
        <f t="shared" si="35"/>
        <v>16.836972840624998</v>
      </c>
      <c r="S223" s="5">
        <f t="shared" si="36"/>
        <v>0.17499999999999999</v>
      </c>
      <c r="T223">
        <v>436</v>
      </c>
      <c r="U223">
        <v>0</v>
      </c>
      <c r="V223">
        <v>0</v>
      </c>
      <c r="W223">
        <v>1</v>
      </c>
      <c r="X223">
        <f t="shared" si="32"/>
        <v>0</v>
      </c>
      <c r="Y223">
        <f t="shared" si="33"/>
        <v>0</v>
      </c>
      <c r="Z223">
        <f t="shared" si="37"/>
        <v>0</v>
      </c>
      <c r="AA223">
        <f t="shared" si="38"/>
        <v>0</v>
      </c>
      <c r="AC223">
        <f t="shared" si="39"/>
        <v>0</v>
      </c>
      <c r="AD223">
        <f t="shared" si="34"/>
        <v>0</v>
      </c>
    </row>
    <row r="224" spans="1:30" x14ac:dyDescent="0.25">
      <c r="A224">
        <v>17</v>
      </c>
      <c r="B224">
        <f>IFERROR(VLOOKUP(A224,Capacity!$A$3:$D$532,4,), "0")</f>
        <v>10.053096320000002</v>
      </c>
      <c r="C224" s="4">
        <f>IFERROR(VLOOKUP(A224,Capacity!$A$3:$F$532,6,), "0")</f>
        <v>0.2</v>
      </c>
      <c r="D224">
        <v>359</v>
      </c>
      <c r="E224">
        <f>IFERROR(VLOOKUP(D224,Capacity!$A$3:$D$532,4,), "0")</f>
        <v>7.6969018699999987</v>
      </c>
      <c r="F224" s="4">
        <f>IFERROR(VLOOKUP(D224,Capacity!$A$3:$F$532,6,), "0")</f>
        <v>0.17499999999999999</v>
      </c>
      <c r="G224">
        <v>7</v>
      </c>
      <c r="H224">
        <f>IFERROR(VLOOKUP(G224,Capacity!$A$3:$D$532,4,), "0")</f>
        <v>20.106192640000003</v>
      </c>
      <c r="I224" s="4">
        <f>IFERROR(VLOOKUP(G224,Capacity!$A$3:$F$532,6,), "0")</f>
        <v>0.2</v>
      </c>
      <c r="K224" t="str">
        <f>IFERROR(VLOOKUP(J224,Capacity!$A$3:$D$532,4,), "0")</f>
        <v>0</v>
      </c>
      <c r="L224" s="4" t="str">
        <f>IFERROR(VLOOKUP(J224,Capacity!$A$3:$F$532,6,), "0")</f>
        <v>0</v>
      </c>
      <c r="M224" s="5">
        <f t="shared" si="30"/>
        <v>27.803094510000001</v>
      </c>
      <c r="N224" s="5">
        <f t="shared" si="31"/>
        <v>0.375</v>
      </c>
      <c r="O224">
        <v>18</v>
      </c>
      <c r="P224">
        <f>IFERROR(VLOOKUP(O224,Capacity!$A$3:$D$532,4,), "0")</f>
        <v>32.672563040000007</v>
      </c>
      <c r="Q224" s="4">
        <f>IFERROR(VLOOKUP(O224,Capacity!$A$3:$F$532,6,), "0")</f>
        <v>0.2</v>
      </c>
      <c r="R224" s="5">
        <f t="shared" si="35"/>
        <v>32.672563040000007</v>
      </c>
      <c r="S224" s="5">
        <f t="shared" si="36"/>
        <v>0.2</v>
      </c>
      <c r="T224">
        <v>17</v>
      </c>
      <c r="U224">
        <v>2</v>
      </c>
      <c r="V224">
        <v>2</v>
      </c>
      <c r="W224">
        <v>1</v>
      </c>
      <c r="X224">
        <f t="shared" si="32"/>
        <v>0.85096153846153832</v>
      </c>
      <c r="Y224">
        <f t="shared" si="33"/>
        <v>2.7656249999999996</v>
      </c>
      <c r="Z224">
        <f t="shared" si="37"/>
        <v>1.875</v>
      </c>
      <c r="AA224">
        <f t="shared" si="38"/>
        <v>1.875</v>
      </c>
      <c r="AC224">
        <f t="shared" si="39"/>
        <v>0.65073529411764697</v>
      </c>
      <c r="AD224">
        <f t="shared" si="34"/>
        <v>1.3014705882352939</v>
      </c>
    </row>
    <row r="225" spans="1:30" x14ac:dyDescent="0.25">
      <c r="A225">
        <v>425</v>
      </c>
      <c r="B225">
        <f>IFERROR(VLOOKUP(A225,Capacity!$A$3:$D$532,4,), "0")</f>
        <v>21.647536509374998</v>
      </c>
      <c r="C225" s="4">
        <f>IFERROR(VLOOKUP(A225,Capacity!$A$3:$F$532,6,), "0")</f>
        <v>0.17499999999999999</v>
      </c>
      <c r="E225" t="str">
        <f>IFERROR(VLOOKUP(D225,Capacity!$A$3:$D$532,4,), "0")</f>
        <v>0</v>
      </c>
      <c r="F225" s="4" t="str">
        <f>IFERROR(VLOOKUP(D225,Capacity!$A$3:$F$532,6,), "0")</f>
        <v>0</v>
      </c>
      <c r="H225" t="str">
        <f>IFERROR(VLOOKUP(G225,Capacity!$A$3:$D$532,4,), "0")</f>
        <v>0</v>
      </c>
      <c r="I225" s="4" t="str">
        <f>IFERROR(VLOOKUP(G225,Capacity!$A$3:$F$532,6,), "0")</f>
        <v>0</v>
      </c>
      <c r="K225" t="str">
        <f>IFERROR(VLOOKUP(J225,Capacity!$A$3:$D$532,4,), "0")</f>
        <v>0</v>
      </c>
      <c r="L225" s="4" t="str">
        <f>IFERROR(VLOOKUP(J225,Capacity!$A$3:$F$532,6,), "0")</f>
        <v>0</v>
      </c>
      <c r="M225" s="5">
        <f t="shared" si="30"/>
        <v>0</v>
      </c>
      <c r="N225" s="5">
        <f t="shared" si="31"/>
        <v>0</v>
      </c>
      <c r="O225">
        <v>54</v>
      </c>
      <c r="P225">
        <f>IFERROR(VLOOKUP(O225,Capacity!$A$3:$D$532,4,), "0")</f>
        <v>7.6969018699999987</v>
      </c>
      <c r="Q225" s="4">
        <f>IFERROR(VLOOKUP(O225,Capacity!$A$3:$F$532,6,), "0")</f>
        <v>0.17499999999999999</v>
      </c>
      <c r="R225" s="5">
        <f t="shared" si="35"/>
        <v>7.6969018699999987</v>
      </c>
      <c r="S225" s="5">
        <f t="shared" si="36"/>
        <v>0.17499999999999999</v>
      </c>
      <c r="T225">
        <v>425</v>
      </c>
      <c r="U225">
        <v>0</v>
      </c>
      <c r="V225">
        <v>0</v>
      </c>
      <c r="W225">
        <v>1</v>
      </c>
      <c r="X225">
        <f t="shared" si="32"/>
        <v>0</v>
      </c>
      <c r="Y225">
        <f t="shared" si="33"/>
        <v>0</v>
      </c>
      <c r="Z225">
        <f t="shared" si="37"/>
        <v>0</v>
      </c>
      <c r="AA225">
        <f t="shared" si="38"/>
        <v>0</v>
      </c>
      <c r="AC225">
        <f t="shared" si="39"/>
        <v>0</v>
      </c>
      <c r="AD225">
        <f t="shared" si="34"/>
        <v>0</v>
      </c>
    </row>
    <row r="226" spans="1:30" x14ac:dyDescent="0.25">
      <c r="A226">
        <v>379</v>
      </c>
      <c r="B226">
        <f>IFERROR(VLOOKUP(A226,Capacity!$A$3:$D$532,4,), "0")</f>
        <v>7.6969018699999987</v>
      </c>
      <c r="C226" s="4">
        <f>IFERROR(VLOOKUP(A226,Capacity!$A$3:$F$532,6,), "0")</f>
        <v>0.17499999999999999</v>
      </c>
      <c r="E226" t="str">
        <f>IFERROR(VLOOKUP(D226,Capacity!$A$3:$D$532,4,), "0")</f>
        <v>0</v>
      </c>
      <c r="F226" s="4" t="str">
        <f>IFERROR(VLOOKUP(D226,Capacity!$A$3:$F$532,6,), "0")</f>
        <v>0</v>
      </c>
      <c r="H226" t="str">
        <f>IFERROR(VLOOKUP(G226,Capacity!$A$3:$D$532,4,), "0")</f>
        <v>0</v>
      </c>
      <c r="I226" s="4" t="str">
        <f>IFERROR(VLOOKUP(G226,Capacity!$A$3:$F$532,6,), "0")</f>
        <v>0</v>
      </c>
      <c r="K226" t="str">
        <f>IFERROR(VLOOKUP(J226,Capacity!$A$3:$D$532,4,), "0")</f>
        <v>0</v>
      </c>
      <c r="L226" s="4" t="str">
        <f>IFERROR(VLOOKUP(J226,Capacity!$A$3:$F$532,6,), "0")</f>
        <v>0</v>
      </c>
      <c r="M226" s="5">
        <f t="shared" si="30"/>
        <v>0</v>
      </c>
      <c r="N226" s="5">
        <f t="shared" si="31"/>
        <v>0</v>
      </c>
      <c r="O226">
        <v>54</v>
      </c>
      <c r="P226">
        <f>IFERROR(VLOOKUP(O226,Capacity!$A$3:$D$532,4,), "0")</f>
        <v>7.6969018699999987</v>
      </c>
      <c r="Q226" s="4">
        <f>IFERROR(VLOOKUP(O226,Capacity!$A$3:$F$532,6,), "0")</f>
        <v>0.17499999999999999</v>
      </c>
      <c r="R226" s="5">
        <f t="shared" si="35"/>
        <v>7.6969018699999987</v>
      </c>
      <c r="S226" s="5">
        <f t="shared" si="36"/>
        <v>0.17499999999999999</v>
      </c>
      <c r="T226">
        <v>379</v>
      </c>
      <c r="U226">
        <v>0</v>
      </c>
      <c r="V226">
        <v>0</v>
      </c>
      <c r="W226">
        <v>1</v>
      </c>
      <c r="X226">
        <f t="shared" si="32"/>
        <v>0</v>
      </c>
      <c r="Y226">
        <f t="shared" si="33"/>
        <v>0</v>
      </c>
      <c r="Z226">
        <f t="shared" si="37"/>
        <v>0</v>
      </c>
      <c r="AA226">
        <f t="shared" si="38"/>
        <v>0</v>
      </c>
      <c r="AC226">
        <f t="shared" si="39"/>
        <v>0</v>
      </c>
      <c r="AD226">
        <f t="shared" si="34"/>
        <v>0</v>
      </c>
    </row>
    <row r="227" spans="1:30" x14ac:dyDescent="0.25">
      <c r="A227">
        <v>360</v>
      </c>
      <c r="B227">
        <f>IFERROR(VLOOKUP(A227,Capacity!$A$3:$D$532,4,), "0")</f>
        <v>25.014931077499998</v>
      </c>
      <c r="C227" s="4">
        <f>IFERROR(VLOOKUP(A227,Capacity!$A$3:$F$532,6,), "0")</f>
        <v>0.17499999999999999</v>
      </c>
      <c r="E227" t="str">
        <f>IFERROR(VLOOKUP(D227,Capacity!$A$3:$D$532,4,), "0")</f>
        <v>0</v>
      </c>
      <c r="F227" s="4" t="str">
        <f>IFERROR(VLOOKUP(D227,Capacity!$A$3:$F$532,6,), "0")</f>
        <v>0</v>
      </c>
      <c r="H227" t="str">
        <f>IFERROR(VLOOKUP(G227,Capacity!$A$3:$D$532,4,), "0")</f>
        <v>0</v>
      </c>
      <c r="I227" s="4" t="str">
        <f>IFERROR(VLOOKUP(G227,Capacity!$A$3:$F$532,6,), "0")</f>
        <v>0</v>
      </c>
      <c r="K227" t="str">
        <f>IFERROR(VLOOKUP(J227,Capacity!$A$3:$D$532,4,), "0")</f>
        <v>0</v>
      </c>
      <c r="L227" s="4" t="str">
        <f>IFERROR(VLOOKUP(J227,Capacity!$A$3:$F$532,6,), "0")</f>
        <v>0</v>
      </c>
      <c r="M227" s="5">
        <f t="shared" si="30"/>
        <v>0</v>
      </c>
      <c r="N227" s="5">
        <f t="shared" si="31"/>
        <v>0</v>
      </c>
      <c r="O227">
        <v>54</v>
      </c>
      <c r="P227">
        <f>IFERROR(VLOOKUP(O227,Capacity!$A$3:$D$532,4,), "0")</f>
        <v>7.6969018699999987</v>
      </c>
      <c r="Q227" s="4">
        <f>IFERROR(VLOOKUP(O227,Capacity!$A$3:$F$532,6,), "0")</f>
        <v>0.17499999999999999</v>
      </c>
      <c r="R227" s="5">
        <f t="shared" si="35"/>
        <v>7.6969018699999987</v>
      </c>
      <c r="S227" s="5">
        <f t="shared" si="36"/>
        <v>0.17499999999999999</v>
      </c>
      <c r="T227">
        <v>360</v>
      </c>
      <c r="U227">
        <v>0</v>
      </c>
      <c r="V227">
        <v>0</v>
      </c>
      <c r="W227">
        <v>1</v>
      </c>
      <c r="X227">
        <f t="shared" si="32"/>
        <v>0</v>
      </c>
      <c r="Y227">
        <f t="shared" si="33"/>
        <v>0</v>
      </c>
      <c r="Z227">
        <f t="shared" si="37"/>
        <v>0</v>
      </c>
      <c r="AA227">
        <f t="shared" si="38"/>
        <v>0</v>
      </c>
      <c r="AC227">
        <f t="shared" si="39"/>
        <v>0</v>
      </c>
      <c r="AD227">
        <f t="shared" si="34"/>
        <v>0</v>
      </c>
    </row>
    <row r="228" spans="1:30" x14ac:dyDescent="0.25">
      <c r="A228">
        <v>56</v>
      </c>
      <c r="B228">
        <f>IFERROR(VLOOKUP(A228,Capacity!$A$3:$D$532,4,), "0")</f>
        <v>7.6969018699999987</v>
      </c>
      <c r="C228" s="4">
        <f>IFERROR(VLOOKUP(A228,Capacity!$A$3:$F$532,6,), "0")</f>
        <v>0.17499999999999999</v>
      </c>
      <c r="D228">
        <v>427</v>
      </c>
      <c r="E228">
        <f>IFERROR(VLOOKUP(D228,Capacity!$A$3:$D$532,4,), "0")</f>
        <v>21.647536509374998</v>
      </c>
      <c r="F228" s="4">
        <f>IFERROR(VLOOKUP(D228,Capacity!$A$3:$F$532,6,), "0")</f>
        <v>0.17499999999999999</v>
      </c>
      <c r="G228">
        <v>358</v>
      </c>
      <c r="H228">
        <f>IFERROR(VLOOKUP(G228,Capacity!$A$3:$D$532,4,), "0")</f>
        <v>25.014931077499998</v>
      </c>
      <c r="I228" s="4">
        <f>IFERROR(VLOOKUP(G228,Capacity!$A$3:$F$532,6,), "0")</f>
        <v>0.17499999999999999</v>
      </c>
      <c r="J228">
        <v>350</v>
      </c>
      <c r="K228">
        <f>IFERROR(VLOOKUP(J228,Capacity!$A$3:$D$532,4,), "0")</f>
        <v>7.6969018699999987</v>
      </c>
      <c r="L228" s="4">
        <f>IFERROR(VLOOKUP(J228,Capacity!$A$3:$F$532,6,), "0")</f>
        <v>0.17499999999999999</v>
      </c>
      <c r="M228" s="5">
        <f t="shared" si="30"/>
        <v>54.359369456874994</v>
      </c>
      <c r="N228" s="5">
        <f t="shared" si="31"/>
        <v>0.52499999999999991</v>
      </c>
      <c r="O228">
        <v>55</v>
      </c>
      <c r="P228">
        <f>IFERROR(VLOOKUP(O228,Capacity!$A$3:$D$532,4,), "0")</f>
        <v>21.647536509374998</v>
      </c>
      <c r="Q228" s="4">
        <f>IFERROR(VLOOKUP(O228,Capacity!$A$3:$F$532,6,), "0")</f>
        <v>0.17499999999999999</v>
      </c>
      <c r="R228" s="5">
        <f t="shared" si="35"/>
        <v>21.647536509374998</v>
      </c>
      <c r="S228" s="5">
        <f t="shared" si="36"/>
        <v>0.17499999999999999</v>
      </c>
      <c r="T228">
        <v>56</v>
      </c>
      <c r="U228">
        <v>3</v>
      </c>
      <c r="V228">
        <v>3</v>
      </c>
      <c r="W228">
        <v>1</v>
      </c>
      <c r="X228">
        <f t="shared" si="32"/>
        <v>2.5111111111111111</v>
      </c>
      <c r="Y228">
        <f t="shared" si="33"/>
        <v>7.0625</v>
      </c>
      <c r="Z228">
        <f t="shared" si="37"/>
        <v>2.9999999999999996</v>
      </c>
      <c r="AA228">
        <f t="shared" si="38"/>
        <v>2.9999999999999996</v>
      </c>
      <c r="AC228">
        <f t="shared" si="39"/>
        <v>1.8524590163934427</v>
      </c>
      <c r="AD228">
        <f t="shared" si="34"/>
        <v>5.557377049180328</v>
      </c>
    </row>
    <row r="229" spans="1:30" x14ac:dyDescent="0.25">
      <c r="A229">
        <v>16</v>
      </c>
      <c r="B229">
        <f>IFERROR(VLOOKUP(A229,Capacity!$A$3:$D$532,4,), "0")</f>
        <v>57.36076848710001</v>
      </c>
      <c r="C229" s="4">
        <f>IFERROR(VLOOKUP(A229,Capacity!$A$3:$F$532,6,), "0")</f>
        <v>0.26500000000000001</v>
      </c>
      <c r="D229">
        <v>15</v>
      </c>
      <c r="E229">
        <f>IFERROR(VLOOKUP(D229,Capacity!$A$3:$D$532,4,), "0")</f>
        <v>251.32740799999999</v>
      </c>
      <c r="F229" s="4">
        <f>IFERROR(VLOOKUP(D229,Capacity!$A$3:$F$532,6,), "0")</f>
        <v>1</v>
      </c>
      <c r="H229" t="str">
        <f>IFERROR(VLOOKUP(G229,Capacity!$A$3:$D$532,4,), "0")</f>
        <v>0</v>
      </c>
      <c r="I229" s="4" t="str">
        <f>IFERROR(VLOOKUP(G229,Capacity!$A$3:$F$532,6,), "0")</f>
        <v>0</v>
      </c>
      <c r="K229" t="str">
        <f>IFERROR(VLOOKUP(J229,Capacity!$A$3:$D$532,4,), "0")</f>
        <v>0</v>
      </c>
      <c r="L229" s="4" t="str">
        <f>IFERROR(VLOOKUP(J229,Capacity!$A$3:$F$532,6,), "0")</f>
        <v>0</v>
      </c>
      <c r="M229" s="5">
        <f t="shared" si="30"/>
        <v>251.32740799999999</v>
      </c>
      <c r="N229" s="5">
        <f t="shared" si="31"/>
        <v>1</v>
      </c>
      <c r="O229">
        <v>55</v>
      </c>
      <c r="P229">
        <f>IFERROR(VLOOKUP(O229,Capacity!$A$3:$D$532,4,), "0")</f>
        <v>21.647536509374998</v>
      </c>
      <c r="Q229" s="4">
        <f>IFERROR(VLOOKUP(O229,Capacity!$A$3:$F$532,6,), "0")</f>
        <v>0.17499999999999999</v>
      </c>
      <c r="R229" s="5">
        <f t="shared" si="35"/>
        <v>21.647536509374998</v>
      </c>
      <c r="S229" s="5">
        <f t="shared" si="36"/>
        <v>0.17499999999999999</v>
      </c>
      <c r="T229">
        <v>16</v>
      </c>
      <c r="U229">
        <v>1</v>
      </c>
      <c r="V229">
        <v>1</v>
      </c>
      <c r="W229">
        <v>1</v>
      </c>
      <c r="X229">
        <f t="shared" si="32"/>
        <v>11.609977324263038</v>
      </c>
      <c r="Y229">
        <f t="shared" si="33"/>
        <v>4.3815209354547191</v>
      </c>
      <c r="Z229">
        <f t="shared" si="37"/>
        <v>5.7142857142857144</v>
      </c>
      <c r="AA229">
        <f t="shared" si="38"/>
        <v>3.773584905660377</v>
      </c>
      <c r="AC229">
        <f t="shared" si="39"/>
        <v>3.1810251847728299</v>
      </c>
      <c r="AD229">
        <f t="shared" si="34"/>
        <v>3.1810251847728299</v>
      </c>
    </row>
    <row r="230" spans="1:30" x14ac:dyDescent="0.25">
      <c r="A230">
        <v>99</v>
      </c>
      <c r="B230">
        <f>IFERROR(VLOOKUP(A230,Capacity!$A$3:$D$532,4,), "0")</f>
        <v>29.688050070000003</v>
      </c>
      <c r="C230" s="4">
        <f>IFERROR(VLOOKUP(A230,Capacity!$A$3:$F$532,6,), "0")</f>
        <v>0.3</v>
      </c>
      <c r="D230">
        <v>434</v>
      </c>
      <c r="E230">
        <f>IFERROR(VLOOKUP(D230,Capacity!$A$3:$D$532,4,), "0")</f>
        <v>197.92033380000001</v>
      </c>
      <c r="F230" s="4">
        <f>IFERROR(VLOOKUP(D230,Capacity!$A$3:$F$532,6,), "0")</f>
        <v>0.6</v>
      </c>
      <c r="G230">
        <v>100</v>
      </c>
      <c r="H230">
        <f>IFERROR(VLOOKUP(G230,Capacity!$A$3:$D$532,4,), "0")</f>
        <v>36.75663342</v>
      </c>
      <c r="I230" s="4">
        <f>IFERROR(VLOOKUP(G230,Capacity!$A$3:$F$532,6,), "0")</f>
        <v>0.3</v>
      </c>
      <c r="J230">
        <v>59</v>
      </c>
      <c r="K230">
        <f>IFERROR(VLOOKUP(J230,Capacity!$A$3:$D$532,4,), "0")</f>
        <v>294.05306736</v>
      </c>
      <c r="L230" s="4">
        <f>IFERROR(VLOOKUP(J230,Capacity!$A$3:$F$532,6,), "0")</f>
        <v>0.6</v>
      </c>
      <c r="M230" s="5">
        <f t="shared" si="30"/>
        <v>528.73003457999994</v>
      </c>
      <c r="N230" s="5">
        <f t="shared" si="31"/>
        <v>1.5</v>
      </c>
      <c r="O230">
        <v>98</v>
      </c>
      <c r="P230">
        <f>IFERROR(VLOOKUP(O230,Capacity!$A$3:$D$532,4,), "0")</f>
        <v>25.446900060000001</v>
      </c>
      <c r="Q230" s="4">
        <f>IFERROR(VLOOKUP(O230,Capacity!$A$3:$F$532,6,), "0")</f>
        <v>0.3</v>
      </c>
      <c r="R230" s="5">
        <f t="shared" si="35"/>
        <v>25.446900060000001</v>
      </c>
      <c r="S230" s="5">
        <f t="shared" si="36"/>
        <v>0.3</v>
      </c>
      <c r="T230">
        <v>99</v>
      </c>
      <c r="U230">
        <v>3</v>
      </c>
      <c r="V230">
        <v>3</v>
      </c>
      <c r="W230">
        <v>1</v>
      </c>
      <c r="X230">
        <f t="shared" si="32"/>
        <v>20.777777777777775</v>
      </c>
      <c r="Y230">
        <f t="shared" si="33"/>
        <v>17.809523809523807</v>
      </c>
      <c r="Z230">
        <f t="shared" si="37"/>
        <v>5</v>
      </c>
      <c r="AA230">
        <f t="shared" si="38"/>
        <v>5</v>
      </c>
      <c r="AC230">
        <f t="shared" si="39"/>
        <v>9.5897435897435876</v>
      </c>
      <c r="AD230">
        <f t="shared" si="34"/>
        <v>28.769230769230763</v>
      </c>
    </row>
    <row r="231" spans="1:30" x14ac:dyDescent="0.25">
      <c r="A231">
        <v>97</v>
      </c>
      <c r="B231">
        <f>IFERROR(VLOOKUP(A231,Capacity!$A$3:$D$532,4,), "0")</f>
        <v>203.57520048000001</v>
      </c>
      <c r="C231" s="4">
        <f>IFERROR(VLOOKUP(A231,Capacity!$A$3:$F$532,6,), "0")</f>
        <v>0.9</v>
      </c>
      <c r="D231">
        <v>428</v>
      </c>
      <c r="E231">
        <f>IFERROR(VLOOKUP(D231,Capacity!$A$3:$D$532,4,), "0")</f>
        <v>7.6969018699999987</v>
      </c>
      <c r="F231" s="4">
        <f>IFERROR(VLOOKUP(D231,Capacity!$A$3:$F$532,6,), "0")</f>
        <v>0.17499999999999999</v>
      </c>
      <c r="G231">
        <v>58</v>
      </c>
      <c r="H231">
        <f>IFERROR(VLOOKUP(G231,Capacity!$A$3:$D$532,4,), "0")</f>
        <v>21.647536509374998</v>
      </c>
      <c r="I231" s="4">
        <f>IFERROR(VLOOKUP(G231,Capacity!$A$3:$F$532,6,), "0")</f>
        <v>0.17499999999999999</v>
      </c>
      <c r="K231" t="str">
        <f>IFERROR(VLOOKUP(J231,Capacity!$A$3:$D$532,4,), "0")</f>
        <v>0</v>
      </c>
      <c r="L231" s="4" t="str">
        <f>IFERROR(VLOOKUP(J231,Capacity!$A$3:$F$532,6,), "0")</f>
        <v>0</v>
      </c>
      <c r="M231" s="5">
        <f t="shared" si="30"/>
        <v>29.344438379374996</v>
      </c>
      <c r="N231" s="5">
        <f t="shared" si="31"/>
        <v>0.35</v>
      </c>
      <c r="O231">
        <v>98</v>
      </c>
      <c r="P231">
        <f>IFERROR(VLOOKUP(O231,Capacity!$A$3:$D$532,4,), "0")</f>
        <v>25.446900060000001</v>
      </c>
      <c r="Q231" s="4">
        <f>IFERROR(VLOOKUP(O231,Capacity!$A$3:$F$532,6,), "0")</f>
        <v>0.3</v>
      </c>
      <c r="R231" s="5">
        <f t="shared" si="35"/>
        <v>25.446900060000001</v>
      </c>
      <c r="S231" s="5">
        <f t="shared" si="36"/>
        <v>0.3</v>
      </c>
      <c r="T231">
        <v>97</v>
      </c>
      <c r="U231">
        <v>2</v>
      </c>
      <c r="V231">
        <v>2</v>
      </c>
      <c r="W231">
        <v>1</v>
      </c>
      <c r="X231">
        <f t="shared" si="32"/>
        <v>1.1531635802469133</v>
      </c>
      <c r="Y231">
        <f t="shared" si="33"/>
        <v>0.14414544753086417</v>
      </c>
      <c r="Z231">
        <f t="shared" si="37"/>
        <v>1.1666666666666667</v>
      </c>
      <c r="AA231">
        <f t="shared" si="38"/>
        <v>0.38888888888888884</v>
      </c>
      <c r="AC231">
        <f t="shared" si="39"/>
        <v>0.12812928669410148</v>
      </c>
      <c r="AD231">
        <f t="shared" si="34"/>
        <v>0.25625857338820296</v>
      </c>
    </row>
    <row r="232" spans="1:30" x14ac:dyDescent="0.25">
      <c r="A232">
        <v>351</v>
      </c>
      <c r="B232">
        <f>IFERROR(VLOOKUP(A232,Capacity!$A$3:$D$532,4,), "0")</f>
        <v>7.2158455031249993</v>
      </c>
      <c r="C232" s="4">
        <f>IFERROR(VLOOKUP(A232,Capacity!$A$3:$F$532,6,), "0")</f>
        <v>0.17499999999999999</v>
      </c>
      <c r="E232" t="str">
        <f>IFERROR(VLOOKUP(D232,Capacity!$A$3:$D$532,4,), "0")</f>
        <v>0</v>
      </c>
      <c r="F232" s="4" t="str">
        <f>IFERROR(VLOOKUP(D232,Capacity!$A$3:$F$532,6,), "0")</f>
        <v>0</v>
      </c>
      <c r="H232" t="str">
        <f>IFERROR(VLOOKUP(G232,Capacity!$A$3:$D$532,4,), "0")</f>
        <v>0</v>
      </c>
      <c r="I232" s="4" t="str">
        <f>IFERROR(VLOOKUP(G232,Capacity!$A$3:$F$532,6,), "0")</f>
        <v>0</v>
      </c>
      <c r="K232" t="str">
        <f>IFERROR(VLOOKUP(J232,Capacity!$A$3:$D$532,4,), "0")</f>
        <v>0</v>
      </c>
      <c r="L232" s="4" t="str">
        <f>IFERROR(VLOOKUP(J232,Capacity!$A$3:$F$532,6,), "0")</f>
        <v>0</v>
      </c>
      <c r="M232" s="5">
        <f t="shared" si="30"/>
        <v>0</v>
      </c>
      <c r="N232" s="5">
        <f t="shared" si="31"/>
        <v>0</v>
      </c>
      <c r="O232">
        <v>5</v>
      </c>
      <c r="P232">
        <f>IFERROR(VLOOKUP(O232,Capacity!$A$3:$D$532,4,), "0")</f>
        <v>39.711301260300004</v>
      </c>
      <c r="Q232" s="4">
        <f>IFERROR(VLOOKUP(O232,Capacity!$A$3:$F$532,6,), "0")</f>
        <v>0.26500000000000001</v>
      </c>
      <c r="R232" s="5">
        <f t="shared" si="35"/>
        <v>39.711301260300004</v>
      </c>
      <c r="S232" s="5">
        <f t="shared" si="36"/>
        <v>0.26500000000000001</v>
      </c>
      <c r="T232">
        <v>351</v>
      </c>
      <c r="U232">
        <v>0</v>
      </c>
      <c r="V232">
        <v>0</v>
      </c>
      <c r="W232">
        <v>1</v>
      </c>
      <c r="X232">
        <f t="shared" si="32"/>
        <v>0</v>
      </c>
      <c r="Y232">
        <f t="shared" si="33"/>
        <v>0</v>
      </c>
      <c r="Z232">
        <f t="shared" si="37"/>
        <v>0</v>
      </c>
      <c r="AA232">
        <f t="shared" si="38"/>
        <v>0</v>
      </c>
      <c r="AC232">
        <f t="shared" si="39"/>
        <v>0</v>
      </c>
      <c r="AD232">
        <f t="shared" si="34"/>
        <v>0</v>
      </c>
    </row>
    <row r="233" spans="1:30" x14ac:dyDescent="0.25">
      <c r="A233">
        <v>243</v>
      </c>
      <c r="B233">
        <f>IFERROR(VLOOKUP(A233,Capacity!$A$3:$D$532,4,), "0")</f>
        <v>15.079644480000002</v>
      </c>
      <c r="C233" s="4">
        <f>IFERROR(VLOOKUP(A233,Capacity!$A$3:$F$532,6,), "0")</f>
        <v>0.2</v>
      </c>
      <c r="E233" t="str">
        <f>IFERROR(VLOOKUP(D233,Capacity!$A$3:$D$532,4,), "0")</f>
        <v>0</v>
      </c>
      <c r="F233" s="4" t="str">
        <f>IFERROR(VLOOKUP(D233,Capacity!$A$3:$F$532,6,), "0")</f>
        <v>0</v>
      </c>
      <c r="H233" t="str">
        <f>IFERROR(VLOOKUP(G233,Capacity!$A$3:$D$532,4,), "0")</f>
        <v>0</v>
      </c>
      <c r="I233" s="4" t="str">
        <f>IFERROR(VLOOKUP(G233,Capacity!$A$3:$F$532,6,), "0")</f>
        <v>0</v>
      </c>
      <c r="K233" t="str">
        <f>IFERROR(VLOOKUP(J233,Capacity!$A$3:$D$532,4,), "0")</f>
        <v>0</v>
      </c>
      <c r="L233" s="4" t="str">
        <f>IFERROR(VLOOKUP(J233,Capacity!$A$3:$F$532,6,), "0")</f>
        <v>0</v>
      </c>
      <c r="M233" s="5">
        <f t="shared" si="30"/>
        <v>0</v>
      </c>
      <c r="N233" s="5">
        <f t="shared" si="31"/>
        <v>0</v>
      </c>
      <c r="O233">
        <v>5</v>
      </c>
      <c r="P233">
        <f>IFERROR(VLOOKUP(O233,Capacity!$A$3:$D$532,4,), "0")</f>
        <v>39.711301260300004</v>
      </c>
      <c r="Q233" s="4">
        <f>IFERROR(VLOOKUP(O233,Capacity!$A$3:$F$532,6,), "0")</f>
        <v>0.26500000000000001</v>
      </c>
      <c r="R233" s="5">
        <f t="shared" si="35"/>
        <v>39.711301260300004</v>
      </c>
      <c r="S233" s="5">
        <f t="shared" si="36"/>
        <v>0.26500000000000001</v>
      </c>
      <c r="T233">
        <v>243</v>
      </c>
      <c r="U233">
        <v>0</v>
      </c>
      <c r="V233">
        <v>0</v>
      </c>
      <c r="W233">
        <v>1</v>
      </c>
      <c r="X233">
        <f t="shared" si="32"/>
        <v>0</v>
      </c>
      <c r="Y233">
        <f t="shared" si="33"/>
        <v>0</v>
      </c>
      <c r="Z233">
        <f t="shared" si="37"/>
        <v>0</v>
      </c>
      <c r="AA233">
        <f t="shared" si="38"/>
        <v>0</v>
      </c>
      <c r="AC233">
        <f t="shared" si="39"/>
        <v>0</v>
      </c>
      <c r="AD233">
        <f t="shared" si="34"/>
        <v>0</v>
      </c>
    </row>
    <row r="234" spans="1:30" x14ac:dyDescent="0.25">
      <c r="A234">
        <v>6</v>
      </c>
      <c r="B234">
        <f>IFERROR(VLOOKUP(A234,Capacity!$A$3:$D$532,4,), "0")</f>
        <v>16.546375525125004</v>
      </c>
      <c r="C234" s="4">
        <f>IFERROR(VLOOKUP(A234,Capacity!$A$3:$F$532,6,), "0")</f>
        <v>0.26500000000000001</v>
      </c>
      <c r="D234">
        <v>242</v>
      </c>
      <c r="E234">
        <f>IFERROR(VLOOKUP(D234,Capacity!$A$3:$D$532,4,), "0")</f>
        <v>26.474200840200002</v>
      </c>
      <c r="F234" s="4">
        <f>IFERROR(VLOOKUP(D234,Capacity!$A$3:$F$532,6,), "0")</f>
        <v>0.26500000000000001</v>
      </c>
      <c r="H234" t="str">
        <f>IFERROR(VLOOKUP(G234,Capacity!$A$3:$D$532,4,), "0")</f>
        <v>0</v>
      </c>
      <c r="I234" s="4" t="str">
        <f>IFERROR(VLOOKUP(G234,Capacity!$A$3:$F$532,6,), "0")</f>
        <v>0</v>
      </c>
      <c r="K234" t="str">
        <f>IFERROR(VLOOKUP(J234,Capacity!$A$3:$D$532,4,), "0")</f>
        <v>0</v>
      </c>
      <c r="L234" s="4" t="str">
        <f>IFERROR(VLOOKUP(J234,Capacity!$A$3:$F$532,6,), "0")</f>
        <v>0</v>
      </c>
      <c r="M234" s="5">
        <f t="shared" si="30"/>
        <v>26.474200840200002</v>
      </c>
      <c r="N234" s="5">
        <f t="shared" si="31"/>
        <v>0.26500000000000001</v>
      </c>
      <c r="O234">
        <v>5</v>
      </c>
      <c r="P234">
        <f>IFERROR(VLOOKUP(O234,Capacity!$A$3:$D$532,4,), "0")</f>
        <v>39.711301260300004</v>
      </c>
      <c r="Q234" s="4">
        <f>IFERROR(VLOOKUP(O234,Capacity!$A$3:$F$532,6,), "0")</f>
        <v>0.26500000000000001</v>
      </c>
      <c r="R234" s="5">
        <f t="shared" si="35"/>
        <v>39.711301260300004</v>
      </c>
      <c r="S234" s="5">
        <f t="shared" si="36"/>
        <v>0.26500000000000001</v>
      </c>
      <c r="T234">
        <v>6</v>
      </c>
      <c r="U234">
        <v>1</v>
      </c>
      <c r="V234">
        <v>1</v>
      </c>
      <c r="W234">
        <v>1</v>
      </c>
      <c r="X234">
        <f t="shared" si="32"/>
        <v>0.66666666666666663</v>
      </c>
      <c r="Y234">
        <f t="shared" si="33"/>
        <v>1.5999999999999996</v>
      </c>
      <c r="Z234">
        <f t="shared" si="37"/>
        <v>1</v>
      </c>
      <c r="AA234">
        <f t="shared" si="38"/>
        <v>1</v>
      </c>
      <c r="AC234">
        <f t="shared" si="39"/>
        <v>0.47058823529411764</v>
      </c>
      <c r="AD234">
        <f t="shared" si="34"/>
        <v>0.47058823529411764</v>
      </c>
    </row>
    <row r="235" spans="1:30" x14ac:dyDescent="0.25">
      <c r="A235">
        <v>342</v>
      </c>
      <c r="B235">
        <f>IFERROR(VLOOKUP(A235,Capacity!$A$3:$D$532,4,), "0")</f>
        <v>20.106192640000003</v>
      </c>
      <c r="C235" s="4">
        <f>IFERROR(VLOOKUP(A235,Capacity!$A$3:$F$532,6,), "0")</f>
        <v>0.4</v>
      </c>
      <c r="D235">
        <v>341</v>
      </c>
      <c r="E235">
        <f>IFERROR(VLOOKUP(D235,Capacity!$A$3:$D$532,4,), "0")</f>
        <v>17.649467226800002</v>
      </c>
      <c r="F235" s="4">
        <f>IFERROR(VLOOKUP(D235,Capacity!$A$3:$F$532,6,), "0")</f>
        <v>0.26500000000000001</v>
      </c>
      <c r="H235" t="str">
        <f>IFERROR(VLOOKUP(G235,Capacity!$A$3:$D$532,4,), "0")</f>
        <v>0</v>
      </c>
      <c r="I235" s="4" t="str">
        <f>IFERROR(VLOOKUP(G235,Capacity!$A$3:$F$532,6,), "0")</f>
        <v>0</v>
      </c>
      <c r="K235" t="str">
        <f>IFERROR(VLOOKUP(J235,Capacity!$A$3:$D$532,4,), "0")</f>
        <v>0</v>
      </c>
      <c r="L235" s="4" t="str">
        <f>IFERROR(VLOOKUP(J235,Capacity!$A$3:$F$532,6,), "0")</f>
        <v>0</v>
      </c>
      <c r="M235" s="5">
        <f t="shared" si="30"/>
        <v>17.649467226800002</v>
      </c>
      <c r="N235" s="5">
        <f t="shared" si="31"/>
        <v>0.26500000000000001</v>
      </c>
      <c r="O235">
        <v>343</v>
      </c>
      <c r="P235">
        <f>IFERROR(VLOOKUP(O235,Capacity!$A$3:$D$532,4,), "0")</f>
        <v>45.238933439999997</v>
      </c>
      <c r="Q235" s="4">
        <f>IFERROR(VLOOKUP(O235,Capacity!$A$3:$F$532,6,), "0")</f>
        <v>0.6</v>
      </c>
      <c r="R235" s="5">
        <f t="shared" si="35"/>
        <v>45.238933439999997</v>
      </c>
      <c r="S235" s="5">
        <f t="shared" si="36"/>
        <v>0.6</v>
      </c>
      <c r="T235">
        <v>342</v>
      </c>
      <c r="U235">
        <v>1</v>
      </c>
      <c r="V235">
        <v>1</v>
      </c>
      <c r="W235">
        <v>1</v>
      </c>
      <c r="X235">
        <f t="shared" si="32"/>
        <v>0.39013888888888898</v>
      </c>
      <c r="Y235">
        <f t="shared" si="33"/>
        <v>0.8778125</v>
      </c>
      <c r="Z235">
        <f t="shared" si="37"/>
        <v>0.44166666666666671</v>
      </c>
      <c r="AA235">
        <f t="shared" si="38"/>
        <v>0.66249999999999998</v>
      </c>
      <c r="AC235">
        <f t="shared" si="39"/>
        <v>0.27009615384615387</v>
      </c>
      <c r="AD235">
        <f t="shared" si="34"/>
        <v>0.27009615384615387</v>
      </c>
    </row>
    <row r="236" spans="1:30" x14ac:dyDescent="0.25">
      <c r="A236">
        <v>320</v>
      </c>
      <c r="B236">
        <f>IFERROR(VLOOKUP(A236,Capacity!$A$3:$D$532,4,), "0")</f>
        <v>82.466805750000006</v>
      </c>
      <c r="C236" s="4">
        <f>IFERROR(VLOOKUP(A236,Capacity!$A$3:$F$532,6,), "0")</f>
        <v>0.5</v>
      </c>
      <c r="D236">
        <v>321</v>
      </c>
      <c r="E236">
        <f>IFERROR(VLOOKUP(D236,Capacity!$A$3:$D$532,4,), "0")</f>
        <v>80.424770560000013</v>
      </c>
      <c r="F236" s="4">
        <f>IFERROR(VLOOKUP(D236,Capacity!$A$3:$F$532,6,), "0")</f>
        <v>0.4</v>
      </c>
      <c r="H236" t="str">
        <f>IFERROR(VLOOKUP(G236,Capacity!$A$3:$D$532,4,), "0")</f>
        <v>0</v>
      </c>
      <c r="I236" s="4" t="str">
        <f>IFERROR(VLOOKUP(G236,Capacity!$A$3:$F$532,6,), "0")</f>
        <v>0</v>
      </c>
      <c r="K236" t="str">
        <f>IFERROR(VLOOKUP(J236,Capacity!$A$3:$D$532,4,), "0")</f>
        <v>0</v>
      </c>
      <c r="L236" s="4" t="str">
        <f>IFERROR(VLOOKUP(J236,Capacity!$A$3:$F$532,6,), "0")</f>
        <v>0</v>
      </c>
      <c r="M236" s="5">
        <f t="shared" si="30"/>
        <v>80.424770560000013</v>
      </c>
      <c r="N236" s="5">
        <f t="shared" si="31"/>
        <v>0.4</v>
      </c>
      <c r="O236">
        <v>343</v>
      </c>
      <c r="P236">
        <f>IFERROR(VLOOKUP(O236,Capacity!$A$3:$D$532,4,), "0")</f>
        <v>45.238933439999997</v>
      </c>
      <c r="Q236" s="4">
        <f>IFERROR(VLOOKUP(O236,Capacity!$A$3:$F$532,6,), "0")</f>
        <v>0.6</v>
      </c>
      <c r="R236" s="5">
        <f t="shared" si="35"/>
        <v>45.238933439999997</v>
      </c>
      <c r="S236" s="5">
        <f t="shared" si="36"/>
        <v>0.6</v>
      </c>
      <c r="T236">
        <v>320</v>
      </c>
      <c r="U236">
        <v>1</v>
      </c>
      <c r="V236">
        <v>1</v>
      </c>
      <c r="W236">
        <v>1</v>
      </c>
      <c r="X236">
        <f t="shared" si="32"/>
        <v>1.7777777777777781</v>
      </c>
      <c r="Y236">
        <f t="shared" si="33"/>
        <v>0.97523809523809535</v>
      </c>
      <c r="Z236">
        <f t="shared" si="37"/>
        <v>0.66666666666666674</v>
      </c>
      <c r="AA236">
        <f t="shared" si="38"/>
        <v>0.8</v>
      </c>
      <c r="AC236">
        <f t="shared" si="39"/>
        <v>0.62976629766297676</v>
      </c>
      <c r="AD236">
        <f t="shared" si="34"/>
        <v>0.62976629766297676</v>
      </c>
    </row>
    <row r="237" spans="1:30" x14ac:dyDescent="0.25">
      <c r="A237">
        <v>505</v>
      </c>
      <c r="B237">
        <f>IFERROR(VLOOKUP(A237,Capacity!$A$3:$D$532,4,), "0")</f>
        <v>14.431691006249999</v>
      </c>
      <c r="C237" s="4">
        <f>IFERROR(VLOOKUP(A237,Capacity!$A$3:$F$532,6,), "0")</f>
        <v>0.17499999999999999</v>
      </c>
      <c r="E237" t="str">
        <f>IFERROR(VLOOKUP(D237,Capacity!$A$3:$D$532,4,), "0")</f>
        <v>0</v>
      </c>
      <c r="F237" s="4" t="str">
        <f>IFERROR(VLOOKUP(D237,Capacity!$A$3:$F$532,6,), "0")</f>
        <v>0</v>
      </c>
      <c r="H237" t="str">
        <f>IFERROR(VLOOKUP(G237,Capacity!$A$3:$D$532,4,), "0")</f>
        <v>0</v>
      </c>
      <c r="I237" s="4" t="str">
        <f>IFERROR(VLOOKUP(G237,Capacity!$A$3:$F$532,6,), "0")</f>
        <v>0</v>
      </c>
      <c r="K237" t="str">
        <f>IFERROR(VLOOKUP(J237,Capacity!$A$3:$D$532,4,), "0")</f>
        <v>0</v>
      </c>
      <c r="L237" s="4" t="str">
        <f>IFERROR(VLOOKUP(J237,Capacity!$A$3:$F$532,6,), "0")</f>
        <v>0</v>
      </c>
      <c r="M237" s="5">
        <f t="shared" si="30"/>
        <v>0</v>
      </c>
      <c r="N237" s="5">
        <f t="shared" si="31"/>
        <v>0</v>
      </c>
      <c r="O237">
        <v>319</v>
      </c>
      <c r="P237">
        <f>IFERROR(VLOOKUP(O237,Capacity!$A$3:$D$532,4,), "0")</f>
        <v>132.53593781250001</v>
      </c>
      <c r="Q237" s="4">
        <f>IFERROR(VLOOKUP(O237,Capacity!$A$3:$F$532,6,), "0")</f>
        <v>0.75</v>
      </c>
      <c r="R237" s="5">
        <f t="shared" si="35"/>
        <v>132.53593781250001</v>
      </c>
      <c r="S237" s="5">
        <f t="shared" si="36"/>
        <v>0.75</v>
      </c>
      <c r="T237">
        <v>505</v>
      </c>
      <c r="U237">
        <v>0</v>
      </c>
      <c r="V237">
        <v>0</v>
      </c>
      <c r="W237">
        <v>1</v>
      </c>
      <c r="X237">
        <f t="shared" si="32"/>
        <v>0</v>
      </c>
      <c r="Y237">
        <f t="shared" si="33"/>
        <v>0</v>
      </c>
      <c r="Z237">
        <f t="shared" si="37"/>
        <v>0</v>
      </c>
      <c r="AA237">
        <f t="shared" si="38"/>
        <v>0</v>
      </c>
      <c r="AC237">
        <f t="shared" si="39"/>
        <v>0</v>
      </c>
      <c r="AD237">
        <f t="shared" si="34"/>
        <v>0</v>
      </c>
    </row>
    <row r="238" spans="1:30" x14ac:dyDescent="0.25">
      <c r="A238">
        <v>318</v>
      </c>
      <c r="B238">
        <f>IFERROR(VLOOKUP(A238,Capacity!$A$3:$D$532,4,), "0")</f>
        <v>132.53593781250001</v>
      </c>
      <c r="C238" s="4">
        <f>IFERROR(VLOOKUP(A238,Capacity!$A$3:$F$532,6,), "0")</f>
        <v>0.75</v>
      </c>
      <c r="D238">
        <v>316</v>
      </c>
      <c r="E238">
        <f>IFERROR(VLOOKUP(D238,Capacity!$A$3:$D$532,4,), "0")</f>
        <v>132.53593781250001</v>
      </c>
      <c r="F238" s="4">
        <f>IFERROR(VLOOKUP(D238,Capacity!$A$3:$F$532,6,), "0")</f>
        <v>0.75</v>
      </c>
      <c r="G238">
        <v>254</v>
      </c>
      <c r="H238">
        <f>IFERROR(VLOOKUP(G238,Capacity!$A$3:$D$532,4,), "0")</f>
        <v>26.474200840200002</v>
      </c>
      <c r="I238" s="4">
        <f>IFERROR(VLOOKUP(G238,Capacity!$A$3:$F$532,6,), "0")</f>
        <v>0.26500000000000001</v>
      </c>
      <c r="K238" t="str">
        <f>IFERROR(VLOOKUP(J238,Capacity!$A$3:$D$532,4,), "0")</f>
        <v>0</v>
      </c>
      <c r="L238" s="4" t="str">
        <f>IFERROR(VLOOKUP(J238,Capacity!$A$3:$F$532,6,), "0")</f>
        <v>0</v>
      </c>
      <c r="M238" s="5">
        <f t="shared" si="30"/>
        <v>159.01013865270002</v>
      </c>
      <c r="N238" s="5">
        <f t="shared" si="31"/>
        <v>1.0150000000000001</v>
      </c>
      <c r="O238">
        <v>319</v>
      </c>
      <c r="P238">
        <f>IFERROR(VLOOKUP(O238,Capacity!$A$3:$D$532,4,), "0")</f>
        <v>132.53593781250001</v>
      </c>
      <c r="Q238" s="4">
        <f>IFERROR(VLOOKUP(O238,Capacity!$A$3:$F$532,6,), "0")</f>
        <v>0.75</v>
      </c>
      <c r="R238" s="5">
        <f t="shared" si="35"/>
        <v>132.53593781250001</v>
      </c>
      <c r="S238" s="5">
        <f t="shared" si="36"/>
        <v>0.75</v>
      </c>
      <c r="T238">
        <v>318</v>
      </c>
      <c r="U238">
        <v>2</v>
      </c>
      <c r="V238">
        <v>2</v>
      </c>
      <c r="W238">
        <v>1</v>
      </c>
      <c r="X238">
        <f t="shared" si="32"/>
        <v>1.1997511111111112</v>
      </c>
      <c r="Y238">
        <f t="shared" si="33"/>
        <v>1.1997511111111112</v>
      </c>
      <c r="Z238">
        <f t="shared" si="37"/>
        <v>1.3533333333333335</v>
      </c>
      <c r="AA238">
        <f t="shared" si="38"/>
        <v>1.3533333333333335</v>
      </c>
      <c r="AC238">
        <f t="shared" si="39"/>
        <v>0.59987555555555561</v>
      </c>
      <c r="AD238">
        <f t="shared" si="34"/>
        <v>1.1997511111111112</v>
      </c>
    </row>
    <row r="239" spans="1:30" x14ac:dyDescent="0.25">
      <c r="A239">
        <v>253</v>
      </c>
      <c r="B239">
        <f>IFERROR(VLOOKUP(A239,Capacity!$A$3:$D$532,4,), "0")</f>
        <v>15.079644480000002</v>
      </c>
      <c r="C239" s="4">
        <f>IFERROR(VLOOKUP(A239,Capacity!$A$3:$F$532,6,), "0")</f>
        <v>0.2</v>
      </c>
      <c r="E239" t="str">
        <f>IFERROR(VLOOKUP(D239,Capacity!$A$3:$D$532,4,), "0")</f>
        <v>0</v>
      </c>
      <c r="F239" s="4" t="str">
        <f>IFERROR(VLOOKUP(D239,Capacity!$A$3:$F$532,6,), "0")</f>
        <v>0</v>
      </c>
      <c r="H239" t="str">
        <f>IFERROR(VLOOKUP(G239,Capacity!$A$3:$D$532,4,), "0")</f>
        <v>0</v>
      </c>
      <c r="I239" s="4" t="str">
        <f>IFERROR(VLOOKUP(G239,Capacity!$A$3:$F$532,6,), "0")</f>
        <v>0</v>
      </c>
      <c r="K239" t="str">
        <f>IFERROR(VLOOKUP(J239,Capacity!$A$3:$D$532,4,), "0")</f>
        <v>0</v>
      </c>
      <c r="L239" s="4" t="str">
        <f>IFERROR(VLOOKUP(J239,Capacity!$A$3:$F$532,6,), "0")</f>
        <v>0</v>
      </c>
      <c r="M239" s="5">
        <f t="shared" si="30"/>
        <v>0</v>
      </c>
      <c r="N239" s="5">
        <f t="shared" si="31"/>
        <v>0</v>
      </c>
      <c r="O239">
        <v>319</v>
      </c>
      <c r="P239">
        <f>IFERROR(VLOOKUP(O239,Capacity!$A$3:$D$532,4,), "0")</f>
        <v>132.53593781250001</v>
      </c>
      <c r="Q239" s="4">
        <f>IFERROR(VLOOKUP(O239,Capacity!$A$3:$F$532,6,), "0")</f>
        <v>0.75</v>
      </c>
      <c r="R239" s="5">
        <f t="shared" si="35"/>
        <v>132.53593781250001</v>
      </c>
      <c r="S239" s="5">
        <f t="shared" si="36"/>
        <v>0.75</v>
      </c>
      <c r="T239">
        <v>253</v>
      </c>
      <c r="U239">
        <v>0</v>
      </c>
      <c r="V239">
        <v>0</v>
      </c>
      <c r="W239">
        <v>1</v>
      </c>
      <c r="X239">
        <f t="shared" si="32"/>
        <v>0</v>
      </c>
      <c r="Y239">
        <f t="shared" si="33"/>
        <v>0</v>
      </c>
      <c r="Z239">
        <f t="shared" si="37"/>
        <v>0</v>
      </c>
      <c r="AA239">
        <f t="shared" si="38"/>
        <v>0</v>
      </c>
      <c r="AC239">
        <f t="shared" si="39"/>
        <v>0</v>
      </c>
      <c r="AD239">
        <f t="shared" si="34"/>
        <v>0</v>
      </c>
    </row>
    <row r="240" spans="1:30" x14ac:dyDescent="0.25">
      <c r="A240">
        <v>526</v>
      </c>
      <c r="B240">
        <f>IFERROR(VLOOKUP(A240,Capacity!$A$3:$D$532,4,), "0")</f>
        <v>22.128592876249996</v>
      </c>
      <c r="C240" s="4">
        <f>IFERROR(VLOOKUP(A240,Capacity!$A$3:$F$532,6,), "0")</f>
        <v>0.17499999999999999</v>
      </c>
      <c r="E240" t="str">
        <f>IFERROR(VLOOKUP(D240,Capacity!$A$3:$D$532,4,), "0")</f>
        <v>0</v>
      </c>
      <c r="F240" s="4" t="str">
        <f>IFERROR(VLOOKUP(D240,Capacity!$A$3:$F$532,6,), "0")</f>
        <v>0</v>
      </c>
      <c r="H240" t="str">
        <f>IFERROR(VLOOKUP(G240,Capacity!$A$3:$D$532,4,), "0")</f>
        <v>0</v>
      </c>
      <c r="I240" s="4" t="str">
        <f>IFERROR(VLOOKUP(G240,Capacity!$A$3:$F$532,6,), "0")</f>
        <v>0</v>
      </c>
      <c r="K240" t="str">
        <f>IFERROR(VLOOKUP(J240,Capacity!$A$3:$D$532,4,), "0")</f>
        <v>0</v>
      </c>
      <c r="L240" s="4" t="str">
        <f>IFERROR(VLOOKUP(J240,Capacity!$A$3:$F$532,6,), "0")</f>
        <v>0</v>
      </c>
      <c r="M240" s="5">
        <f t="shared" si="30"/>
        <v>0</v>
      </c>
      <c r="N240" s="5">
        <f t="shared" si="31"/>
        <v>0</v>
      </c>
      <c r="O240">
        <v>41</v>
      </c>
      <c r="P240">
        <f>IFERROR(VLOOKUP(O240,Capacity!$A$3:$D$532,4,), "0")</f>
        <v>40.212385280000007</v>
      </c>
      <c r="Q240" s="4">
        <f>IFERROR(VLOOKUP(O240,Capacity!$A$3:$F$532,6,), "0")</f>
        <v>0.4</v>
      </c>
      <c r="R240" s="5">
        <f t="shared" si="35"/>
        <v>40.212385280000007</v>
      </c>
      <c r="S240" s="5">
        <f t="shared" si="36"/>
        <v>0.4</v>
      </c>
      <c r="T240">
        <v>526</v>
      </c>
      <c r="U240">
        <v>0</v>
      </c>
      <c r="V240">
        <v>0</v>
      </c>
      <c r="W240">
        <v>1</v>
      </c>
      <c r="X240">
        <f t="shared" si="32"/>
        <v>0</v>
      </c>
      <c r="Y240">
        <f t="shared" si="33"/>
        <v>0</v>
      </c>
      <c r="Z240">
        <f t="shared" si="37"/>
        <v>0</v>
      </c>
      <c r="AA240">
        <f t="shared" si="38"/>
        <v>0</v>
      </c>
      <c r="AC240">
        <f t="shared" si="39"/>
        <v>0</v>
      </c>
      <c r="AD240">
        <f t="shared" si="34"/>
        <v>0</v>
      </c>
    </row>
    <row r="241" spans="1:30" x14ac:dyDescent="0.25">
      <c r="A241">
        <v>407</v>
      </c>
      <c r="B241">
        <f>IFERROR(VLOOKUP(A241,Capacity!$A$3:$D$532,4,), "0")</f>
        <v>21.647536509374998</v>
      </c>
      <c r="C241" s="4">
        <f>IFERROR(VLOOKUP(A241,Capacity!$A$3:$F$532,6,), "0")</f>
        <v>0.17499999999999999</v>
      </c>
      <c r="E241" t="str">
        <f>IFERROR(VLOOKUP(D241,Capacity!$A$3:$D$532,4,), "0")</f>
        <v>0</v>
      </c>
      <c r="F241" s="4" t="str">
        <f>IFERROR(VLOOKUP(D241,Capacity!$A$3:$F$532,6,), "0")</f>
        <v>0</v>
      </c>
      <c r="H241" t="str">
        <f>IFERROR(VLOOKUP(G241,Capacity!$A$3:$D$532,4,), "0")</f>
        <v>0</v>
      </c>
      <c r="I241" s="4" t="str">
        <f>IFERROR(VLOOKUP(G241,Capacity!$A$3:$F$532,6,), "0")</f>
        <v>0</v>
      </c>
      <c r="K241" t="str">
        <f>IFERROR(VLOOKUP(J241,Capacity!$A$3:$D$532,4,), "0")</f>
        <v>0</v>
      </c>
      <c r="L241" s="4" t="str">
        <f>IFERROR(VLOOKUP(J241,Capacity!$A$3:$F$532,6,), "0")</f>
        <v>0</v>
      </c>
      <c r="M241" s="5">
        <f t="shared" si="30"/>
        <v>0</v>
      </c>
      <c r="N241" s="5">
        <f t="shared" si="31"/>
        <v>0</v>
      </c>
      <c r="O241">
        <v>41</v>
      </c>
      <c r="P241">
        <f>IFERROR(VLOOKUP(O241,Capacity!$A$3:$D$532,4,), "0")</f>
        <v>40.212385280000007</v>
      </c>
      <c r="Q241" s="4">
        <f>IFERROR(VLOOKUP(O241,Capacity!$A$3:$F$532,6,), "0")</f>
        <v>0.4</v>
      </c>
      <c r="R241" s="5">
        <f t="shared" si="35"/>
        <v>40.212385280000007</v>
      </c>
      <c r="S241" s="5">
        <f t="shared" si="36"/>
        <v>0.4</v>
      </c>
      <c r="T241">
        <v>407</v>
      </c>
      <c r="U241">
        <v>0</v>
      </c>
      <c r="V241">
        <v>0</v>
      </c>
      <c r="W241">
        <v>1</v>
      </c>
      <c r="X241">
        <f t="shared" si="32"/>
        <v>0</v>
      </c>
      <c r="Y241">
        <f t="shared" si="33"/>
        <v>0</v>
      </c>
      <c r="Z241">
        <f t="shared" si="37"/>
        <v>0</v>
      </c>
      <c r="AA241">
        <f t="shared" si="38"/>
        <v>0</v>
      </c>
      <c r="AC241">
        <f t="shared" si="39"/>
        <v>0</v>
      </c>
      <c r="AD241">
        <f t="shared" si="34"/>
        <v>0</v>
      </c>
    </row>
    <row r="242" spans="1:30" x14ac:dyDescent="0.25">
      <c r="A242">
        <v>40</v>
      </c>
      <c r="B242">
        <f>IFERROR(VLOOKUP(A242,Capacity!$A$3:$D$532,4,), "0")</f>
        <v>40.212385280000007</v>
      </c>
      <c r="C242" s="4">
        <f>IFERROR(VLOOKUP(A242,Capacity!$A$3:$F$532,6,), "0")</f>
        <v>0.4</v>
      </c>
      <c r="D242">
        <v>524</v>
      </c>
      <c r="E242">
        <f>IFERROR(VLOOKUP(D242,Capacity!$A$3:$D$532,4,), "0")</f>
        <v>22.128592876249996</v>
      </c>
      <c r="F242" s="4">
        <f>IFERROR(VLOOKUP(D242,Capacity!$A$3:$F$532,6,), "0")</f>
        <v>0.17499999999999999</v>
      </c>
      <c r="G242">
        <v>405</v>
      </c>
      <c r="H242">
        <f>IFERROR(VLOOKUP(G242,Capacity!$A$3:$D$532,4,), "0")</f>
        <v>21.647536509374998</v>
      </c>
      <c r="I242" s="4">
        <f>IFERROR(VLOOKUP(G242,Capacity!$A$3:$F$532,6,), "0")</f>
        <v>0.17499999999999999</v>
      </c>
      <c r="J242">
        <v>39</v>
      </c>
      <c r="K242">
        <f>IFERROR(VLOOKUP(J242,Capacity!$A$3:$D$532,4,), "0")</f>
        <v>40.212385280000007</v>
      </c>
      <c r="L242" s="4">
        <f>IFERROR(VLOOKUP(J242,Capacity!$A$3:$F$532,6,), "0")</f>
        <v>0.4</v>
      </c>
      <c r="M242" s="5">
        <f t="shared" si="30"/>
        <v>83.988514665625004</v>
      </c>
      <c r="N242" s="5">
        <f t="shared" si="31"/>
        <v>0.75</v>
      </c>
      <c r="O242">
        <v>41</v>
      </c>
      <c r="P242">
        <f>IFERROR(VLOOKUP(O242,Capacity!$A$3:$D$532,4,), "0")</f>
        <v>40.212385280000007</v>
      </c>
      <c r="Q242" s="4">
        <f>IFERROR(VLOOKUP(O242,Capacity!$A$3:$F$532,6,), "0")</f>
        <v>0.4</v>
      </c>
      <c r="R242" s="5">
        <f t="shared" si="35"/>
        <v>40.212385280000007</v>
      </c>
      <c r="S242" s="5">
        <f t="shared" si="36"/>
        <v>0.4</v>
      </c>
      <c r="T242">
        <v>40</v>
      </c>
      <c r="U242">
        <v>3</v>
      </c>
      <c r="V242">
        <v>3</v>
      </c>
      <c r="W242">
        <v>1</v>
      </c>
      <c r="X242">
        <f t="shared" si="32"/>
        <v>2.0886230468749996</v>
      </c>
      <c r="Y242">
        <f t="shared" si="33"/>
        <v>2.0886230468749996</v>
      </c>
      <c r="Z242">
        <f t="shared" si="37"/>
        <v>1.875</v>
      </c>
      <c r="AA242">
        <f t="shared" si="38"/>
        <v>1.875</v>
      </c>
      <c r="AC242">
        <f t="shared" si="39"/>
        <v>1.0443115234374998</v>
      </c>
      <c r="AD242">
        <f t="shared" si="34"/>
        <v>3.1329345703124991</v>
      </c>
    </row>
    <row r="243" spans="1:30" x14ac:dyDescent="0.25">
      <c r="A243">
        <v>78</v>
      </c>
      <c r="B243">
        <f>IFERROR(VLOOKUP(A243,Capacity!$A$3:$D$532,4,), "0")</f>
        <v>90.477866879999993</v>
      </c>
      <c r="C243" s="4">
        <f>IFERROR(VLOOKUP(A243,Capacity!$A$3:$F$532,6,), "0")</f>
        <v>0.6</v>
      </c>
      <c r="D243">
        <v>77</v>
      </c>
      <c r="E243">
        <f>IFERROR(VLOOKUP(D243,Capacity!$A$3:$D$532,4,), "0")</f>
        <v>90.477866879999993</v>
      </c>
      <c r="F243" s="4">
        <f>IFERROR(VLOOKUP(D243,Capacity!$A$3:$F$532,6,), "0")</f>
        <v>0.6</v>
      </c>
      <c r="H243" t="str">
        <f>IFERROR(VLOOKUP(G243,Capacity!$A$3:$D$532,4,), "0")</f>
        <v>0</v>
      </c>
      <c r="I243" s="4" t="str">
        <f>IFERROR(VLOOKUP(G243,Capacity!$A$3:$F$532,6,), "0")</f>
        <v>0</v>
      </c>
      <c r="K243" t="str">
        <f>IFERROR(VLOOKUP(J243,Capacity!$A$3:$D$532,4,), "0")</f>
        <v>0</v>
      </c>
      <c r="L243" s="4" t="str">
        <f>IFERROR(VLOOKUP(J243,Capacity!$A$3:$F$532,6,), "0")</f>
        <v>0</v>
      </c>
      <c r="M243" s="5">
        <f t="shared" si="30"/>
        <v>90.477866879999993</v>
      </c>
      <c r="N243" s="5">
        <f t="shared" si="31"/>
        <v>0.6</v>
      </c>
      <c r="O243">
        <v>80</v>
      </c>
      <c r="P243">
        <f>IFERROR(VLOOKUP(O243,Capacity!$A$3:$D$532,4,), "0")</f>
        <v>90.477866879999993</v>
      </c>
      <c r="Q243" s="4">
        <f>IFERROR(VLOOKUP(O243,Capacity!$A$3:$F$532,6,), "0")</f>
        <v>0.6</v>
      </c>
      <c r="R243" s="5">
        <f t="shared" si="35"/>
        <v>90.477866879999993</v>
      </c>
      <c r="S243" s="5">
        <f t="shared" si="36"/>
        <v>0.6</v>
      </c>
      <c r="T243">
        <v>78</v>
      </c>
      <c r="U243">
        <v>1</v>
      </c>
      <c r="V243">
        <v>1</v>
      </c>
      <c r="W243">
        <v>1</v>
      </c>
      <c r="X243">
        <f t="shared" si="32"/>
        <v>1</v>
      </c>
      <c r="Y243">
        <f t="shared" si="33"/>
        <v>1</v>
      </c>
      <c r="Z243">
        <f t="shared" si="37"/>
        <v>1</v>
      </c>
      <c r="AA243">
        <f t="shared" si="38"/>
        <v>1</v>
      </c>
      <c r="AC243">
        <f t="shared" si="39"/>
        <v>0.5</v>
      </c>
      <c r="AD243">
        <f t="shared" si="34"/>
        <v>0.5</v>
      </c>
    </row>
    <row r="244" spans="1:30" x14ac:dyDescent="0.25">
      <c r="A244">
        <v>404</v>
      </c>
      <c r="B244">
        <f>IFERROR(VLOOKUP(A244,Capacity!$A$3:$D$532,4,), "0")</f>
        <v>21.166480142499999</v>
      </c>
      <c r="C244" s="4">
        <f>IFERROR(VLOOKUP(A244,Capacity!$A$3:$F$532,6,), "0")</f>
        <v>0.17499999999999999</v>
      </c>
      <c r="E244" t="str">
        <f>IFERROR(VLOOKUP(D244,Capacity!$A$3:$D$532,4,), "0")</f>
        <v>0</v>
      </c>
      <c r="F244" s="4" t="str">
        <f>IFERROR(VLOOKUP(D244,Capacity!$A$3:$F$532,6,), "0")</f>
        <v>0</v>
      </c>
      <c r="H244" t="str">
        <f>IFERROR(VLOOKUP(G244,Capacity!$A$3:$D$532,4,), "0")</f>
        <v>0</v>
      </c>
      <c r="I244" s="4" t="str">
        <f>IFERROR(VLOOKUP(G244,Capacity!$A$3:$F$532,6,), "0")</f>
        <v>0</v>
      </c>
      <c r="K244" t="str">
        <f>IFERROR(VLOOKUP(J244,Capacity!$A$3:$D$532,4,), "0")</f>
        <v>0</v>
      </c>
      <c r="L244" s="4" t="str">
        <f>IFERROR(VLOOKUP(J244,Capacity!$A$3:$F$532,6,), "0")</f>
        <v>0</v>
      </c>
      <c r="M244" s="5">
        <f t="shared" si="30"/>
        <v>0</v>
      </c>
      <c r="N244" s="5">
        <f t="shared" si="31"/>
        <v>0</v>
      </c>
      <c r="O244">
        <v>191</v>
      </c>
      <c r="P244">
        <f>IFERROR(VLOOKUP(O244,Capacity!$A$3:$D$532,4,), "0")</f>
        <v>22.619466719999998</v>
      </c>
      <c r="Q244" s="4">
        <f>IFERROR(VLOOKUP(O244,Capacity!$A$3:$F$532,6,), "0")</f>
        <v>0.3</v>
      </c>
      <c r="R244" s="5">
        <f t="shared" si="35"/>
        <v>22.619466719999998</v>
      </c>
      <c r="S244" s="5">
        <f t="shared" si="36"/>
        <v>0.3</v>
      </c>
      <c r="T244">
        <v>404</v>
      </c>
      <c r="U244">
        <v>0</v>
      </c>
      <c r="V244">
        <v>0</v>
      </c>
      <c r="W244">
        <v>1</v>
      </c>
      <c r="X244">
        <f t="shared" si="32"/>
        <v>0</v>
      </c>
      <c r="Y244">
        <f t="shared" si="33"/>
        <v>0</v>
      </c>
      <c r="Z244">
        <f t="shared" si="37"/>
        <v>0</v>
      </c>
      <c r="AA244">
        <f t="shared" si="38"/>
        <v>0</v>
      </c>
      <c r="AC244">
        <f t="shared" si="39"/>
        <v>0</v>
      </c>
      <c r="AD244">
        <f t="shared" si="34"/>
        <v>0</v>
      </c>
    </row>
    <row r="245" spans="1:30" x14ac:dyDescent="0.25">
      <c r="A245">
        <v>196</v>
      </c>
      <c r="B245">
        <f>IFERROR(VLOOKUP(A245,Capacity!$A$3:$D$532,4,), "0")</f>
        <v>22.619466719999998</v>
      </c>
      <c r="C245" s="4">
        <f>IFERROR(VLOOKUP(A245,Capacity!$A$3:$F$532,6,), "0")</f>
        <v>0.3</v>
      </c>
      <c r="D245">
        <v>402</v>
      </c>
      <c r="E245">
        <f>IFERROR(VLOOKUP(D245,Capacity!$A$3:$D$532,4,), "0")</f>
        <v>21.166480142499999</v>
      </c>
      <c r="F245" s="4">
        <f>IFERROR(VLOOKUP(D245,Capacity!$A$3:$F$532,6,), "0")</f>
        <v>0.17499999999999999</v>
      </c>
      <c r="G245">
        <v>197</v>
      </c>
      <c r="H245">
        <f>IFERROR(VLOOKUP(G245,Capacity!$A$3:$D$532,4,), "0")</f>
        <v>22.619466719999998</v>
      </c>
      <c r="I245" s="4">
        <f>IFERROR(VLOOKUP(G245,Capacity!$A$3:$F$532,6,), "0")</f>
        <v>0.3</v>
      </c>
      <c r="K245" t="str">
        <f>IFERROR(VLOOKUP(J245,Capacity!$A$3:$D$532,4,), "0")</f>
        <v>0</v>
      </c>
      <c r="L245" s="4" t="str">
        <f>IFERROR(VLOOKUP(J245,Capacity!$A$3:$F$532,6,), "0")</f>
        <v>0</v>
      </c>
      <c r="M245" s="5">
        <f t="shared" si="30"/>
        <v>43.785946862499998</v>
      </c>
      <c r="N245" s="5">
        <f t="shared" si="31"/>
        <v>0.47499999999999998</v>
      </c>
      <c r="O245">
        <v>191</v>
      </c>
      <c r="P245">
        <f>IFERROR(VLOOKUP(O245,Capacity!$A$3:$D$532,4,), "0")</f>
        <v>22.619466719999998</v>
      </c>
      <c r="Q245" s="4">
        <f>IFERROR(VLOOKUP(O245,Capacity!$A$3:$F$532,6,), "0")</f>
        <v>0.3</v>
      </c>
      <c r="R245" s="5">
        <f t="shared" si="35"/>
        <v>22.619466719999998</v>
      </c>
      <c r="S245" s="5">
        <f t="shared" si="36"/>
        <v>0.3</v>
      </c>
      <c r="T245">
        <v>196</v>
      </c>
      <c r="U245">
        <v>2</v>
      </c>
      <c r="V245">
        <v>2</v>
      </c>
      <c r="W245">
        <v>1</v>
      </c>
      <c r="X245">
        <f t="shared" si="32"/>
        <v>1.9357638888888888</v>
      </c>
      <c r="Y245">
        <f t="shared" si="33"/>
        <v>1.9357638888888888</v>
      </c>
      <c r="Z245">
        <f t="shared" si="37"/>
        <v>1.5833333333333333</v>
      </c>
      <c r="AA245">
        <f t="shared" si="38"/>
        <v>1.5833333333333333</v>
      </c>
      <c r="AC245">
        <f t="shared" si="39"/>
        <v>0.96788194444444442</v>
      </c>
      <c r="AD245">
        <f t="shared" si="34"/>
        <v>1.9357638888888888</v>
      </c>
    </row>
    <row r="246" spans="1:30" x14ac:dyDescent="0.25">
      <c r="A246">
        <v>200</v>
      </c>
      <c r="B246">
        <f>IFERROR(VLOOKUP(A246,Capacity!$A$3:$D$532,4,), "0")</f>
        <v>10.053096320000002</v>
      </c>
      <c r="C246" s="4">
        <f>IFERROR(VLOOKUP(A246,Capacity!$A$3:$F$532,6,), "0")</f>
        <v>0.2</v>
      </c>
      <c r="D246">
        <v>465</v>
      </c>
      <c r="E246">
        <f>IFERROR(VLOOKUP(D246,Capacity!$A$3:$D$532,4,), "0")</f>
        <v>353.42916750000001</v>
      </c>
      <c r="F246" s="4">
        <f>IFERROR(VLOOKUP(D246,Capacity!$A$3:$F$532,6,), "0")</f>
        <v>0.75</v>
      </c>
      <c r="H246" t="str">
        <f>IFERROR(VLOOKUP(G246,Capacity!$A$3:$D$532,4,), "0")</f>
        <v>0</v>
      </c>
      <c r="I246" s="4" t="str">
        <f>IFERROR(VLOOKUP(G246,Capacity!$A$3:$F$532,6,), "0")</f>
        <v>0</v>
      </c>
      <c r="K246" t="str">
        <f>IFERROR(VLOOKUP(J246,Capacity!$A$3:$D$532,4,), "0")</f>
        <v>0</v>
      </c>
      <c r="L246" s="4" t="str">
        <f>IFERROR(VLOOKUP(J246,Capacity!$A$3:$F$532,6,), "0")</f>
        <v>0</v>
      </c>
      <c r="M246" s="5">
        <f t="shared" si="30"/>
        <v>353.42916750000001</v>
      </c>
      <c r="N246" s="5">
        <f t="shared" si="31"/>
        <v>0.75</v>
      </c>
      <c r="O246">
        <v>202</v>
      </c>
      <c r="P246">
        <f>IFERROR(VLOOKUP(O246,Capacity!$A$3:$D$532,4,), "0")</f>
        <v>28.902651920000004</v>
      </c>
      <c r="Q246" s="4">
        <f>IFERROR(VLOOKUP(O246,Capacity!$A$3:$F$532,6,), "0")</f>
        <v>0.2</v>
      </c>
      <c r="R246" s="5">
        <f t="shared" si="35"/>
        <v>28.902651920000004</v>
      </c>
      <c r="S246" s="5">
        <f t="shared" si="36"/>
        <v>0.2</v>
      </c>
      <c r="T246">
        <v>200</v>
      </c>
      <c r="U246">
        <v>1</v>
      </c>
      <c r="V246">
        <v>1</v>
      </c>
      <c r="W246">
        <v>1</v>
      </c>
      <c r="X246">
        <f t="shared" si="32"/>
        <v>12.228260869565215</v>
      </c>
      <c r="Y246">
        <f t="shared" si="33"/>
        <v>35.156249999999993</v>
      </c>
      <c r="Z246">
        <f t="shared" si="37"/>
        <v>3.75</v>
      </c>
      <c r="AA246">
        <f t="shared" si="38"/>
        <v>3.75</v>
      </c>
      <c r="AC246">
        <f t="shared" si="39"/>
        <v>9.07258064516129</v>
      </c>
      <c r="AD246">
        <f t="shared" si="34"/>
        <v>9.07258064516129</v>
      </c>
    </row>
    <row r="247" spans="1:30" x14ac:dyDescent="0.25">
      <c r="A247">
        <v>467</v>
      </c>
      <c r="B247">
        <f>IFERROR(VLOOKUP(A247,Capacity!$A$3:$D$532,4,), "0")</f>
        <v>38.484509349999996</v>
      </c>
      <c r="C247" s="4">
        <f>IFERROR(VLOOKUP(A247,Capacity!$A$3:$F$532,6,), "0")</f>
        <v>0.17499999999999999</v>
      </c>
      <c r="E247" t="str">
        <f>IFERROR(VLOOKUP(D247,Capacity!$A$3:$D$532,4,), "0")</f>
        <v>0</v>
      </c>
      <c r="F247" s="4" t="str">
        <f>IFERROR(VLOOKUP(D247,Capacity!$A$3:$F$532,6,), "0")</f>
        <v>0</v>
      </c>
      <c r="H247" t="str">
        <f>IFERROR(VLOOKUP(G247,Capacity!$A$3:$D$532,4,), "0")</f>
        <v>0</v>
      </c>
      <c r="I247" s="4" t="str">
        <f>IFERROR(VLOOKUP(G247,Capacity!$A$3:$F$532,6,), "0")</f>
        <v>0</v>
      </c>
      <c r="K247" t="str">
        <f>IFERROR(VLOOKUP(J247,Capacity!$A$3:$D$532,4,), "0")</f>
        <v>0</v>
      </c>
      <c r="L247" s="4" t="str">
        <f>IFERROR(VLOOKUP(J247,Capacity!$A$3:$F$532,6,), "0")</f>
        <v>0</v>
      </c>
      <c r="M247" s="5">
        <f t="shared" si="30"/>
        <v>0</v>
      </c>
      <c r="N247" s="5">
        <f t="shared" si="31"/>
        <v>0</v>
      </c>
      <c r="O247">
        <v>204</v>
      </c>
      <c r="P247">
        <f>IFERROR(VLOOKUP(O247,Capacity!$A$3:$D$532,4,), "0")</f>
        <v>6.734789136249999</v>
      </c>
      <c r="Q247" s="4">
        <f>IFERROR(VLOOKUP(O247,Capacity!$A$3:$F$532,6,), "0")</f>
        <v>0.17499999999999999</v>
      </c>
      <c r="R247" s="5">
        <f t="shared" si="35"/>
        <v>6.734789136249999</v>
      </c>
      <c r="S247" s="5">
        <f t="shared" si="36"/>
        <v>0.17499999999999999</v>
      </c>
      <c r="T247">
        <v>467</v>
      </c>
      <c r="U247">
        <v>0</v>
      </c>
      <c r="V247">
        <v>0</v>
      </c>
      <c r="W247">
        <v>1</v>
      </c>
      <c r="X247">
        <f t="shared" si="32"/>
        <v>0</v>
      </c>
      <c r="Y247">
        <f t="shared" si="33"/>
        <v>0</v>
      </c>
      <c r="Z247">
        <f t="shared" si="37"/>
        <v>0</v>
      </c>
      <c r="AA247">
        <f t="shared" si="38"/>
        <v>0</v>
      </c>
      <c r="AC247">
        <f t="shared" si="39"/>
        <v>0</v>
      </c>
      <c r="AD247">
        <f t="shared" si="34"/>
        <v>0</v>
      </c>
    </row>
    <row r="248" spans="1:30" x14ac:dyDescent="0.25">
      <c r="A248">
        <v>211</v>
      </c>
      <c r="B248">
        <f>IFERROR(VLOOKUP(A248,Capacity!$A$3:$D$532,4,), "0")</f>
        <v>4.8105636687499995</v>
      </c>
      <c r="C248" s="4">
        <f>IFERROR(VLOOKUP(A248,Capacity!$A$3:$F$532,6,), "0")</f>
        <v>0.17499999999999999</v>
      </c>
      <c r="D248">
        <v>218</v>
      </c>
      <c r="E248">
        <f>IFERROR(VLOOKUP(D248,Capacity!$A$3:$D$532,4,), "0")</f>
        <v>9.621127337499999</v>
      </c>
      <c r="F248" s="4">
        <f>IFERROR(VLOOKUP(D248,Capacity!$A$3:$F$532,6,), "0")</f>
        <v>0.17499999999999999</v>
      </c>
      <c r="H248" t="str">
        <f>IFERROR(VLOOKUP(G248,Capacity!$A$3:$D$532,4,), "0")</f>
        <v>0</v>
      </c>
      <c r="I248" s="4" t="str">
        <f>IFERROR(VLOOKUP(G248,Capacity!$A$3:$F$532,6,), "0")</f>
        <v>0</v>
      </c>
      <c r="K248" t="str">
        <f>IFERROR(VLOOKUP(J248,Capacity!$A$3:$D$532,4,), "0")</f>
        <v>0</v>
      </c>
      <c r="L248" s="4" t="str">
        <f>IFERROR(VLOOKUP(J248,Capacity!$A$3:$F$532,6,), "0")</f>
        <v>0</v>
      </c>
      <c r="M248" s="5">
        <f t="shared" si="30"/>
        <v>9.621127337499999</v>
      </c>
      <c r="N248" s="5">
        <f t="shared" si="31"/>
        <v>0.17499999999999999</v>
      </c>
      <c r="O248">
        <v>210</v>
      </c>
      <c r="P248">
        <f>IFERROR(VLOOKUP(O248,Capacity!$A$3:$D$532,4,), "0")</f>
        <v>50.265481600000015</v>
      </c>
      <c r="Q248" s="4">
        <f>IFERROR(VLOOKUP(O248,Capacity!$A$3:$F$532,6,), "0")</f>
        <v>0.4</v>
      </c>
      <c r="R248" s="5">
        <f t="shared" si="35"/>
        <v>50.265481600000015</v>
      </c>
      <c r="S248" s="5">
        <f t="shared" si="36"/>
        <v>0.4</v>
      </c>
      <c r="T248">
        <v>211</v>
      </c>
      <c r="U248">
        <v>1</v>
      </c>
      <c r="V248">
        <v>1</v>
      </c>
      <c r="W248">
        <v>1</v>
      </c>
      <c r="X248">
        <f t="shared" si="32"/>
        <v>0.19140624999999992</v>
      </c>
      <c r="Y248">
        <f t="shared" si="33"/>
        <v>2</v>
      </c>
      <c r="Z248">
        <f t="shared" si="37"/>
        <v>0.43749999999999994</v>
      </c>
      <c r="AA248">
        <f t="shared" si="38"/>
        <v>1</v>
      </c>
      <c r="AC248">
        <f t="shared" si="39"/>
        <v>0.17468805704099816</v>
      </c>
      <c r="AD248">
        <f t="shared" si="34"/>
        <v>0.17468805704099816</v>
      </c>
    </row>
    <row r="249" spans="1:30" x14ac:dyDescent="0.25">
      <c r="A249">
        <v>203</v>
      </c>
      <c r="B249">
        <f>IFERROR(VLOOKUP(A249,Capacity!$A$3:$D$532,4,), "0")</f>
        <v>75.398222400000023</v>
      </c>
      <c r="C249" s="4">
        <f>IFERROR(VLOOKUP(A249,Capacity!$A$3:$F$532,6,), "0")</f>
        <v>0.4</v>
      </c>
      <c r="D249">
        <v>468</v>
      </c>
      <c r="E249">
        <f>IFERROR(VLOOKUP(D249,Capacity!$A$3:$D$532,4,), "0")</f>
        <v>8.1779582368749981</v>
      </c>
      <c r="F249" s="4">
        <f>IFERROR(VLOOKUP(D249,Capacity!$A$3:$F$532,6,), "0")</f>
        <v>0.17499999999999999</v>
      </c>
      <c r="G249">
        <v>466</v>
      </c>
      <c r="H249">
        <f>IFERROR(VLOOKUP(G249,Capacity!$A$3:$D$532,4,), "0")</f>
        <v>22.128592876249996</v>
      </c>
      <c r="I249" s="4">
        <f>IFERROR(VLOOKUP(G249,Capacity!$A$3:$F$532,6,), "0")</f>
        <v>0.17499999999999999</v>
      </c>
      <c r="J249">
        <v>219</v>
      </c>
      <c r="K249">
        <f>IFERROR(VLOOKUP(J249,Capacity!$A$3:$D$532,4,), "0")</f>
        <v>50.265481600000015</v>
      </c>
      <c r="L249" s="4">
        <f>IFERROR(VLOOKUP(J249,Capacity!$A$3:$F$532,6,), "0")</f>
        <v>0.4</v>
      </c>
      <c r="M249" s="5">
        <f t="shared" si="30"/>
        <v>80.572032713125012</v>
      </c>
      <c r="N249" s="5">
        <f t="shared" si="31"/>
        <v>0.75</v>
      </c>
      <c r="O249">
        <v>210</v>
      </c>
      <c r="P249">
        <f>IFERROR(VLOOKUP(O249,Capacity!$A$3:$D$532,4,), "0")</f>
        <v>50.265481600000015</v>
      </c>
      <c r="Q249" s="4">
        <f>IFERROR(VLOOKUP(O249,Capacity!$A$3:$F$532,6,), "0")</f>
        <v>0.4</v>
      </c>
      <c r="R249" s="5">
        <f t="shared" si="35"/>
        <v>50.265481600000015</v>
      </c>
      <c r="S249" s="5">
        <f t="shared" si="36"/>
        <v>0.4</v>
      </c>
      <c r="T249">
        <v>203</v>
      </c>
      <c r="U249">
        <v>3</v>
      </c>
      <c r="V249">
        <v>3</v>
      </c>
      <c r="W249">
        <v>1</v>
      </c>
      <c r="X249">
        <f t="shared" si="32"/>
        <v>1.6029296874999996</v>
      </c>
      <c r="Y249">
        <f t="shared" si="33"/>
        <v>1.0686197916666664</v>
      </c>
      <c r="Z249">
        <f t="shared" si="37"/>
        <v>1.875</v>
      </c>
      <c r="AA249">
        <f t="shared" si="38"/>
        <v>1.875</v>
      </c>
      <c r="AC249">
        <f t="shared" si="39"/>
        <v>0.64117187499999995</v>
      </c>
      <c r="AD249">
        <f t="shared" si="34"/>
        <v>1.9235156249999998</v>
      </c>
    </row>
    <row r="250" spans="1:30" x14ac:dyDescent="0.25">
      <c r="A250">
        <v>475</v>
      </c>
      <c r="B250">
        <f>IFERROR(VLOOKUP(A250,Capacity!$A$3:$D$532,4,), "0")</f>
        <v>26.939156544999996</v>
      </c>
      <c r="C250" s="4">
        <f>IFERROR(VLOOKUP(A250,Capacity!$A$3:$F$532,6,), "0")</f>
        <v>0.17499999999999999</v>
      </c>
      <c r="E250" t="str">
        <f>IFERROR(VLOOKUP(D250,Capacity!$A$3:$D$532,4,), "0")</f>
        <v>0</v>
      </c>
      <c r="F250" s="4" t="str">
        <f>IFERROR(VLOOKUP(D250,Capacity!$A$3:$F$532,6,), "0")</f>
        <v>0</v>
      </c>
      <c r="H250" t="str">
        <f>IFERROR(VLOOKUP(G250,Capacity!$A$3:$D$532,4,), "0")</f>
        <v>0</v>
      </c>
      <c r="I250" s="4" t="str">
        <f>IFERROR(VLOOKUP(G250,Capacity!$A$3:$F$532,6,), "0")</f>
        <v>0</v>
      </c>
      <c r="K250" t="str">
        <f>IFERROR(VLOOKUP(J250,Capacity!$A$3:$D$532,4,), "0")</f>
        <v>0</v>
      </c>
      <c r="L250" s="4" t="str">
        <f>IFERROR(VLOOKUP(J250,Capacity!$A$3:$F$532,6,), "0")</f>
        <v>0</v>
      </c>
      <c r="M250" s="5">
        <f t="shared" si="30"/>
        <v>0</v>
      </c>
      <c r="N250" s="5">
        <f t="shared" si="31"/>
        <v>0</v>
      </c>
      <c r="O250">
        <v>217</v>
      </c>
      <c r="P250">
        <f>IFERROR(VLOOKUP(O250,Capacity!$A$3:$D$532,4,), "0")</f>
        <v>19.242254674999998</v>
      </c>
      <c r="Q250" s="4">
        <f>IFERROR(VLOOKUP(O250,Capacity!$A$3:$F$532,6,), "0")</f>
        <v>0.17499999999999999</v>
      </c>
      <c r="R250" s="5">
        <f t="shared" si="35"/>
        <v>19.242254674999998</v>
      </c>
      <c r="S250" s="5">
        <f t="shared" si="36"/>
        <v>0.17499999999999999</v>
      </c>
      <c r="T250">
        <v>475</v>
      </c>
      <c r="U250">
        <v>0</v>
      </c>
      <c r="V250">
        <v>0</v>
      </c>
      <c r="W250">
        <v>1</v>
      </c>
      <c r="X250">
        <f t="shared" si="32"/>
        <v>0</v>
      </c>
      <c r="Y250">
        <f t="shared" si="33"/>
        <v>0</v>
      </c>
      <c r="Z250">
        <f t="shared" si="37"/>
        <v>0</v>
      </c>
      <c r="AA250">
        <f t="shared" si="38"/>
        <v>0</v>
      </c>
      <c r="AC250">
        <f t="shared" si="39"/>
        <v>0</v>
      </c>
      <c r="AD250">
        <f t="shared" si="34"/>
        <v>0</v>
      </c>
    </row>
    <row r="251" spans="1:30" x14ac:dyDescent="0.25">
      <c r="A251">
        <v>231</v>
      </c>
      <c r="B251">
        <f>IFERROR(VLOOKUP(A251,Capacity!$A$3:$D$532,4,), "0")</f>
        <v>16.355916473749996</v>
      </c>
      <c r="C251" s="4">
        <f>IFERROR(VLOOKUP(A251,Capacity!$A$3:$F$532,6,), "0")</f>
        <v>0.17499999999999999</v>
      </c>
      <c r="D251">
        <v>274</v>
      </c>
      <c r="E251">
        <f>IFERROR(VLOOKUP(D251,Capacity!$A$3:$D$532,4,), "0")</f>
        <v>4.8105636687499995</v>
      </c>
      <c r="F251" s="4">
        <f>IFERROR(VLOOKUP(D251,Capacity!$A$3:$F$532,6,), "0")</f>
        <v>0.17499999999999999</v>
      </c>
      <c r="G251">
        <v>230</v>
      </c>
      <c r="H251">
        <f>IFERROR(VLOOKUP(G251,Capacity!$A$3:$D$532,4,), "0")</f>
        <v>26.939156544999996</v>
      </c>
      <c r="I251" s="4">
        <f>IFERROR(VLOOKUP(G251,Capacity!$A$3:$F$532,6,), "0")</f>
        <v>0.17499999999999999</v>
      </c>
      <c r="K251" t="str">
        <f>IFERROR(VLOOKUP(J251,Capacity!$A$3:$D$532,4,), "0")</f>
        <v>0</v>
      </c>
      <c r="L251" s="4" t="str">
        <f>IFERROR(VLOOKUP(J251,Capacity!$A$3:$F$532,6,), "0")</f>
        <v>0</v>
      </c>
      <c r="M251" s="5">
        <f t="shared" si="30"/>
        <v>31.749720213749995</v>
      </c>
      <c r="N251" s="5">
        <f t="shared" si="31"/>
        <v>0.35</v>
      </c>
      <c r="O251">
        <v>217</v>
      </c>
      <c r="P251">
        <f>IFERROR(VLOOKUP(O251,Capacity!$A$3:$D$532,4,), "0")</f>
        <v>19.242254674999998</v>
      </c>
      <c r="Q251" s="4">
        <f>IFERROR(VLOOKUP(O251,Capacity!$A$3:$F$532,6,), "0")</f>
        <v>0.17499999999999999</v>
      </c>
      <c r="R251" s="5">
        <f t="shared" si="35"/>
        <v>19.242254674999998</v>
      </c>
      <c r="S251" s="5">
        <f t="shared" si="36"/>
        <v>0.17499999999999999</v>
      </c>
      <c r="T251">
        <v>231</v>
      </c>
      <c r="U251">
        <v>2</v>
      </c>
      <c r="V251">
        <v>2</v>
      </c>
      <c r="W251">
        <v>1</v>
      </c>
      <c r="X251">
        <f t="shared" si="32"/>
        <v>1.65</v>
      </c>
      <c r="Y251">
        <f t="shared" si="33"/>
        <v>1.9411764705882355</v>
      </c>
      <c r="Z251">
        <f t="shared" si="37"/>
        <v>2</v>
      </c>
      <c r="AA251">
        <f t="shared" si="38"/>
        <v>2</v>
      </c>
      <c r="AC251">
        <f t="shared" si="39"/>
        <v>0.89189189189189177</v>
      </c>
      <c r="AD251">
        <f t="shared" si="34"/>
        <v>1.7837837837837835</v>
      </c>
    </row>
    <row r="252" spans="1:30" x14ac:dyDescent="0.25">
      <c r="A252">
        <v>107</v>
      </c>
      <c r="B252">
        <f>IFERROR(VLOOKUP(A252,Capacity!$A$3:$D$532,4,), "0")</f>
        <v>20.204367408749999</v>
      </c>
      <c r="C252" s="4">
        <f>IFERROR(VLOOKUP(A252,Capacity!$A$3:$F$532,6,), "0")</f>
        <v>0.17499999999999999</v>
      </c>
      <c r="E252" t="str">
        <f>IFERROR(VLOOKUP(D252,Capacity!$A$3:$D$532,4,), "0")</f>
        <v>0</v>
      </c>
      <c r="F252" s="4" t="str">
        <f>IFERROR(VLOOKUP(D252,Capacity!$A$3:$F$532,6,), "0")</f>
        <v>0</v>
      </c>
      <c r="H252" t="str">
        <f>IFERROR(VLOOKUP(G252,Capacity!$A$3:$D$532,4,), "0")</f>
        <v>0</v>
      </c>
      <c r="I252" s="4" t="str">
        <f>IFERROR(VLOOKUP(G252,Capacity!$A$3:$F$532,6,), "0")</f>
        <v>0</v>
      </c>
      <c r="K252" t="str">
        <f>IFERROR(VLOOKUP(J252,Capacity!$A$3:$D$532,4,), "0")</f>
        <v>0</v>
      </c>
      <c r="L252" s="4" t="str">
        <f>IFERROR(VLOOKUP(J252,Capacity!$A$3:$F$532,6,), "0")</f>
        <v>0</v>
      </c>
      <c r="M252" s="5">
        <f t="shared" si="30"/>
        <v>0</v>
      </c>
      <c r="N252" s="5">
        <f t="shared" si="31"/>
        <v>0</v>
      </c>
      <c r="O252">
        <v>106</v>
      </c>
      <c r="P252">
        <f>IFERROR(VLOOKUP(O252,Capacity!$A$3:$D$532,4,), "0")</f>
        <v>13.469578272499998</v>
      </c>
      <c r="Q252" s="4">
        <f>IFERROR(VLOOKUP(O252,Capacity!$A$3:$F$532,6,), "0")</f>
        <v>0.17499999999999999</v>
      </c>
      <c r="R252" s="5">
        <f t="shared" si="35"/>
        <v>13.469578272499998</v>
      </c>
      <c r="S252" s="5">
        <f t="shared" si="36"/>
        <v>0.17499999999999999</v>
      </c>
      <c r="T252">
        <v>107</v>
      </c>
      <c r="U252">
        <v>0</v>
      </c>
      <c r="V252">
        <v>0</v>
      </c>
      <c r="W252">
        <v>1</v>
      </c>
      <c r="X252">
        <f t="shared" si="32"/>
        <v>0</v>
      </c>
      <c r="Y252">
        <f t="shared" si="33"/>
        <v>0</v>
      </c>
      <c r="Z252">
        <f t="shared" si="37"/>
        <v>0</v>
      </c>
      <c r="AA252">
        <f t="shared" si="38"/>
        <v>0</v>
      </c>
      <c r="AC252">
        <f t="shared" si="39"/>
        <v>0</v>
      </c>
      <c r="AD252">
        <f t="shared" si="34"/>
        <v>0</v>
      </c>
    </row>
    <row r="253" spans="1:30" x14ac:dyDescent="0.25">
      <c r="A253">
        <v>105</v>
      </c>
      <c r="B253">
        <f>IFERROR(VLOOKUP(A253,Capacity!$A$3:$D$532,4,), "0")</f>
        <v>30.787607479999995</v>
      </c>
      <c r="C253" s="4">
        <f>IFERROR(VLOOKUP(A253,Capacity!$A$3:$F$532,6,), "0")</f>
        <v>0.17499999999999999</v>
      </c>
      <c r="D253">
        <v>430</v>
      </c>
      <c r="E253">
        <f>IFERROR(VLOOKUP(D253,Capacity!$A$3:$D$532,4,), "0")</f>
        <v>20.204367408749999</v>
      </c>
      <c r="F253" s="4">
        <f>IFERROR(VLOOKUP(D253,Capacity!$A$3:$F$532,6,), "0")</f>
        <v>0.17499999999999999</v>
      </c>
      <c r="G253">
        <v>104</v>
      </c>
      <c r="H253">
        <f>IFERROR(VLOOKUP(G253,Capacity!$A$3:$D$532,4,), "0")</f>
        <v>19.242254674999998</v>
      </c>
      <c r="I253" s="4">
        <f>IFERROR(VLOOKUP(G253,Capacity!$A$3:$F$532,6,), "0")</f>
        <v>0.17499999999999999</v>
      </c>
      <c r="K253" t="str">
        <f>IFERROR(VLOOKUP(J253,Capacity!$A$3:$D$532,4,), "0")</f>
        <v>0</v>
      </c>
      <c r="L253" s="4" t="str">
        <f>IFERROR(VLOOKUP(J253,Capacity!$A$3:$F$532,6,), "0")</f>
        <v>0</v>
      </c>
      <c r="M253" s="5">
        <f t="shared" si="30"/>
        <v>39.44662208375</v>
      </c>
      <c r="N253" s="5">
        <f t="shared" si="31"/>
        <v>0.35</v>
      </c>
      <c r="O253">
        <v>106</v>
      </c>
      <c r="P253">
        <f>IFERROR(VLOOKUP(O253,Capacity!$A$3:$D$532,4,), "0")</f>
        <v>13.469578272499998</v>
      </c>
      <c r="Q253" s="4">
        <f>IFERROR(VLOOKUP(O253,Capacity!$A$3:$F$532,6,), "0")</f>
        <v>0.17499999999999999</v>
      </c>
      <c r="R253" s="5">
        <f t="shared" si="35"/>
        <v>13.469578272499998</v>
      </c>
      <c r="S253" s="5">
        <f t="shared" si="36"/>
        <v>0.17499999999999999</v>
      </c>
      <c r="T253">
        <v>105</v>
      </c>
      <c r="U253">
        <v>2</v>
      </c>
      <c r="V253">
        <v>2</v>
      </c>
      <c r="W253">
        <v>1</v>
      </c>
      <c r="X253">
        <f t="shared" si="32"/>
        <v>2.9285714285714288</v>
      </c>
      <c r="Y253">
        <f t="shared" si="33"/>
        <v>1.2812500000000002</v>
      </c>
      <c r="Z253">
        <f t="shared" si="37"/>
        <v>2</v>
      </c>
      <c r="AA253">
        <f t="shared" si="38"/>
        <v>2</v>
      </c>
      <c r="AC253">
        <f t="shared" si="39"/>
        <v>0.89130434782608714</v>
      </c>
      <c r="AD253">
        <f t="shared" si="34"/>
        <v>1.7826086956521743</v>
      </c>
    </row>
    <row r="254" spans="1:30" x14ac:dyDescent="0.25">
      <c r="A254">
        <v>108</v>
      </c>
      <c r="B254">
        <f>IFERROR(VLOOKUP(A254,Capacity!$A$3:$D$532,4,), "0")</f>
        <v>15.393803739999997</v>
      </c>
      <c r="C254" s="4">
        <f>IFERROR(VLOOKUP(A254,Capacity!$A$3:$F$532,6,), "0")</f>
        <v>0.17499999999999999</v>
      </c>
      <c r="D254">
        <v>429</v>
      </c>
      <c r="E254">
        <f>IFERROR(VLOOKUP(D254,Capacity!$A$3:$D$532,4,), "0")</f>
        <v>15.393803739999997</v>
      </c>
      <c r="F254" s="4">
        <f>IFERROR(VLOOKUP(D254,Capacity!$A$3:$F$532,6,), "0")</f>
        <v>0.17499999999999999</v>
      </c>
      <c r="H254" t="str">
        <f>IFERROR(VLOOKUP(G254,Capacity!$A$3:$D$532,4,), "0")</f>
        <v>0</v>
      </c>
      <c r="I254" s="4" t="str">
        <f>IFERROR(VLOOKUP(G254,Capacity!$A$3:$F$532,6,), "0")</f>
        <v>0</v>
      </c>
      <c r="K254" t="str">
        <f>IFERROR(VLOOKUP(J254,Capacity!$A$3:$D$532,4,), "0")</f>
        <v>0</v>
      </c>
      <c r="L254" s="4" t="str">
        <f>IFERROR(VLOOKUP(J254,Capacity!$A$3:$F$532,6,), "0")</f>
        <v>0</v>
      </c>
      <c r="M254" s="5">
        <f t="shared" si="30"/>
        <v>15.393803739999997</v>
      </c>
      <c r="N254" s="5">
        <f t="shared" si="31"/>
        <v>0.17499999999999999</v>
      </c>
      <c r="O254">
        <v>109</v>
      </c>
      <c r="P254">
        <f>IFERROR(VLOOKUP(O254,Capacity!$A$3:$D$532,4,), "0")</f>
        <v>14.431691006249999</v>
      </c>
      <c r="Q254" s="4">
        <f>IFERROR(VLOOKUP(O254,Capacity!$A$3:$F$532,6,), "0")</f>
        <v>0.17499999999999999</v>
      </c>
      <c r="R254" s="5">
        <f t="shared" si="35"/>
        <v>14.431691006249999</v>
      </c>
      <c r="S254" s="5">
        <f t="shared" si="36"/>
        <v>0.17499999999999999</v>
      </c>
      <c r="T254">
        <v>108</v>
      </c>
      <c r="U254">
        <v>1</v>
      </c>
      <c r="V254">
        <v>1</v>
      </c>
      <c r="W254">
        <v>1</v>
      </c>
      <c r="X254">
        <f t="shared" si="32"/>
        <v>1.0666666666666667</v>
      </c>
      <c r="Y254">
        <f t="shared" si="33"/>
        <v>1</v>
      </c>
      <c r="Z254">
        <f t="shared" si="37"/>
        <v>1</v>
      </c>
      <c r="AA254">
        <f t="shared" si="38"/>
        <v>1</v>
      </c>
      <c r="AC254">
        <f t="shared" si="39"/>
        <v>0.5161290322580645</v>
      </c>
      <c r="AD254">
        <f t="shared" si="34"/>
        <v>0.5161290322580645</v>
      </c>
    </row>
    <row r="255" spans="1:30" x14ac:dyDescent="0.25">
      <c r="A255">
        <v>435</v>
      </c>
      <c r="B255">
        <f>IFERROR(VLOOKUP(A255,Capacity!$A$3:$D$532,4,), "0")</f>
        <v>9.621127337499999</v>
      </c>
      <c r="C255" s="4">
        <f>IFERROR(VLOOKUP(A255,Capacity!$A$3:$F$532,6,), "0")</f>
        <v>0.17499999999999999</v>
      </c>
      <c r="E255" t="str">
        <f>IFERROR(VLOOKUP(D255,Capacity!$A$3:$D$532,4,), "0")</f>
        <v>0</v>
      </c>
      <c r="F255" s="4" t="str">
        <f>IFERROR(VLOOKUP(D255,Capacity!$A$3:$F$532,6,), "0")</f>
        <v>0</v>
      </c>
      <c r="H255" t="str">
        <f>IFERROR(VLOOKUP(G255,Capacity!$A$3:$D$532,4,), "0")</f>
        <v>0</v>
      </c>
      <c r="I255" s="4" t="str">
        <f>IFERROR(VLOOKUP(G255,Capacity!$A$3:$F$532,6,), "0")</f>
        <v>0</v>
      </c>
      <c r="K255" t="str">
        <f>IFERROR(VLOOKUP(J255,Capacity!$A$3:$D$532,4,), "0")</f>
        <v>0</v>
      </c>
      <c r="L255" s="4" t="str">
        <f>IFERROR(VLOOKUP(J255,Capacity!$A$3:$F$532,6,), "0")</f>
        <v>0</v>
      </c>
      <c r="M255" s="5">
        <f t="shared" si="30"/>
        <v>0</v>
      </c>
      <c r="N255" s="5">
        <f t="shared" si="31"/>
        <v>0</v>
      </c>
      <c r="O255">
        <v>115</v>
      </c>
      <c r="P255">
        <f>IFERROR(VLOOKUP(O255,Capacity!$A$3:$D$532,4,), "0")</f>
        <v>18.849555600000006</v>
      </c>
      <c r="Q255" s="4">
        <f>IFERROR(VLOOKUP(O255,Capacity!$A$3:$F$532,6,), "0")</f>
        <v>0.2</v>
      </c>
      <c r="R255" s="5">
        <f t="shared" si="35"/>
        <v>18.849555600000006</v>
      </c>
      <c r="S255" s="5">
        <f t="shared" si="36"/>
        <v>0.2</v>
      </c>
      <c r="T255">
        <v>435</v>
      </c>
      <c r="U255">
        <v>0</v>
      </c>
      <c r="V255">
        <v>0</v>
      </c>
      <c r="W255">
        <v>1</v>
      </c>
      <c r="X255">
        <f t="shared" si="32"/>
        <v>0</v>
      </c>
      <c r="Y255">
        <f t="shared" si="33"/>
        <v>0</v>
      </c>
      <c r="Z255">
        <f t="shared" si="37"/>
        <v>0</v>
      </c>
      <c r="AA255">
        <f t="shared" si="38"/>
        <v>0</v>
      </c>
      <c r="AC255">
        <f t="shared" si="39"/>
        <v>0</v>
      </c>
      <c r="AD255">
        <f t="shared" si="34"/>
        <v>0</v>
      </c>
    </row>
    <row r="256" spans="1:30" x14ac:dyDescent="0.25">
      <c r="A256">
        <v>432</v>
      </c>
      <c r="B256">
        <f>IFERROR(VLOOKUP(A256,Capacity!$A$3:$D$532,4,), "0")</f>
        <v>7.6969018699999987</v>
      </c>
      <c r="C256" s="4">
        <f>IFERROR(VLOOKUP(A256,Capacity!$A$3:$F$532,6,), "0")</f>
        <v>0.17499999999999999</v>
      </c>
      <c r="E256" t="str">
        <f>IFERROR(VLOOKUP(D256,Capacity!$A$3:$D$532,4,), "0")</f>
        <v>0</v>
      </c>
      <c r="F256" s="4" t="str">
        <f>IFERROR(VLOOKUP(D256,Capacity!$A$3:$F$532,6,), "0")</f>
        <v>0</v>
      </c>
      <c r="H256" t="str">
        <f>IFERROR(VLOOKUP(G256,Capacity!$A$3:$D$532,4,), "0")</f>
        <v>0</v>
      </c>
      <c r="I256" s="4" t="str">
        <f>IFERROR(VLOOKUP(G256,Capacity!$A$3:$F$532,6,), "0")</f>
        <v>0</v>
      </c>
      <c r="K256" t="str">
        <f>IFERROR(VLOOKUP(J256,Capacity!$A$3:$D$532,4,), "0")</f>
        <v>0</v>
      </c>
      <c r="L256" s="4" t="str">
        <f>IFERROR(VLOOKUP(J256,Capacity!$A$3:$F$532,6,), "0")</f>
        <v>0</v>
      </c>
      <c r="M256" s="5">
        <f t="shared" si="30"/>
        <v>0</v>
      </c>
      <c r="N256" s="5">
        <f t="shared" si="31"/>
        <v>0</v>
      </c>
      <c r="O256">
        <v>115</v>
      </c>
      <c r="P256">
        <f>IFERROR(VLOOKUP(O256,Capacity!$A$3:$D$532,4,), "0")</f>
        <v>18.849555600000006</v>
      </c>
      <c r="Q256" s="4">
        <f>IFERROR(VLOOKUP(O256,Capacity!$A$3:$F$532,6,), "0")</f>
        <v>0.2</v>
      </c>
      <c r="R256" s="5">
        <f t="shared" si="35"/>
        <v>18.849555600000006</v>
      </c>
      <c r="S256" s="5">
        <f t="shared" si="36"/>
        <v>0.2</v>
      </c>
      <c r="T256">
        <v>432</v>
      </c>
      <c r="U256">
        <v>0</v>
      </c>
      <c r="V256">
        <v>0</v>
      </c>
      <c r="W256">
        <v>1</v>
      </c>
      <c r="X256">
        <f t="shared" si="32"/>
        <v>0</v>
      </c>
      <c r="Y256">
        <f t="shared" si="33"/>
        <v>0</v>
      </c>
      <c r="Z256">
        <f t="shared" si="37"/>
        <v>0</v>
      </c>
      <c r="AA256">
        <f t="shared" si="38"/>
        <v>0</v>
      </c>
      <c r="AC256">
        <f t="shared" si="39"/>
        <v>0</v>
      </c>
      <c r="AD256">
        <f t="shared" si="34"/>
        <v>0</v>
      </c>
    </row>
    <row r="257" spans="1:30" x14ac:dyDescent="0.25">
      <c r="A257">
        <v>116</v>
      </c>
      <c r="B257">
        <f>IFERROR(VLOOKUP(A257,Capacity!$A$3:$D$532,4,), "0")</f>
        <v>16.336281520000004</v>
      </c>
      <c r="C257" s="4">
        <f>IFERROR(VLOOKUP(A257,Capacity!$A$3:$F$532,6,), "0")</f>
        <v>0.2</v>
      </c>
      <c r="E257" t="str">
        <f>IFERROR(VLOOKUP(D257,Capacity!$A$3:$D$532,4,), "0")</f>
        <v>0</v>
      </c>
      <c r="F257" s="4" t="str">
        <f>IFERROR(VLOOKUP(D257,Capacity!$A$3:$F$532,6,), "0")</f>
        <v>0</v>
      </c>
      <c r="H257" t="str">
        <f>IFERROR(VLOOKUP(G257,Capacity!$A$3:$D$532,4,), "0")</f>
        <v>0</v>
      </c>
      <c r="I257" s="4" t="str">
        <f>IFERROR(VLOOKUP(G257,Capacity!$A$3:$F$532,6,), "0")</f>
        <v>0</v>
      </c>
      <c r="K257" t="str">
        <f>IFERROR(VLOOKUP(J257,Capacity!$A$3:$D$532,4,), "0")</f>
        <v>0</v>
      </c>
      <c r="L257" s="4" t="str">
        <f>IFERROR(VLOOKUP(J257,Capacity!$A$3:$F$532,6,), "0")</f>
        <v>0</v>
      </c>
      <c r="M257" s="5">
        <f t="shared" si="30"/>
        <v>0</v>
      </c>
      <c r="N257" s="5">
        <f t="shared" si="31"/>
        <v>0</v>
      </c>
      <c r="O257">
        <v>115</v>
      </c>
      <c r="P257">
        <f>IFERROR(VLOOKUP(O257,Capacity!$A$3:$D$532,4,), "0")</f>
        <v>18.849555600000006</v>
      </c>
      <c r="Q257" s="4">
        <f>IFERROR(VLOOKUP(O257,Capacity!$A$3:$F$532,6,), "0")</f>
        <v>0.2</v>
      </c>
      <c r="R257" s="5">
        <f t="shared" si="35"/>
        <v>18.849555600000006</v>
      </c>
      <c r="S257" s="5">
        <f t="shared" si="36"/>
        <v>0.2</v>
      </c>
      <c r="T257">
        <v>116</v>
      </c>
      <c r="U257">
        <v>0</v>
      </c>
      <c r="V257">
        <v>0</v>
      </c>
      <c r="W257">
        <v>1</v>
      </c>
      <c r="X257">
        <f t="shared" si="32"/>
        <v>0</v>
      </c>
      <c r="Y257">
        <f t="shared" si="33"/>
        <v>0</v>
      </c>
      <c r="Z257">
        <f t="shared" si="37"/>
        <v>0</v>
      </c>
      <c r="AA257">
        <f t="shared" si="38"/>
        <v>0</v>
      </c>
      <c r="AC257">
        <f t="shared" si="39"/>
        <v>0</v>
      </c>
      <c r="AD257">
        <f t="shared" si="34"/>
        <v>0</v>
      </c>
    </row>
    <row r="258" spans="1:30" x14ac:dyDescent="0.25">
      <c r="A258">
        <v>359</v>
      </c>
      <c r="B258">
        <f>IFERROR(VLOOKUP(A258,Capacity!$A$3:$D$532,4,), "0")</f>
        <v>7.6969018699999987</v>
      </c>
      <c r="C258" s="4">
        <f>IFERROR(VLOOKUP(A258,Capacity!$A$3:$F$532,6,), "0")</f>
        <v>0.17499999999999999</v>
      </c>
      <c r="E258" t="str">
        <f>IFERROR(VLOOKUP(D258,Capacity!$A$3:$D$532,4,), "0")</f>
        <v>0</v>
      </c>
      <c r="F258" s="4" t="str">
        <f>IFERROR(VLOOKUP(D258,Capacity!$A$3:$F$532,6,), "0")</f>
        <v>0</v>
      </c>
      <c r="H258" t="str">
        <f>IFERROR(VLOOKUP(G258,Capacity!$A$3:$D$532,4,), "0")</f>
        <v>0</v>
      </c>
      <c r="I258" s="4" t="str">
        <f>IFERROR(VLOOKUP(G258,Capacity!$A$3:$F$532,6,), "0")</f>
        <v>0</v>
      </c>
      <c r="K258" t="str">
        <f>IFERROR(VLOOKUP(J258,Capacity!$A$3:$D$532,4,), "0")</f>
        <v>0</v>
      </c>
      <c r="L258" s="4" t="str">
        <f>IFERROR(VLOOKUP(J258,Capacity!$A$3:$F$532,6,), "0")</f>
        <v>0</v>
      </c>
      <c r="M258" s="5">
        <f t="shared" ref="M258:M321" si="40">$E258+$H258+$K258</f>
        <v>0</v>
      </c>
      <c r="N258" s="5">
        <f t="shared" si="31"/>
        <v>0</v>
      </c>
      <c r="O258">
        <v>17</v>
      </c>
      <c r="P258">
        <f>IFERROR(VLOOKUP(O258,Capacity!$A$3:$D$532,4,), "0")</f>
        <v>10.053096320000002</v>
      </c>
      <c r="Q258" s="4">
        <f>IFERROR(VLOOKUP(O258,Capacity!$A$3:$F$532,6,), "0")</f>
        <v>0.2</v>
      </c>
      <c r="R258" s="5">
        <f t="shared" si="35"/>
        <v>10.053096320000002</v>
      </c>
      <c r="S258" s="5">
        <f t="shared" si="36"/>
        <v>0.2</v>
      </c>
      <c r="T258">
        <v>359</v>
      </c>
      <c r="U258">
        <v>0</v>
      </c>
      <c r="V258">
        <v>0</v>
      </c>
      <c r="W258">
        <v>1</v>
      </c>
      <c r="X258">
        <f t="shared" si="32"/>
        <v>0</v>
      </c>
      <c r="Y258">
        <f t="shared" si="33"/>
        <v>0</v>
      </c>
      <c r="Z258">
        <f t="shared" si="37"/>
        <v>0</v>
      </c>
      <c r="AA258">
        <f t="shared" si="38"/>
        <v>0</v>
      </c>
      <c r="AC258">
        <f t="shared" si="39"/>
        <v>0</v>
      </c>
      <c r="AD258">
        <f t="shared" si="34"/>
        <v>0</v>
      </c>
    </row>
    <row r="259" spans="1:30" x14ac:dyDescent="0.25">
      <c r="A259">
        <v>7</v>
      </c>
      <c r="B259">
        <f>IFERROR(VLOOKUP(A259,Capacity!$A$3:$D$532,4,), "0")</f>
        <v>20.106192640000003</v>
      </c>
      <c r="C259" s="4">
        <f>IFERROR(VLOOKUP(A259,Capacity!$A$3:$F$532,6,), "0")</f>
        <v>0.2</v>
      </c>
      <c r="D259">
        <v>352</v>
      </c>
      <c r="E259">
        <f>IFERROR(VLOOKUP(D259,Capacity!$A$3:$D$532,4,), "0")</f>
        <v>7.2158455031249993</v>
      </c>
      <c r="F259" s="4">
        <f>IFERROR(VLOOKUP(D259,Capacity!$A$3:$F$532,6,), "0")</f>
        <v>0.17499999999999999</v>
      </c>
      <c r="G259">
        <v>241</v>
      </c>
      <c r="H259">
        <f>IFERROR(VLOOKUP(G259,Capacity!$A$3:$D$532,4,), "0")</f>
        <v>15.079644480000002</v>
      </c>
      <c r="I259" s="4">
        <f>IFERROR(VLOOKUP(G259,Capacity!$A$3:$F$532,6,), "0")</f>
        <v>0.2</v>
      </c>
      <c r="J259">
        <v>8</v>
      </c>
      <c r="K259">
        <f>IFERROR(VLOOKUP(J259,Capacity!$A$3:$D$532,4,), "0")</f>
        <v>9.4247778000000029</v>
      </c>
      <c r="L259" s="4">
        <f>IFERROR(VLOOKUP(J259,Capacity!$A$3:$F$532,6,), "0")</f>
        <v>0.2</v>
      </c>
      <c r="M259" s="5">
        <f t="shared" si="40"/>
        <v>31.720267783125003</v>
      </c>
      <c r="N259" s="5">
        <f t="shared" ref="N259:N322" si="41">$F259+$I259+$L259</f>
        <v>0.57499999999999996</v>
      </c>
      <c r="O259">
        <v>17</v>
      </c>
      <c r="P259">
        <f>IFERROR(VLOOKUP(O259,Capacity!$A$3:$D$532,4,), "0")</f>
        <v>10.053096320000002</v>
      </c>
      <c r="Q259" s="4">
        <f>IFERROR(VLOOKUP(O259,Capacity!$A$3:$F$532,6,), "0")</f>
        <v>0.2</v>
      </c>
      <c r="R259" s="5">
        <f t="shared" si="35"/>
        <v>10.053096320000002</v>
      </c>
      <c r="S259" s="5">
        <f t="shared" si="36"/>
        <v>0.2</v>
      </c>
      <c r="T259">
        <v>7</v>
      </c>
      <c r="U259">
        <v>3</v>
      </c>
      <c r="V259">
        <v>3</v>
      </c>
      <c r="W259">
        <v>1</v>
      </c>
      <c r="X259">
        <f t="shared" ref="X259:X322" si="42">($M259/$R259)</f>
        <v>3.1552734374999996</v>
      </c>
      <c r="Y259">
        <f t="shared" ref="Y259:Y322" si="43">($M259/$B259)</f>
        <v>1.5776367187499998</v>
      </c>
      <c r="Z259">
        <f t="shared" si="37"/>
        <v>2.8749999999999996</v>
      </c>
      <c r="AA259">
        <f t="shared" si="38"/>
        <v>2.8749999999999996</v>
      </c>
      <c r="AC259">
        <f t="shared" si="39"/>
        <v>1.0517578125</v>
      </c>
      <c r="AD259">
        <f t="shared" ref="AD259:AD322" si="44">U259*AC259</f>
        <v>3.1552734375</v>
      </c>
    </row>
    <row r="260" spans="1:30" x14ac:dyDescent="0.25">
      <c r="A260">
        <v>15</v>
      </c>
      <c r="B260">
        <f>IFERROR(VLOOKUP(A260,Capacity!$A$3:$D$532,4,), "0")</f>
        <v>251.32740799999999</v>
      </c>
      <c r="C260" s="4">
        <f>IFERROR(VLOOKUP(A260,Capacity!$A$3:$F$532,6,), "0")</f>
        <v>1</v>
      </c>
      <c r="D260">
        <v>357</v>
      </c>
      <c r="E260">
        <f>IFERROR(VLOOKUP(D260,Capacity!$A$3:$D$532,4,), "0")</f>
        <v>7.6969018699999987</v>
      </c>
      <c r="F260" s="4">
        <f>IFERROR(VLOOKUP(D260,Capacity!$A$3:$F$532,6,), "0")</f>
        <v>0.17499999999999999</v>
      </c>
      <c r="G260">
        <v>9</v>
      </c>
      <c r="H260">
        <f>IFERROR(VLOOKUP(G260,Capacity!$A$3:$D$532,4,), "0")</f>
        <v>14.431691006249999</v>
      </c>
      <c r="I260" s="4">
        <f>IFERROR(VLOOKUP(G260,Capacity!$A$3:$F$532,6,), "0")</f>
        <v>0.17499999999999999</v>
      </c>
      <c r="K260" t="str">
        <f>IFERROR(VLOOKUP(J260,Capacity!$A$3:$D$532,4,), "0")</f>
        <v>0</v>
      </c>
      <c r="L260" s="4" t="str">
        <f>IFERROR(VLOOKUP(J260,Capacity!$A$3:$F$532,6,), "0")</f>
        <v>0</v>
      </c>
      <c r="M260" s="5">
        <f t="shared" si="40"/>
        <v>22.128592876249996</v>
      </c>
      <c r="N260" s="5">
        <f t="shared" si="41"/>
        <v>0.35</v>
      </c>
      <c r="O260">
        <v>16</v>
      </c>
      <c r="P260">
        <f>IFERROR(VLOOKUP(O260,Capacity!$A$3:$D$532,4,), "0")</f>
        <v>57.36076848710001</v>
      </c>
      <c r="Q260" s="4">
        <f>IFERROR(VLOOKUP(O260,Capacity!$A$3:$F$532,6,), "0")</f>
        <v>0.26500000000000001</v>
      </c>
      <c r="R260" s="5">
        <f t="shared" ref="R260:R323" si="45">$P260</f>
        <v>57.36076848710001</v>
      </c>
      <c r="S260" s="5">
        <f t="shared" ref="S260:S323" si="46">$Q260</f>
        <v>0.26500000000000001</v>
      </c>
      <c r="T260">
        <v>15</v>
      </c>
      <c r="U260">
        <v>2</v>
      </c>
      <c r="V260">
        <v>2</v>
      </c>
      <c r="W260">
        <v>1</v>
      </c>
      <c r="X260">
        <f t="shared" si="42"/>
        <v>0.38577922611386467</v>
      </c>
      <c r="Y260">
        <f t="shared" si="43"/>
        <v>8.8046874999999983E-2</v>
      </c>
      <c r="Z260">
        <f t="shared" ref="Z260:Z323" si="47">($N260/$S260)</f>
        <v>1.320754716981132</v>
      </c>
      <c r="AA260">
        <f t="shared" ref="AA260:AA323" si="48">($N260/$C260)</f>
        <v>0.35</v>
      </c>
      <c r="AC260">
        <f t="shared" ref="AC260:AC323" si="49">$M260/($R260+$B260)</f>
        <v>7.1685910124823796E-2</v>
      </c>
      <c r="AD260">
        <f t="shared" si="44"/>
        <v>0.14337182024964759</v>
      </c>
    </row>
    <row r="261" spans="1:30" x14ac:dyDescent="0.25">
      <c r="A261">
        <v>427</v>
      </c>
      <c r="B261">
        <f>IFERROR(VLOOKUP(A261,Capacity!$A$3:$D$532,4,), "0")</f>
        <v>21.647536509374998</v>
      </c>
      <c r="C261" s="4">
        <f>IFERROR(VLOOKUP(A261,Capacity!$A$3:$F$532,6,), "0")</f>
        <v>0.17499999999999999</v>
      </c>
      <c r="E261" t="str">
        <f>IFERROR(VLOOKUP(D261,Capacity!$A$3:$D$532,4,), "0")</f>
        <v>0</v>
      </c>
      <c r="F261" s="4" t="str">
        <f>IFERROR(VLOOKUP(D261,Capacity!$A$3:$F$532,6,), "0")</f>
        <v>0</v>
      </c>
      <c r="H261" t="str">
        <f>IFERROR(VLOOKUP(G261,Capacity!$A$3:$D$532,4,), "0")</f>
        <v>0</v>
      </c>
      <c r="I261" s="4" t="str">
        <f>IFERROR(VLOOKUP(G261,Capacity!$A$3:$F$532,6,), "0")</f>
        <v>0</v>
      </c>
      <c r="K261" t="str">
        <f>IFERROR(VLOOKUP(J261,Capacity!$A$3:$D$532,4,), "0")</f>
        <v>0</v>
      </c>
      <c r="L261" s="4" t="str">
        <f>IFERROR(VLOOKUP(J261,Capacity!$A$3:$F$532,6,), "0")</f>
        <v>0</v>
      </c>
      <c r="M261" s="5">
        <f t="shared" si="40"/>
        <v>0</v>
      </c>
      <c r="N261" s="5">
        <f t="shared" si="41"/>
        <v>0</v>
      </c>
      <c r="O261">
        <v>56</v>
      </c>
      <c r="P261">
        <f>IFERROR(VLOOKUP(O261,Capacity!$A$3:$D$532,4,), "0")</f>
        <v>7.6969018699999987</v>
      </c>
      <c r="Q261" s="4">
        <f>IFERROR(VLOOKUP(O261,Capacity!$A$3:$F$532,6,), "0")</f>
        <v>0.17499999999999999</v>
      </c>
      <c r="R261" s="5">
        <f t="shared" si="45"/>
        <v>7.6969018699999987</v>
      </c>
      <c r="S261" s="5">
        <f t="shared" si="46"/>
        <v>0.17499999999999999</v>
      </c>
      <c r="T261">
        <v>427</v>
      </c>
      <c r="U261">
        <v>0</v>
      </c>
      <c r="V261">
        <v>0</v>
      </c>
      <c r="W261">
        <v>1</v>
      </c>
      <c r="X261">
        <f t="shared" si="42"/>
        <v>0</v>
      </c>
      <c r="Y261">
        <f t="shared" si="43"/>
        <v>0</v>
      </c>
      <c r="Z261">
        <f t="shared" si="47"/>
        <v>0</v>
      </c>
      <c r="AA261">
        <f t="shared" si="48"/>
        <v>0</v>
      </c>
      <c r="AC261">
        <f t="shared" si="49"/>
        <v>0</v>
      </c>
      <c r="AD261">
        <f t="shared" si="44"/>
        <v>0</v>
      </c>
    </row>
    <row r="262" spans="1:30" x14ac:dyDescent="0.25">
      <c r="A262">
        <v>380</v>
      </c>
      <c r="B262">
        <f>IFERROR(VLOOKUP(A262,Capacity!$A$3:$D$532,4,), "0")</f>
        <v>7.6969018699999987</v>
      </c>
      <c r="C262" s="4">
        <f>IFERROR(VLOOKUP(A262,Capacity!$A$3:$F$532,6,), "0")</f>
        <v>0.17499999999999999</v>
      </c>
      <c r="E262" t="str">
        <f>IFERROR(VLOOKUP(D262,Capacity!$A$3:$D$532,4,), "0")</f>
        <v>0</v>
      </c>
      <c r="F262" s="4" t="str">
        <f>IFERROR(VLOOKUP(D262,Capacity!$A$3:$F$532,6,), "0")</f>
        <v>0</v>
      </c>
      <c r="H262" t="str">
        <f>IFERROR(VLOOKUP(G262,Capacity!$A$3:$D$532,4,), "0")</f>
        <v>0</v>
      </c>
      <c r="I262" s="4" t="str">
        <f>IFERROR(VLOOKUP(G262,Capacity!$A$3:$F$532,6,), "0")</f>
        <v>0</v>
      </c>
      <c r="K262" t="str">
        <f>IFERROR(VLOOKUP(J262,Capacity!$A$3:$D$532,4,), "0")</f>
        <v>0</v>
      </c>
      <c r="L262" s="4" t="str">
        <f>IFERROR(VLOOKUP(J262,Capacity!$A$3:$F$532,6,), "0")</f>
        <v>0</v>
      </c>
      <c r="M262" s="5">
        <f t="shared" si="40"/>
        <v>0</v>
      </c>
      <c r="N262" s="5">
        <f t="shared" si="41"/>
        <v>0</v>
      </c>
      <c r="O262">
        <v>56</v>
      </c>
      <c r="P262">
        <f>IFERROR(VLOOKUP(O262,Capacity!$A$3:$D$532,4,), "0")</f>
        <v>7.6969018699999987</v>
      </c>
      <c r="Q262" s="4">
        <f>IFERROR(VLOOKUP(O262,Capacity!$A$3:$F$532,6,), "0")</f>
        <v>0.17499999999999999</v>
      </c>
      <c r="R262" s="5">
        <f t="shared" si="45"/>
        <v>7.6969018699999987</v>
      </c>
      <c r="S262" s="5">
        <f t="shared" si="46"/>
        <v>0.17499999999999999</v>
      </c>
      <c r="T262">
        <v>380</v>
      </c>
      <c r="U262">
        <v>0</v>
      </c>
      <c r="V262">
        <v>0</v>
      </c>
      <c r="W262">
        <v>1</v>
      </c>
      <c r="X262">
        <f t="shared" si="42"/>
        <v>0</v>
      </c>
      <c r="Y262">
        <f t="shared" si="43"/>
        <v>0</v>
      </c>
      <c r="Z262">
        <f t="shared" si="47"/>
        <v>0</v>
      </c>
      <c r="AA262">
        <f t="shared" si="48"/>
        <v>0</v>
      </c>
      <c r="AC262">
        <f t="shared" si="49"/>
        <v>0</v>
      </c>
      <c r="AD262">
        <f t="shared" si="44"/>
        <v>0</v>
      </c>
    </row>
    <row r="263" spans="1:30" x14ac:dyDescent="0.25">
      <c r="A263">
        <v>358</v>
      </c>
      <c r="B263">
        <f>IFERROR(VLOOKUP(A263,Capacity!$A$3:$D$532,4,), "0")</f>
        <v>25.014931077499998</v>
      </c>
      <c r="C263" s="4">
        <f>IFERROR(VLOOKUP(A263,Capacity!$A$3:$F$532,6,), "0")</f>
        <v>0.17499999999999999</v>
      </c>
      <c r="E263" t="str">
        <f>IFERROR(VLOOKUP(D263,Capacity!$A$3:$D$532,4,), "0")</f>
        <v>0</v>
      </c>
      <c r="F263" s="4" t="str">
        <f>IFERROR(VLOOKUP(D263,Capacity!$A$3:$F$532,6,), "0")</f>
        <v>0</v>
      </c>
      <c r="H263" t="str">
        <f>IFERROR(VLOOKUP(G263,Capacity!$A$3:$D$532,4,), "0")</f>
        <v>0</v>
      </c>
      <c r="I263" s="4" t="str">
        <f>IFERROR(VLOOKUP(G263,Capacity!$A$3:$F$532,6,), "0")</f>
        <v>0</v>
      </c>
      <c r="K263" t="str">
        <f>IFERROR(VLOOKUP(J263,Capacity!$A$3:$D$532,4,), "0")</f>
        <v>0</v>
      </c>
      <c r="L263" s="4" t="str">
        <f>IFERROR(VLOOKUP(J263,Capacity!$A$3:$F$532,6,), "0")</f>
        <v>0</v>
      </c>
      <c r="M263" s="5">
        <f t="shared" si="40"/>
        <v>0</v>
      </c>
      <c r="N263" s="5">
        <f t="shared" si="41"/>
        <v>0</v>
      </c>
      <c r="O263">
        <v>56</v>
      </c>
      <c r="P263">
        <f>IFERROR(VLOOKUP(O263,Capacity!$A$3:$D$532,4,), "0")</f>
        <v>7.6969018699999987</v>
      </c>
      <c r="Q263" s="4">
        <f>IFERROR(VLOOKUP(O263,Capacity!$A$3:$F$532,6,), "0")</f>
        <v>0.17499999999999999</v>
      </c>
      <c r="R263" s="5">
        <f t="shared" si="45"/>
        <v>7.6969018699999987</v>
      </c>
      <c r="S263" s="5">
        <f t="shared" si="46"/>
        <v>0.17499999999999999</v>
      </c>
      <c r="T263">
        <v>358</v>
      </c>
      <c r="U263">
        <v>0</v>
      </c>
      <c r="V263">
        <v>0</v>
      </c>
      <c r="W263">
        <v>1</v>
      </c>
      <c r="X263">
        <f t="shared" si="42"/>
        <v>0</v>
      </c>
      <c r="Y263">
        <f t="shared" si="43"/>
        <v>0</v>
      </c>
      <c r="Z263">
        <f t="shared" si="47"/>
        <v>0</v>
      </c>
      <c r="AA263">
        <f t="shared" si="48"/>
        <v>0</v>
      </c>
      <c r="AC263">
        <f t="shared" si="49"/>
        <v>0</v>
      </c>
      <c r="AD263">
        <f t="shared" si="44"/>
        <v>0</v>
      </c>
    </row>
    <row r="264" spans="1:30" x14ac:dyDescent="0.25">
      <c r="A264">
        <v>428</v>
      </c>
      <c r="B264">
        <f>IFERROR(VLOOKUP(A264,Capacity!$A$3:$D$532,4,), "0")</f>
        <v>7.6969018699999987</v>
      </c>
      <c r="C264" s="4">
        <f>IFERROR(VLOOKUP(A264,Capacity!$A$3:$F$532,6,), "0")</f>
        <v>0.17499999999999999</v>
      </c>
      <c r="E264" t="str">
        <f>IFERROR(VLOOKUP(D264,Capacity!$A$3:$D$532,4,), "0")</f>
        <v>0</v>
      </c>
      <c r="F264" s="4" t="str">
        <f>IFERROR(VLOOKUP(D264,Capacity!$A$3:$F$532,6,), "0")</f>
        <v>0</v>
      </c>
      <c r="H264" t="str">
        <f>IFERROR(VLOOKUP(G264,Capacity!$A$3:$D$532,4,), "0")</f>
        <v>0</v>
      </c>
      <c r="I264" s="4" t="str">
        <f>IFERROR(VLOOKUP(G264,Capacity!$A$3:$F$532,6,), "0")</f>
        <v>0</v>
      </c>
      <c r="K264" t="str">
        <f>IFERROR(VLOOKUP(J264,Capacity!$A$3:$D$532,4,), "0")</f>
        <v>0</v>
      </c>
      <c r="L264" s="4" t="str">
        <f>IFERROR(VLOOKUP(J264,Capacity!$A$3:$F$532,6,), "0")</f>
        <v>0</v>
      </c>
      <c r="M264" s="5">
        <f t="shared" si="40"/>
        <v>0</v>
      </c>
      <c r="N264" s="5">
        <f t="shared" si="41"/>
        <v>0</v>
      </c>
      <c r="O264">
        <v>97</v>
      </c>
      <c r="P264">
        <f>IFERROR(VLOOKUP(O264,Capacity!$A$3:$D$532,4,), "0")</f>
        <v>203.57520048000001</v>
      </c>
      <c r="Q264" s="4">
        <f>IFERROR(VLOOKUP(O264,Capacity!$A$3:$F$532,6,), "0")</f>
        <v>0.9</v>
      </c>
      <c r="R264" s="5">
        <f t="shared" si="45"/>
        <v>203.57520048000001</v>
      </c>
      <c r="S264" s="5">
        <f t="shared" si="46"/>
        <v>0.9</v>
      </c>
      <c r="T264">
        <v>428</v>
      </c>
      <c r="U264">
        <v>0</v>
      </c>
      <c r="V264">
        <v>0</v>
      </c>
      <c r="W264">
        <v>1</v>
      </c>
      <c r="X264">
        <f t="shared" si="42"/>
        <v>0</v>
      </c>
      <c r="Y264">
        <f t="shared" si="43"/>
        <v>0</v>
      </c>
      <c r="Z264">
        <f t="shared" si="47"/>
        <v>0</v>
      </c>
      <c r="AA264">
        <f t="shared" si="48"/>
        <v>0</v>
      </c>
      <c r="AC264">
        <f t="shared" si="49"/>
        <v>0</v>
      </c>
      <c r="AD264">
        <f t="shared" si="44"/>
        <v>0</v>
      </c>
    </row>
    <row r="265" spans="1:30" x14ac:dyDescent="0.25">
      <c r="A265">
        <v>58</v>
      </c>
      <c r="B265">
        <f>IFERROR(VLOOKUP(A265,Capacity!$A$3:$D$532,4,), "0")</f>
        <v>21.647536509374998</v>
      </c>
      <c r="C265" s="4">
        <f>IFERROR(VLOOKUP(A265,Capacity!$A$3:$F$532,6,), "0")</f>
        <v>0.17499999999999999</v>
      </c>
      <c r="D265">
        <v>14</v>
      </c>
      <c r="E265">
        <f>IFERROR(VLOOKUP(D265,Capacity!$A$3:$D$532,4,), "0")</f>
        <v>25.014931077499998</v>
      </c>
      <c r="F265" s="4">
        <f>IFERROR(VLOOKUP(D265,Capacity!$A$3:$F$532,6,), "0")</f>
        <v>0.17499999999999999</v>
      </c>
      <c r="H265" t="str">
        <f>IFERROR(VLOOKUP(G265,Capacity!$A$3:$D$532,4,), "0")</f>
        <v>0</v>
      </c>
      <c r="I265" s="4" t="str">
        <f>IFERROR(VLOOKUP(G265,Capacity!$A$3:$F$532,6,), "0")</f>
        <v>0</v>
      </c>
      <c r="K265" t="str">
        <f>IFERROR(VLOOKUP(J265,Capacity!$A$3:$D$532,4,), "0")</f>
        <v>0</v>
      </c>
      <c r="L265" s="4" t="str">
        <f>IFERROR(VLOOKUP(J265,Capacity!$A$3:$F$532,6,), "0")</f>
        <v>0</v>
      </c>
      <c r="M265" s="5">
        <f t="shared" si="40"/>
        <v>25.014931077499998</v>
      </c>
      <c r="N265" s="5">
        <f t="shared" si="41"/>
        <v>0.17499999999999999</v>
      </c>
      <c r="O265">
        <v>97</v>
      </c>
      <c r="P265">
        <f>IFERROR(VLOOKUP(O265,Capacity!$A$3:$D$532,4,), "0")</f>
        <v>203.57520048000001</v>
      </c>
      <c r="Q265" s="4">
        <f>IFERROR(VLOOKUP(O265,Capacity!$A$3:$F$532,6,), "0")</f>
        <v>0.9</v>
      </c>
      <c r="R265" s="5">
        <f t="shared" si="45"/>
        <v>203.57520048000001</v>
      </c>
      <c r="S265" s="5">
        <f t="shared" si="46"/>
        <v>0.9</v>
      </c>
      <c r="T265">
        <v>58</v>
      </c>
      <c r="U265">
        <v>1</v>
      </c>
      <c r="V265">
        <v>1</v>
      </c>
      <c r="W265">
        <v>1</v>
      </c>
      <c r="X265">
        <f t="shared" si="42"/>
        <v>0.12287808641975308</v>
      </c>
      <c r="Y265">
        <f t="shared" si="43"/>
        <v>1.1555555555555557</v>
      </c>
      <c r="Z265">
        <f t="shared" si="47"/>
        <v>0.19444444444444442</v>
      </c>
      <c r="AA265">
        <f t="shared" si="48"/>
        <v>1</v>
      </c>
      <c r="AC265">
        <f t="shared" si="49"/>
        <v>0.11106752103221307</v>
      </c>
      <c r="AD265">
        <f t="shared" si="44"/>
        <v>0.11106752103221307</v>
      </c>
    </row>
    <row r="266" spans="1:30" x14ac:dyDescent="0.25">
      <c r="A266">
        <v>434</v>
      </c>
      <c r="B266">
        <f>IFERROR(VLOOKUP(A266,Capacity!$A$3:$D$532,4,), "0")</f>
        <v>197.92033380000001</v>
      </c>
      <c r="C266" s="4">
        <f>IFERROR(VLOOKUP(A266,Capacity!$A$3:$F$532,6,), "0")</f>
        <v>0.6</v>
      </c>
      <c r="E266" t="str">
        <f>IFERROR(VLOOKUP(D266,Capacity!$A$3:$D$532,4,), "0")</f>
        <v>0</v>
      </c>
      <c r="F266" s="4" t="str">
        <f>IFERROR(VLOOKUP(D266,Capacity!$A$3:$F$532,6,), "0")</f>
        <v>0</v>
      </c>
      <c r="H266" t="str">
        <f>IFERROR(VLOOKUP(G266,Capacity!$A$3:$D$532,4,), "0")</f>
        <v>0</v>
      </c>
      <c r="I266" s="4" t="str">
        <f>IFERROR(VLOOKUP(G266,Capacity!$A$3:$F$532,6,), "0")</f>
        <v>0</v>
      </c>
      <c r="K266" t="str">
        <f>IFERROR(VLOOKUP(J266,Capacity!$A$3:$D$532,4,), "0")</f>
        <v>0</v>
      </c>
      <c r="L266" s="4" t="str">
        <f>IFERROR(VLOOKUP(J266,Capacity!$A$3:$F$532,6,), "0")</f>
        <v>0</v>
      </c>
      <c r="M266" s="5">
        <f t="shared" si="40"/>
        <v>0</v>
      </c>
      <c r="N266" s="5">
        <f t="shared" si="41"/>
        <v>0</v>
      </c>
      <c r="O266">
        <v>99</v>
      </c>
      <c r="P266">
        <f>IFERROR(VLOOKUP(O266,Capacity!$A$3:$D$532,4,), "0")</f>
        <v>29.688050070000003</v>
      </c>
      <c r="Q266" s="4">
        <f>IFERROR(VLOOKUP(O266,Capacity!$A$3:$F$532,6,), "0")</f>
        <v>0.3</v>
      </c>
      <c r="R266" s="5">
        <f t="shared" si="45"/>
        <v>29.688050070000003</v>
      </c>
      <c r="S266" s="5">
        <f t="shared" si="46"/>
        <v>0.3</v>
      </c>
      <c r="T266">
        <v>434</v>
      </c>
      <c r="U266">
        <v>0</v>
      </c>
      <c r="V266">
        <v>0</v>
      </c>
      <c r="W266">
        <v>1</v>
      </c>
      <c r="X266">
        <f t="shared" si="42"/>
        <v>0</v>
      </c>
      <c r="Y266">
        <f t="shared" si="43"/>
        <v>0</v>
      </c>
      <c r="Z266">
        <f t="shared" si="47"/>
        <v>0</v>
      </c>
      <c r="AA266">
        <f t="shared" si="48"/>
        <v>0</v>
      </c>
      <c r="AC266">
        <f t="shared" si="49"/>
        <v>0</v>
      </c>
      <c r="AD266">
        <f t="shared" si="44"/>
        <v>0</v>
      </c>
    </row>
    <row r="267" spans="1:30" x14ac:dyDescent="0.25">
      <c r="A267">
        <v>100</v>
      </c>
      <c r="B267">
        <f>IFERROR(VLOOKUP(A267,Capacity!$A$3:$D$532,4,), "0")</f>
        <v>36.75663342</v>
      </c>
      <c r="C267" s="4">
        <f>IFERROR(VLOOKUP(A267,Capacity!$A$3:$F$532,6,), "0")</f>
        <v>0.3</v>
      </c>
      <c r="D267">
        <v>433</v>
      </c>
      <c r="E267">
        <f>IFERROR(VLOOKUP(D267,Capacity!$A$3:$D$532,4,), "0")</f>
        <v>56.799994208000008</v>
      </c>
      <c r="F267" s="4">
        <f>IFERROR(VLOOKUP(D267,Capacity!$A$3:$F$532,6,), "0")</f>
        <v>0.4</v>
      </c>
      <c r="G267">
        <v>102</v>
      </c>
      <c r="H267">
        <f>IFERROR(VLOOKUP(G267,Capacity!$A$3:$D$532,4,), "0")</f>
        <v>50.265481600000015</v>
      </c>
      <c r="I267" s="4">
        <f>IFERROR(VLOOKUP(G267,Capacity!$A$3:$F$532,6,), "0")</f>
        <v>0.4</v>
      </c>
      <c r="J267">
        <v>60</v>
      </c>
      <c r="K267">
        <f>IFERROR(VLOOKUP(J267,Capacity!$A$3:$D$532,4,), "0")</f>
        <v>90.477866880000022</v>
      </c>
      <c r="L267" s="4">
        <f>IFERROR(VLOOKUP(J267,Capacity!$A$3:$F$532,6,), "0")</f>
        <v>0.4</v>
      </c>
      <c r="M267" s="5">
        <f t="shared" si="40"/>
        <v>197.54334268800005</v>
      </c>
      <c r="N267" s="5">
        <f t="shared" si="41"/>
        <v>1.2000000000000002</v>
      </c>
      <c r="O267">
        <v>99</v>
      </c>
      <c r="P267">
        <f>IFERROR(VLOOKUP(O267,Capacity!$A$3:$D$532,4,), "0")</f>
        <v>29.688050070000003</v>
      </c>
      <c r="Q267" s="4">
        <f>IFERROR(VLOOKUP(O267,Capacity!$A$3:$F$532,6,), "0")</f>
        <v>0.3</v>
      </c>
      <c r="R267" s="5">
        <f t="shared" si="45"/>
        <v>29.688050070000003</v>
      </c>
      <c r="S267" s="5">
        <f t="shared" si="46"/>
        <v>0.3</v>
      </c>
      <c r="T267">
        <v>100</v>
      </c>
      <c r="U267">
        <v>3</v>
      </c>
      <c r="V267">
        <v>3</v>
      </c>
      <c r="W267">
        <v>1</v>
      </c>
      <c r="X267">
        <f t="shared" si="42"/>
        <v>6.6539682539682552</v>
      </c>
      <c r="Y267">
        <f t="shared" si="43"/>
        <v>5.3743589743589757</v>
      </c>
      <c r="Z267">
        <f t="shared" si="47"/>
        <v>4.0000000000000009</v>
      </c>
      <c r="AA267">
        <f t="shared" si="48"/>
        <v>4.0000000000000009</v>
      </c>
      <c r="AC267">
        <f t="shared" si="49"/>
        <v>2.9730496453900717</v>
      </c>
      <c r="AD267">
        <f t="shared" si="44"/>
        <v>8.919148936170215</v>
      </c>
    </row>
    <row r="268" spans="1:30" x14ac:dyDescent="0.25">
      <c r="A268">
        <v>59</v>
      </c>
      <c r="B268">
        <f>IFERROR(VLOOKUP(A268,Capacity!$A$3:$D$532,4,), "0")</f>
        <v>294.05306736</v>
      </c>
      <c r="C268" s="4">
        <f>IFERROR(VLOOKUP(A268,Capacity!$A$3:$F$532,6,), "0")</f>
        <v>0.6</v>
      </c>
      <c r="D268">
        <v>382</v>
      </c>
      <c r="E268">
        <f>IFERROR(VLOOKUP(D268,Capacity!$A$3:$D$532,4,), "0")</f>
        <v>7.6969018699999987</v>
      </c>
      <c r="F268" s="4">
        <f>IFERROR(VLOOKUP(D268,Capacity!$A$3:$F$532,6,), "0")</f>
        <v>0.17499999999999999</v>
      </c>
      <c r="G268">
        <v>381</v>
      </c>
      <c r="H268">
        <f>IFERROR(VLOOKUP(G268,Capacity!$A$3:$D$532,4,), "0")</f>
        <v>7.6969018699999987</v>
      </c>
      <c r="I268" s="4">
        <f>IFERROR(VLOOKUP(G268,Capacity!$A$3:$F$532,6,), "0")</f>
        <v>0.17499999999999999</v>
      </c>
      <c r="J268">
        <v>12</v>
      </c>
      <c r="K268">
        <f>IFERROR(VLOOKUP(J268,Capacity!$A$3:$D$532,4,), "0")</f>
        <v>32.672563040000007</v>
      </c>
      <c r="L268" s="4">
        <f>IFERROR(VLOOKUP(J268,Capacity!$A$3:$F$532,6,), "0")</f>
        <v>0.2</v>
      </c>
      <c r="M268" s="5">
        <f t="shared" si="40"/>
        <v>48.066366780000003</v>
      </c>
      <c r="N268" s="5">
        <f t="shared" si="41"/>
        <v>0.55000000000000004</v>
      </c>
      <c r="O268">
        <v>99</v>
      </c>
      <c r="P268">
        <f>IFERROR(VLOOKUP(O268,Capacity!$A$3:$D$532,4,), "0")</f>
        <v>29.688050070000003</v>
      </c>
      <c r="Q268" s="4">
        <f>IFERROR(VLOOKUP(O268,Capacity!$A$3:$F$532,6,), "0")</f>
        <v>0.3</v>
      </c>
      <c r="R268" s="5">
        <f t="shared" si="45"/>
        <v>29.688050070000003</v>
      </c>
      <c r="S268" s="5">
        <f t="shared" si="46"/>
        <v>0.3</v>
      </c>
      <c r="T268">
        <v>59</v>
      </c>
      <c r="U268">
        <v>3</v>
      </c>
      <c r="V268">
        <v>3</v>
      </c>
      <c r="W268">
        <v>1</v>
      </c>
      <c r="X268">
        <f t="shared" si="42"/>
        <v>1.6190476190476191</v>
      </c>
      <c r="Y268">
        <f t="shared" si="43"/>
        <v>0.16346153846153846</v>
      </c>
      <c r="Z268">
        <f t="shared" si="47"/>
        <v>1.8333333333333335</v>
      </c>
      <c r="AA268">
        <f t="shared" si="48"/>
        <v>0.91666666666666674</v>
      </c>
      <c r="AC268">
        <f t="shared" si="49"/>
        <v>0.148471615720524</v>
      </c>
      <c r="AD268">
        <f t="shared" si="44"/>
        <v>0.44541484716157198</v>
      </c>
    </row>
    <row r="269" spans="1:30" x14ac:dyDescent="0.25">
      <c r="A269">
        <v>242</v>
      </c>
      <c r="B269">
        <f>IFERROR(VLOOKUP(A269,Capacity!$A$3:$D$532,4,), "0")</f>
        <v>26.474200840200002</v>
      </c>
      <c r="C269" s="4">
        <f>IFERROR(VLOOKUP(A269,Capacity!$A$3:$F$532,6,), "0")</f>
        <v>0.26500000000000001</v>
      </c>
      <c r="E269" t="str">
        <f>IFERROR(VLOOKUP(D269,Capacity!$A$3:$D$532,4,), "0")</f>
        <v>0</v>
      </c>
      <c r="F269" s="4" t="str">
        <f>IFERROR(VLOOKUP(D269,Capacity!$A$3:$F$532,6,), "0")</f>
        <v>0</v>
      </c>
      <c r="H269" t="str">
        <f>IFERROR(VLOOKUP(G269,Capacity!$A$3:$D$532,4,), "0")</f>
        <v>0</v>
      </c>
      <c r="I269" s="4" t="str">
        <f>IFERROR(VLOOKUP(G269,Capacity!$A$3:$F$532,6,), "0")</f>
        <v>0</v>
      </c>
      <c r="K269" t="str">
        <f>IFERROR(VLOOKUP(J269,Capacity!$A$3:$D$532,4,), "0")</f>
        <v>0</v>
      </c>
      <c r="L269" s="4" t="str">
        <f>IFERROR(VLOOKUP(J269,Capacity!$A$3:$F$532,6,), "0")</f>
        <v>0</v>
      </c>
      <c r="M269" s="5">
        <f t="shared" si="40"/>
        <v>0</v>
      </c>
      <c r="N269" s="5">
        <f t="shared" si="41"/>
        <v>0</v>
      </c>
      <c r="O269">
        <v>6</v>
      </c>
      <c r="P269">
        <f>IFERROR(VLOOKUP(O269,Capacity!$A$3:$D$532,4,), "0")</f>
        <v>16.546375525125004</v>
      </c>
      <c r="Q269" s="4">
        <f>IFERROR(VLOOKUP(O269,Capacity!$A$3:$F$532,6,), "0")</f>
        <v>0.26500000000000001</v>
      </c>
      <c r="R269" s="5">
        <f t="shared" si="45"/>
        <v>16.546375525125004</v>
      </c>
      <c r="S269" s="5">
        <f t="shared" si="46"/>
        <v>0.26500000000000001</v>
      </c>
      <c r="T269">
        <v>242</v>
      </c>
      <c r="U269">
        <v>0</v>
      </c>
      <c r="V269">
        <v>0</v>
      </c>
      <c r="W269">
        <v>1</v>
      </c>
      <c r="X269">
        <f t="shared" si="42"/>
        <v>0</v>
      </c>
      <c r="Y269">
        <f t="shared" si="43"/>
        <v>0</v>
      </c>
      <c r="Z269">
        <f t="shared" si="47"/>
        <v>0</v>
      </c>
      <c r="AA269">
        <f t="shared" si="48"/>
        <v>0</v>
      </c>
      <c r="AC269">
        <f t="shared" si="49"/>
        <v>0</v>
      </c>
      <c r="AD269">
        <f t="shared" si="44"/>
        <v>0</v>
      </c>
    </row>
    <row r="270" spans="1:30" x14ac:dyDescent="0.25">
      <c r="A270">
        <v>321</v>
      </c>
      <c r="B270">
        <f>IFERROR(VLOOKUP(A270,Capacity!$A$3:$D$532,4,), "0")</f>
        <v>80.424770560000013</v>
      </c>
      <c r="C270" s="4">
        <f>IFERROR(VLOOKUP(A270,Capacity!$A$3:$F$532,6,), "0")</f>
        <v>0.4</v>
      </c>
      <c r="D270">
        <v>525</v>
      </c>
      <c r="E270">
        <f>IFERROR(VLOOKUP(D270,Capacity!$A$3:$D$532,4,), "0")</f>
        <v>12.026409171874999</v>
      </c>
      <c r="F270" s="4">
        <f>IFERROR(VLOOKUP(D270,Capacity!$A$3:$F$532,6,), "0")</f>
        <v>0.17499999999999999</v>
      </c>
      <c r="G270">
        <v>504</v>
      </c>
      <c r="H270">
        <f>IFERROR(VLOOKUP(G270,Capacity!$A$3:$D$532,4,), "0")</f>
        <v>14.431691006249999</v>
      </c>
      <c r="I270" s="4">
        <f>IFERROR(VLOOKUP(G270,Capacity!$A$3:$F$532,6,), "0")</f>
        <v>0.17499999999999999</v>
      </c>
      <c r="J270">
        <v>322</v>
      </c>
      <c r="K270">
        <f>IFERROR(VLOOKUP(J270,Capacity!$A$3:$D$532,4,), "0")</f>
        <v>75.398222400000023</v>
      </c>
      <c r="L270" s="4">
        <f>IFERROR(VLOOKUP(J270,Capacity!$A$3:$F$532,6,), "0")</f>
        <v>0.4</v>
      </c>
      <c r="M270" s="5">
        <f t="shared" si="40"/>
        <v>101.85632257812502</v>
      </c>
      <c r="N270" s="5">
        <f t="shared" si="41"/>
        <v>0.75</v>
      </c>
      <c r="O270">
        <v>320</v>
      </c>
      <c r="P270">
        <f>IFERROR(VLOOKUP(O270,Capacity!$A$3:$D$532,4,), "0")</f>
        <v>82.466805750000006</v>
      </c>
      <c r="Q270" s="4">
        <f>IFERROR(VLOOKUP(O270,Capacity!$A$3:$F$532,6,), "0")</f>
        <v>0.5</v>
      </c>
      <c r="R270" s="5">
        <f t="shared" si="45"/>
        <v>82.466805750000006</v>
      </c>
      <c r="S270" s="5">
        <f t="shared" si="46"/>
        <v>0.5</v>
      </c>
      <c r="T270">
        <v>321</v>
      </c>
      <c r="U270">
        <v>3</v>
      </c>
      <c r="V270">
        <v>3</v>
      </c>
      <c r="W270">
        <v>1</v>
      </c>
      <c r="X270">
        <f t="shared" si="42"/>
        <v>1.2351190476190477</v>
      </c>
      <c r="Y270">
        <f t="shared" si="43"/>
        <v>1.2664794921875</v>
      </c>
      <c r="Z270">
        <f t="shared" si="47"/>
        <v>1.5</v>
      </c>
      <c r="AA270">
        <f t="shared" si="48"/>
        <v>1.875</v>
      </c>
      <c r="AC270">
        <f t="shared" si="49"/>
        <v>0.62530135004821608</v>
      </c>
      <c r="AD270">
        <f t="shared" si="44"/>
        <v>1.8759040501446482</v>
      </c>
    </row>
    <row r="271" spans="1:30" x14ac:dyDescent="0.25">
      <c r="A271">
        <v>341</v>
      </c>
      <c r="B271">
        <f>IFERROR(VLOOKUP(A271,Capacity!$A$3:$D$532,4,), "0")</f>
        <v>17.649467226800002</v>
      </c>
      <c r="C271" s="4">
        <f>IFERROR(VLOOKUP(A271,Capacity!$A$3:$F$532,6,), "0")</f>
        <v>0.26500000000000001</v>
      </c>
      <c r="D271">
        <v>340</v>
      </c>
      <c r="E271">
        <f>IFERROR(VLOOKUP(D271,Capacity!$A$3:$D$532,4,), "0")</f>
        <v>5.0265481600000008</v>
      </c>
      <c r="F271" s="4">
        <f>IFERROR(VLOOKUP(D271,Capacity!$A$3:$F$532,6,), "0")</f>
        <v>0.2</v>
      </c>
      <c r="H271" t="str">
        <f>IFERROR(VLOOKUP(G271,Capacity!$A$3:$D$532,4,), "0")</f>
        <v>0</v>
      </c>
      <c r="I271" s="4" t="str">
        <f>IFERROR(VLOOKUP(G271,Capacity!$A$3:$F$532,6,), "0")</f>
        <v>0</v>
      </c>
      <c r="K271" t="str">
        <f>IFERROR(VLOOKUP(J271,Capacity!$A$3:$D$532,4,), "0")</f>
        <v>0</v>
      </c>
      <c r="L271" s="4" t="str">
        <f>IFERROR(VLOOKUP(J271,Capacity!$A$3:$F$532,6,), "0")</f>
        <v>0</v>
      </c>
      <c r="M271" s="5">
        <f t="shared" si="40"/>
        <v>5.0265481600000008</v>
      </c>
      <c r="N271" s="5">
        <f t="shared" si="41"/>
        <v>0.2</v>
      </c>
      <c r="O271">
        <v>342</v>
      </c>
      <c r="P271">
        <f>IFERROR(VLOOKUP(O271,Capacity!$A$3:$D$532,4,), "0")</f>
        <v>20.106192640000003</v>
      </c>
      <c r="Q271" s="4">
        <f>IFERROR(VLOOKUP(O271,Capacity!$A$3:$F$532,6,), "0")</f>
        <v>0.4</v>
      </c>
      <c r="R271" s="5">
        <f t="shared" si="45"/>
        <v>20.106192640000003</v>
      </c>
      <c r="S271" s="5">
        <f t="shared" si="46"/>
        <v>0.4</v>
      </c>
      <c r="T271">
        <v>341</v>
      </c>
      <c r="U271">
        <v>1</v>
      </c>
      <c r="V271">
        <v>1</v>
      </c>
      <c r="W271">
        <v>1</v>
      </c>
      <c r="X271">
        <f t="shared" si="42"/>
        <v>0.25</v>
      </c>
      <c r="Y271">
        <f t="shared" si="43"/>
        <v>0.2847988608045568</v>
      </c>
      <c r="Z271">
        <f t="shared" si="47"/>
        <v>0.5</v>
      </c>
      <c r="AA271">
        <f t="shared" si="48"/>
        <v>0.75471698113207553</v>
      </c>
      <c r="AC271">
        <f t="shared" si="49"/>
        <v>0.13313363288400734</v>
      </c>
      <c r="AD271">
        <f t="shared" si="44"/>
        <v>0.13313363288400734</v>
      </c>
    </row>
    <row r="272" spans="1:30" x14ac:dyDescent="0.25">
      <c r="A272">
        <v>316</v>
      </c>
      <c r="B272">
        <f>IFERROR(VLOOKUP(A272,Capacity!$A$3:$D$532,4,), "0")</f>
        <v>132.53593781250001</v>
      </c>
      <c r="C272" s="4">
        <f>IFERROR(VLOOKUP(A272,Capacity!$A$3:$F$532,6,), "0")</f>
        <v>0.75</v>
      </c>
      <c r="D272">
        <v>315</v>
      </c>
      <c r="E272">
        <f>IFERROR(VLOOKUP(D272,Capacity!$A$3:$D$532,4,), "0")</f>
        <v>132.53593781250001</v>
      </c>
      <c r="F272" s="4">
        <f>IFERROR(VLOOKUP(D272,Capacity!$A$3:$F$532,6,), "0")</f>
        <v>0.75</v>
      </c>
      <c r="G272">
        <v>255</v>
      </c>
      <c r="H272">
        <f>IFERROR(VLOOKUP(G272,Capacity!$A$3:$D$532,4,), "0")</f>
        <v>26.474200840200002</v>
      </c>
      <c r="I272" s="4">
        <f>IFERROR(VLOOKUP(G272,Capacity!$A$3:$F$532,6,), "0")</f>
        <v>0.26500000000000001</v>
      </c>
      <c r="K272" t="str">
        <f>IFERROR(VLOOKUP(J272,Capacity!$A$3:$D$532,4,), "0")</f>
        <v>0</v>
      </c>
      <c r="L272" s="4" t="str">
        <f>IFERROR(VLOOKUP(J272,Capacity!$A$3:$F$532,6,), "0")</f>
        <v>0</v>
      </c>
      <c r="M272" s="5">
        <f t="shared" si="40"/>
        <v>159.01013865270002</v>
      </c>
      <c r="N272" s="5">
        <f t="shared" si="41"/>
        <v>1.0150000000000001</v>
      </c>
      <c r="O272">
        <v>318</v>
      </c>
      <c r="P272">
        <f>IFERROR(VLOOKUP(O272,Capacity!$A$3:$D$532,4,), "0")</f>
        <v>132.53593781250001</v>
      </c>
      <c r="Q272" s="4">
        <f>IFERROR(VLOOKUP(O272,Capacity!$A$3:$F$532,6,), "0")</f>
        <v>0.75</v>
      </c>
      <c r="R272" s="5">
        <f t="shared" si="45"/>
        <v>132.53593781250001</v>
      </c>
      <c r="S272" s="5">
        <f t="shared" si="46"/>
        <v>0.75</v>
      </c>
      <c r="T272">
        <v>316</v>
      </c>
      <c r="U272">
        <v>2</v>
      </c>
      <c r="V272">
        <v>2</v>
      </c>
      <c r="W272">
        <v>1</v>
      </c>
      <c r="X272">
        <f t="shared" si="42"/>
        <v>1.1997511111111112</v>
      </c>
      <c r="Y272">
        <f t="shared" si="43"/>
        <v>1.1997511111111112</v>
      </c>
      <c r="Z272">
        <f t="shared" si="47"/>
        <v>1.3533333333333335</v>
      </c>
      <c r="AA272">
        <f t="shared" si="48"/>
        <v>1.3533333333333335</v>
      </c>
      <c r="AC272">
        <f t="shared" si="49"/>
        <v>0.59987555555555561</v>
      </c>
      <c r="AD272">
        <f t="shared" si="44"/>
        <v>1.1997511111111112</v>
      </c>
    </row>
    <row r="273" spans="1:30" x14ac:dyDescent="0.25">
      <c r="A273">
        <v>254</v>
      </c>
      <c r="B273">
        <f>IFERROR(VLOOKUP(A273,Capacity!$A$3:$D$532,4,), "0")</f>
        <v>26.474200840200002</v>
      </c>
      <c r="C273" s="4">
        <f>IFERROR(VLOOKUP(A273,Capacity!$A$3:$F$532,6,), "0")</f>
        <v>0.26500000000000001</v>
      </c>
      <c r="E273" t="str">
        <f>IFERROR(VLOOKUP(D273,Capacity!$A$3:$D$532,4,), "0")</f>
        <v>0</v>
      </c>
      <c r="F273" s="4" t="str">
        <f>IFERROR(VLOOKUP(D273,Capacity!$A$3:$F$532,6,), "0")</f>
        <v>0</v>
      </c>
      <c r="H273" t="str">
        <f>IFERROR(VLOOKUP(G273,Capacity!$A$3:$D$532,4,), "0")</f>
        <v>0</v>
      </c>
      <c r="I273" s="4" t="str">
        <f>IFERROR(VLOOKUP(G273,Capacity!$A$3:$F$532,6,), "0")</f>
        <v>0</v>
      </c>
      <c r="K273" t="str">
        <f>IFERROR(VLOOKUP(J273,Capacity!$A$3:$D$532,4,), "0")</f>
        <v>0</v>
      </c>
      <c r="L273" s="4" t="str">
        <f>IFERROR(VLOOKUP(J273,Capacity!$A$3:$F$532,6,), "0")</f>
        <v>0</v>
      </c>
      <c r="M273" s="5">
        <f t="shared" si="40"/>
        <v>0</v>
      </c>
      <c r="N273" s="5">
        <f t="shared" si="41"/>
        <v>0</v>
      </c>
      <c r="O273">
        <v>318</v>
      </c>
      <c r="P273">
        <f>IFERROR(VLOOKUP(O273,Capacity!$A$3:$D$532,4,), "0")</f>
        <v>132.53593781250001</v>
      </c>
      <c r="Q273" s="4">
        <f>IFERROR(VLOOKUP(O273,Capacity!$A$3:$F$532,6,), "0")</f>
        <v>0.75</v>
      </c>
      <c r="R273" s="5">
        <f t="shared" si="45"/>
        <v>132.53593781250001</v>
      </c>
      <c r="S273" s="5">
        <f t="shared" si="46"/>
        <v>0.75</v>
      </c>
      <c r="T273">
        <v>254</v>
      </c>
      <c r="U273">
        <v>0</v>
      </c>
      <c r="V273">
        <v>0</v>
      </c>
      <c r="W273">
        <v>1</v>
      </c>
      <c r="X273">
        <f t="shared" si="42"/>
        <v>0</v>
      </c>
      <c r="Y273">
        <f t="shared" si="43"/>
        <v>0</v>
      </c>
      <c r="Z273">
        <f t="shared" si="47"/>
        <v>0</v>
      </c>
      <c r="AA273">
        <f t="shared" si="48"/>
        <v>0</v>
      </c>
      <c r="AC273">
        <f t="shared" si="49"/>
        <v>0</v>
      </c>
      <c r="AD273">
        <f t="shared" si="44"/>
        <v>0</v>
      </c>
    </row>
    <row r="274" spans="1:30" x14ac:dyDescent="0.25">
      <c r="A274">
        <v>524</v>
      </c>
      <c r="B274">
        <f>IFERROR(VLOOKUP(A274,Capacity!$A$3:$D$532,4,), "0")</f>
        <v>22.128592876249996</v>
      </c>
      <c r="C274" s="4">
        <f>IFERROR(VLOOKUP(A274,Capacity!$A$3:$F$532,6,), "0")</f>
        <v>0.17499999999999999</v>
      </c>
      <c r="E274" t="str">
        <f>IFERROR(VLOOKUP(D274,Capacity!$A$3:$D$532,4,), "0")</f>
        <v>0</v>
      </c>
      <c r="F274" s="4" t="str">
        <f>IFERROR(VLOOKUP(D274,Capacity!$A$3:$F$532,6,), "0")</f>
        <v>0</v>
      </c>
      <c r="H274" t="str">
        <f>IFERROR(VLOOKUP(G274,Capacity!$A$3:$D$532,4,), "0")</f>
        <v>0</v>
      </c>
      <c r="I274" s="4" t="str">
        <f>IFERROR(VLOOKUP(G274,Capacity!$A$3:$F$532,6,), "0")</f>
        <v>0</v>
      </c>
      <c r="K274" t="str">
        <f>IFERROR(VLOOKUP(J274,Capacity!$A$3:$D$532,4,), "0")</f>
        <v>0</v>
      </c>
      <c r="L274" s="4" t="str">
        <f>IFERROR(VLOOKUP(J274,Capacity!$A$3:$F$532,6,), "0")</f>
        <v>0</v>
      </c>
      <c r="M274" s="5">
        <f t="shared" si="40"/>
        <v>0</v>
      </c>
      <c r="N274" s="5">
        <f t="shared" si="41"/>
        <v>0</v>
      </c>
      <c r="O274">
        <v>40</v>
      </c>
      <c r="P274">
        <f>IFERROR(VLOOKUP(O274,Capacity!$A$3:$D$532,4,), "0")</f>
        <v>40.212385280000007</v>
      </c>
      <c r="Q274" s="4">
        <f>IFERROR(VLOOKUP(O274,Capacity!$A$3:$F$532,6,), "0")</f>
        <v>0.4</v>
      </c>
      <c r="R274" s="5">
        <f t="shared" si="45"/>
        <v>40.212385280000007</v>
      </c>
      <c r="S274" s="5">
        <f t="shared" si="46"/>
        <v>0.4</v>
      </c>
      <c r="T274">
        <v>524</v>
      </c>
      <c r="U274">
        <v>0</v>
      </c>
      <c r="V274">
        <v>0</v>
      </c>
      <c r="W274">
        <v>1</v>
      </c>
      <c r="X274">
        <f t="shared" si="42"/>
        <v>0</v>
      </c>
      <c r="Y274">
        <f t="shared" si="43"/>
        <v>0</v>
      </c>
      <c r="Z274">
        <f t="shared" si="47"/>
        <v>0</v>
      </c>
      <c r="AA274">
        <f t="shared" si="48"/>
        <v>0</v>
      </c>
      <c r="AC274">
        <f t="shared" si="49"/>
        <v>0</v>
      </c>
      <c r="AD274">
        <f t="shared" si="44"/>
        <v>0</v>
      </c>
    </row>
    <row r="275" spans="1:30" x14ac:dyDescent="0.25">
      <c r="A275">
        <v>405</v>
      </c>
      <c r="B275">
        <f>IFERROR(VLOOKUP(A275,Capacity!$A$3:$D$532,4,), "0")</f>
        <v>21.647536509374998</v>
      </c>
      <c r="C275" s="4">
        <f>IFERROR(VLOOKUP(A275,Capacity!$A$3:$F$532,6,), "0")</f>
        <v>0.17499999999999999</v>
      </c>
      <c r="E275" t="str">
        <f>IFERROR(VLOOKUP(D275,Capacity!$A$3:$D$532,4,), "0")</f>
        <v>0</v>
      </c>
      <c r="F275" s="4" t="str">
        <f>IFERROR(VLOOKUP(D275,Capacity!$A$3:$F$532,6,), "0")</f>
        <v>0</v>
      </c>
      <c r="H275" t="str">
        <f>IFERROR(VLOOKUP(G275,Capacity!$A$3:$D$532,4,), "0")</f>
        <v>0</v>
      </c>
      <c r="I275" s="4" t="str">
        <f>IFERROR(VLOOKUP(G275,Capacity!$A$3:$F$532,6,), "0")</f>
        <v>0</v>
      </c>
      <c r="K275" t="str">
        <f>IFERROR(VLOOKUP(J275,Capacity!$A$3:$D$532,4,), "0")</f>
        <v>0</v>
      </c>
      <c r="L275" s="4" t="str">
        <f>IFERROR(VLOOKUP(J275,Capacity!$A$3:$F$532,6,), "0")</f>
        <v>0</v>
      </c>
      <c r="M275" s="5">
        <f t="shared" si="40"/>
        <v>0</v>
      </c>
      <c r="N275" s="5">
        <f t="shared" si="41"/>
        <v>0</v>
      </c>
      <c r="O275">
        <v>40</v>
      </c>
      <c r="P275">
        <f>IFERROR(VLOOKUP(O275,Capacity!$A$3:$D$532,4,), "0")</f>
        <v>40.212385280000007</v>
      </c>
      <c r="Q275" s="4">
        <f>IFERROR(VLOOKUP(O275,Capacity!$A$3:$F$532,6,), "0")</f>
        <v>0.4</v>
      </c>
      <c r="R275" s="5">
        <f t="shared" si="45"/>
        <v>40.212385280000007</v>
      </c>
      <c r="S275" s="5">
        <f t="shared" si="46"/>
        <v>0.4</v>
      </c>
      <c r="T275">
        <v>405</v>
      </c>
      <c r="U275">
        <v>0</v>
      </c>
      <c r="V275">
        <v>0</v>
      </c>
      <c r="W275">
        <v>1</v>
      </c>
      <c r="X275">
        <f t="shared" si="42"/>
        <v>0</v>
      </c>
      <c r="Y275">
        <f t="shared" si="43"/>
        <v>0</v>
      </c>
      <c r="Z275">
        <f t="shared" si="47"/>
        <v>0</v>
      </c>
      <c r="AA275">
        <f t="shared" si="48"/>
        <v>0</v>
      </c>
      <c r="AC275">
        <f t="shared" si="49"/>
        <v>0</v>
      </c>
      <c r="AD275">
        <f t="shared" si="44"/>
        <v>0</v>
      </c>
    </row>
    <row r="276" spans="1:30" x14ac:dyDescent="0.25">
      <c r="A276">
        <v>39</v>
      </c>
      <c r="B276">
        <f>IFERROR(VLOOKUP(A276,Capacity!$A$3:$D$532,4,), "0")</f>
        <v>40.212385280000007</v>
      </c>
      <c r="C276" s="4">
        <f>IFERROR(VLOOKUP(A276,Capacity!$A$3:$F$532,6,), "0")</f>
        <v>0.4</v>
      </c>
      <c r="D276">
        <v>403</v>
      </c>
      <c r="E276">
        <f>IFERROR(VLOOKUP(D276,Capacity!$A$3:$D$532,4,), "0")</f>
        <v>21.647536509374998</v>
      </c>
      <c r="F276" s="4">
        <f>IFERROR(VLOOKUP(D276,Capacity!$A$3:$F$532,6,), "0")</f>
        <v>0.17499999999999999</v>
      </c>
      <c r="G276">
        <v>337</v>
      </c>
      <c r="H276">
        <f>IFERROR(VLOOKUP(G276,Capacity!$A$3:$D$532,4,), "0")</f>
        <v>115.61060768000002</v>
      </c>
      <c r="I276" s="4">
        <f>IFERROR(VLOOKUP(G276,Capacity!$A$3:$F$532,6,), "0")</f>
        <v>0.4</v>
      </c>
      <c r="J276">
        <v>38</v>
      </c>
      <c r="K276">
        <f>IFERROR(VLOOKUP(J276,Capacity!$A$3:$D$532,4,), "0")</f>
        <v>17.649467226800002</v>
      </c>
      <c r="L276" s="4">
        <f>IFERROR(VLOOKUP(J276,Capacity!$A$3:$F$532,6,), "0")</f>
        <v>0.26500000000000001</v>
      </c>
      <c r="M276" s="5">
        <f t="shared" si="40"/>
        <v>154.907611416175</v>
      </c>
      <c r="N276" s="5">
        <f t="shared" si="41"/>
        <v>0.84</v>
      </c>
      <c r="O276">
        <v>40</v>
      </c>
      <c r="P276">
        <f>IFERROR(VLOOKUP(O276,Capacity!$A$3:$D$532,4,), "0")</f>
        <v>40.212385280000007</v>
      </c>
      <c r="Q276" s="4">
        <f>IFERROR(VLOOKUP(O276,Capacity!$A$3:$F$532,6,), "0")</f>
        <v>0.4</v>
      </c>
      <c r="R276" s="5">
        <f t="shared" si="45"/>
        <v>40.212385280000007</v>
      </c>
      <c r="S276" s="5">
        <f t="shared" si="46"/>
        <v>0.4</v>
      </c>
      <c r="T276">
        <v>39</v>
      </c>
      <c r="U276">
        <v>3</v>
      </c>
      <c r="V276">
        <v>3</v>
      </c>
      <c r="W276">
        <v>1</v>
      </c>
      <c r="X276">
        <f t="shared" si="42"/>
        <v>3.8522363281249996</v>
      </c>
      <c r="Y276">
        <f t="shared" si="43"/>
        <v>3.8522363281249996</v>
      </c>
      <c r="Z276">
        <f t="shared" si="47"/>
        <v>2.0999999999999996</v>
      </c>
      <c r="AA276">
        <f t="shared" si="48"/>
        <v>2.0999999999999996</v>
      </c>
      <c r="AC276">
        <f t="shared" si="49"/>
        <v>1.9261181640624998</v>
      </c>
      <c r="AD276">
        <f t="shared" si="44"/>
        <v>5.7783544921874999</v>
      </c>
    </row>
    <row r="277" spans="1:30" x14ac:dyDescent="0.25">
      <c r="A277">
        <v>77</v>
      </c>
      <c r="B277">
        <f>IFERROR(VLOOKUP(A277,Capacity!$A$3:$D$532,4,), "0")</f>
        <v>90.477866879999993</v>
      </c>
      <c r="C277" s="4">
        <f>IFERROR(VLOOKUP(A277,Capacity!$A$3:$F$532,6,), "0")</f>
        <v>0.6</v>
      </c>
      <c r="D277">
        <v>76</v>
      </c>
      <c r="E277">
        <f>IFERROR(VLOOKUP(D277,Capacity!$A$3:$D$532,4,), "0")</f>
        <v>90.477866879999993</v>
      </c>
      <c r="F277" s="4">
        <f>IFERROR(VLOOKUP(D277,Capacity!$A$3:$F$532,6,), "0")</f>
        <v>0.6</v>
      </c>
      <c r="H277" t="str">
        <f>IFERROR(VLOOKUP(G277,Capacity!$A$3:$D$532,4,), "0")</f>
        <v>0</v>
      </c>
      <c r="I277" s="4" t="str">
        <f>IFERROR(VLOOKUP(G277,Capacity!$A$3:$F$532,6,), "0")</f>
        <v>0</v>
      </c>
      <c r="K277" t="str">
        <f>IFERROR(VLOOKUP(J277,Capacity!$A$3:$D$532,4,), "0")</f>
        <v>0</v>
      </c>
      <c r="L277" s="4" t="str">
        <f>IFERROR(VLOOKUP(J277,Capacity!$A$3:$F$532,6,), "0")</f>
        <v>0</v>
      </c>
      <c r="M277" s="5">
        <f t="shared" si="40"/>
        <v>90.477866879999993</v>
      </c>
      <c r="N277" s="5">
        <f t="shared" si="41"/>
        <v>0.6</v>
      </c>
      <c r="O277">
        <v>78</v>
      </c>
      <c r="P277">
        <f>IFERROR(VLOOKUP(O277,Capacity!$A$3:$D$532,4,), "0")</f>
        <v>90.477866879999993</v>
      </c>
      <c r="Q277" s="4">
        <f>IFERROR(VLOOKUP(O277,Capacity!$A$3:$F$532,6,), "0")</f>
        <v>0.6</v>
      </c>
      <c r="R277" s="5">
        <f t="shared" si="45"/>
        <v>90.477866879999993</v>
      </c>
      <c r="S277" s="5">
        <f t="shared" si="46"/>
        <v>0.6</v>
      </c>
      <c r="T277">
        <v>77</v>
      </c>
      <c r="U277">
        <v>1</v>
      </c>
      <c r="V277">
        <v>1</v>
      </c>
      <c r="W277">
        <v>1</v>
      </c>
      <c r="X277">
        <f t="shared" si="42"/>
        <v>1</v>
      </c>
      <c r="Y277">
        <f t="shared" si="43"/>
        <v>1</v>
      </c>
      <c r="Z277">
        <f t="shared" si="47"/>
        <v>1</v>
      </c>
      <c r="AA277">
        <f t="shared" si="48"/>
        <v>1</v>
      </c>
      <c r="AC277">
        <f t="shared" si="49"/>
        <v>0.5</v>
      </c>
      <c r="AD277">
        <f t="shared" si="44"/>
        <v>0.5</v>
      </c>
    </row>
    <row r="278" spans="1:30" x14ac:dyDescent="0.25">
      <c r="A278">
        <v>402</v>
      </c>
      <c r="B278">
        <f>IFERROR(VLOOKUP(A278,Capacity!$A$3:$D$532,4,), "0")</f>
        <v>21.166480142499999</v>
      </c>
      <c r="C278" s="4">
        <f>IFERROR(VLOOKUP(A278,Capacity!$A$3:$F$532,6,), "0")</f>
        <v>0.17499999999999999</v>
      </c>
      <c r="E278" t="str">
        <f>IFERROR(VLOOKUP(D278,Capacity!$A$3:$D$532,4,), "0")</f>
        <v>0</v>
      </c>
      <c r="F278" s="4" t="str">
        <f>IFERROR(VLOOKUP(D278,Capacity!$A$3:$F$532,6,), "0")</f>
        <v>0</v>
      </c>
      <c r="H278" t="str">
        <f>IFERROR(VLOOKUP(G278,Capacity!$A$3:$D$532,4,), "0")</f>
        <v>0</v>
      </c>
      <c r="I278" s="4" t="str">
        <f>IFERROR(VLOOKUP(G278,Capacity!$A$3:$F$532,6,), "0")</f>
        <v>0</v>
      </c>
      <c r="K278" t="str">
        <f>IFERROR(VLOOKUP(J278,Capacity!$A$3:$D$532,4,), "0")</f>
        <v>0</v>
      </c>
      <c r="L278" s="4" t="str">
        <f>IFERROR(VLOOKUP(J278,Capacity!$A$3:$F$532,6,), "0")</f>
        <v>0</v>
      </c>
      <c r="M278" s="5">
        <f t="shared" si="40"/>
        <v>0</v>
      </c>
      <c r="N278" s="5">
        <f t="shared" si="41"/>
        <v>0</v>
      </c>
      <c r="O278">
        <v>196</v>
      </c>
      <c r="P278">
        <f>IFERROR(VLOOKUP(O278,Capacity!$A$3:$D$532,4,), "0")</f>
        <v>22.619466719999998</v>
      </c>
      <c r="Q278" s="4">
        <f>IFERROR(VLOOKUP(O278,Capacity!$A$3:$F$532,6,), "0")</f>
        <v>0.3</v>
      </c>
      <c r="R278" s="5">
        <f t="shared" si="45"/>
        <v>22.619466719999998</v>
      </c>
      <c r="S278" s="5">
        <f t="shared" si="46"/>
        <v>0.3</v>
      </c>
      <c r="T278">
        <v>402</v>
      </c>
      <c r="U278">
        <v>0</v>
      </c>
      <c r="V278">
        <v>0</v>
      </c>
      <c r="W278">
        <v>1</v>
      </c>
      <c r="X278">
        <f t="shared" si="42"/>
        <v>0</v>
      </c>
      <c r="Y278">
        <f t="shared" si="43"/>
        <v>0</v>
      </c>
      <c r="Z278">
        <f t="shared" si="47"/>
        <v>0</v>
      </c>
      <c r="AA278">
        <f t="shared" si="48"/>
        <v>0</v>
      </c>
      <c r="AC278">
        <f t="shared" si="49"/>
        <v>0</v>
      </c>
      <c r="AD278">
        <f t="shared" si="44"/>
        <v>0</v>
      </c>
    </row>
    <row r="279" spans="1:30" x14ac:dyDescent="0.25">
      <c r="A279">
        <v>197</v>
      </c>
      <c r="B279">
        <f>IFERROR(VLOOKUP(A279,Capacity!$A$3:$D$532,4,), "0")</f>
        <v>22.619466719999998</v>
      </c>
      <c r="C279" s="4">
        <f>IFERROR(VLOOKUP(A279,Capacity!$A$3:$F$532,6,), "0")</f>
        <v>0.3</v>
      </c>
      <c r="D279">
        <v>400</v>
      </c>
      <c r="E279">
        <f>IFERROR(VLOOKUP(D279,Capacity!$A$3:$D$532,4,), "0")</f>
        <v>21.166480142499999</v>
      </c>
      <c r="F279" s="4">
        <f>IFERROR(VLOOKUP(D279,Capacity!$A$3:$F$532,6,), "0")</f>
        <v>0.17499999999999999</v>
      </c>
      <c r="G279">
        <v>198</v>
      </c>
      <c r="H279">
        <f>IFERROR(VLOOKUP(G279,Capacity!$A$3:$D$532,4,), "0")</f>
        <v>17.649467226800002</v>
      </c>
      <c r="I279" s="4">
        <f>IFERROR(VLOOKUP(G279,Capacity!$A$3:$F$532,6,), "0")</f>
        <v>0.26500000000000001</v>
      </c>
      <c r="K279" t="str">
        <f>IFERROR(VLOOKUP(J279,Capacity!$A$3:$D$532,4,), "0")</f>
        <v>0</v>
      </c>
      <c r="L279" s="4" t="str">
        <f>IFERROR(VLOOKUP(J279,Capacity!$A$3:$F$532,6,), "0")</f>
        <v>0</v>
      </c>
      <c r="M279" s="5">
        <f t="shared" si="40"/>
        <v>38.815947369300005</v>
      </c>
      <c r="N279" s="5">
        <f t="shared" si="41"/>
        <v>0.44</v>
      </c>
      <c r="O279">
        <v>196</v>
      </c>
      <c r="P279">
        <f>IFERROR(VLOOKUP(O279,Capacity!$A$3:$D$532,4,), "0")</f>
        <v>22.619466719999998</v>
      </c>
      <c r="Q279" s="4">
        <f>IFERROR(VLOOKUP(O279,Capacity!$A$3:$F$532,6,), "0")</f>
        <v>0.3</v>
      </c>
      <c r="R279" s="5">
        <f t="shared" si="45"/>
        <v>22.619466719999998</v>
      </c>
      <c r="S279" s="5">
        <f t="shared" si="46"/>
        <v>0.3</v>
      </c>
      <c r="T279">
        <v>197</v>
      </c>
      <c r="U279">
        <v>2</v>
      </c>
      <c r="V279">
        <v>2</v>
      </c>
      <c r="W279">
        <v>1</v>
      </c>
      <c r="X279">
        <f t="shared" si="42"/>
        <v>1.7160416666666671</v>
      </c>
      <c r="Y279">
        <f t="shared" si="43"/>
        <v>1.7160416666666671</v>
      </c>
      <c r="Z279">
        <f t="shared" si="47"/>
        <v>1.4666666666666668</v>
      </c>
      <c r="AA279">
        <f t="shared" si="48"/>
        <v>1.4666666666666668</v>
      </c>
      <c r="AC279">
        <f t="shared" si="49"/>
        <v>0.85802083333333357</v>
      </c>
      <c r="AD279">
        <f t="shared" si="44"/>
        <v>1.7160416666666671</v>
      </c>
    </row>
    <row r="280" spans="1:30" x14ac:dyDescent="0.25">
      <c r="A280">
        <v>465</v>
      </c>
      <c r="B280">
        <f>IFERROR(VLOOKUP(A280,Capacity!$A$3:$D$532,4,), "0")</f>
        <v>353.42916750000001</v>
      </c>
      <c r="C280" s="4">
        <f>IFERROR(VLOOKUP(A280,Capacity!$A$3:$F$532,6,), "0")</f>
        <v>0.75</v>
      </c>
      <c r="E280" t="str">
        <f>IFERROR(VLOOKUP(D280,Capacity!$A$3:$D$532,4,), "0")</f>
        <v>0</v>
      </c>
      <c r="F280" s="4" t="str">
        <f>IFERROR(VLOOKUP(D280,Capacity!$A$3:$F$532,6,), "0")</f>
        <v>0</v>
      </c>
      <c r="H280" t="str">
        <f>IFERROR(VLOOKUP(G280,Capacity!$A$3:$D$532,4,), "0")</f>
        <v>0</v>
      </c>
      <c r="I280" s="4" t="str">
        <f>IFERROR(VLOOKUP(G280,Capacity!$A$3:$F$532,6,), "0")</f>
        <v>0</v>
      </c>
      <c r="K280" t="str">
        <f>IFERROR(VLOOKUP(J280,Capacity!$A$3:$D$532,4,), "0")</f>
        <v>0</v>
      </c>
      <c r="L280" s="4" t="str">
        <f>IFERROR(VLOOKUP(J280,Capacity!$A$3:$F$532,6,), "0")</f>
        <v>0</v>
      </c>
      <c r="M280" s="5">
        <f t="shared" si="40"/>
        <v>0</v>
      </c>
      <c r="N280" s="5">
        <f t="shared" si="41"/>
        <v>0</v>
      </c>
      <c r="O280">
        <v>200</v>
      </c>
      <c r="P280">
        <f>IFERROR(VLOOKUP(O280,Capacity!$A$3:$D$532,4,), "0")</f>
        <v>10.053096320000002</v>
      </c>
      <c r="Q280" s="4">
        <f>IFERROR(VLOOKUP(O280,Capacity!$A$3:$F$532,6,), "0")</f>
        <v>0.2</v>
      </c>
      <c r="R280" s="5">
        <f t="shared" si="45"/>
        <v>10.053096320000002</v>
      </c>
      <c r="S280" s="5">
        <f t="shared" si="46"/>
        <v>0.2</v>
      </c>
      <c r="T280">
        <v>465</v>
      </c>
      <c r="U280">
        <v>0</v>
      </c>
      <c r="V280">
        <v>0</v>
      </c>
      <c r="W280">
        <v>1</v>
      </c>
      <c r="X280">
        <f t="shared" si="42"/>
        <v>0</v>
      </c>
      <c r="Y280">
        <f t="shared" si="43"/>
        <v>0</v>
      </c>
      <c r="Z280">
        <f t="shared" si="47"/>
        <v>0</v>
      </c>
      <c r="AA280">
        <f t="shared" si="48"/>
        <v>0</v>
      </c>
      <c r="AC280">
        <f t="shared" si="49"/>
        <v>0</v>
      </c>
      <c r="AD280">
        <f t="shared" si="44"/>
        <v>0</v>
      </c>
    </row>
    <row r="281" spans="1:30" x14ac:dyDescent="0.25">
      <c r="A281">
        <v>468</v>
      </c>
      <c r="B281">
        <f>IFERROR(VLOOKUP(A281,Capacity!$A$3:$D$532,4,), "0")</f>
        <v>8.1779582368749981</v>
      </c>
      <c r="C281" s="4">
        <f>IFERROR(VLOOKUP(A281,Capacity!$A$3:$F$532,6,), "0")</f>
        <v>0.17499999999999999</v>
      </c>
      <c r="E281" t="str">
        <f>IFERROR(VLOOKUP(D281,Capacity!$A$3:$D$532,4,), "0")</f>
        <v>0</v>
      </c>
      <c r="F281" s="4" t="str">
        <f>IFERROR(VLOOKUP(D281,Capacity!$A$3:$F$532,6,), "0")</f>
        <v>0</v>
      </c>
      <c r="H281" t="str">
        <f>IFERROR(VLOOKUP(G281,Capacity!$A$3:$D$532,4,), "0")</f>
        <v>0</v>
      </c>
      <c r="I281" s="4" t="str">
        <f>IFERROR(VLOOKUP(G281,Capacity!$A$3:$F$532,6,), "0")</f>
        <v>0</v>
      </c>
      <c r="K281" t="str">
        <f>IFERROR(VLOOKUP(J281,Capacity!$A$3:$D$532,4,), "0")</f>
        <v>0</v>
      </c>
      <c r="L281" s="4" t="str">
        <f>IFERROR(VLOOKUP(J281,Capacity!$A$3:$F$532,6,), "0")</f>
        <v>0</v>
      </c>
      <c r="M281" s="5">
        <f t="shared" si="40"/>
        <v>0</v>
      </c>
      <c r="N281" s="5">
        <f t="shared" si="41"/>
        <v>0</v>
      </c>
      <c r="O281">
        <v>203</v>
      </c>
      <c r="P281">
        <f>IFERROR(VLOOKUP(O281,Capacity!$A$3:$D$532,4,), "0")</f>
        <v>75.398222400000023</v>
      </c>
      <c r="Q281" s="4">
        <f>IFERROR(VLOOKUP(O281,Capacity!$A$3:$F$532,6,), "0")</f>
        <v>0.4</v>
      </c>
      <c r="R281" s="5">
        <f t="shared" si="45"/>
        <v>75.398222400000023</v>
      </c>
      <c r="S281" s="5">
        <f t="shared" si="46"/>
        <v>0.4</v>
      </c>
      <c r="T281">
        <v>468</v>
      </c>
      <c r="U281">
        <v>0</v>
      </c>
      <c r="V281">
        <v>0</v>
      </c>
      <c r="W281">
        <v>1</v>
      </c>
      <c r="X281">
        <f t="shared" si="42"/>
        <v>0</v>
      </c>
      <c r="Y281">
        <f t="shared" si="43"/>
        <v>0</v>
      </c>
      <c r="Z281">
        <f t="shared" si="47"/>
        <v>0</v>
      </c>
      <c r="AA281">
        <f t="shared" si="48"/>
        <v>0</v>
      </c>
      <c r="AC281">
        <f t="shared" si="49"/>
        <v>0</v>
      </c>
      <c r="AD281">
        <f t="shared" si="44"/>
        <v>0</v>
      </c>
    </row>
    <row r="282" spans="1:30" x14ac:dyDescent="0.25">
      <c r="A282">
        <v>466</v>
      </c>
      <c r="B282">
        <f>IFERROR(VLOOKUP(A282,Capacity!$A$3:$D$532,4,), "0")</f>
        <v>22.128592876249996</v>
      </c>
      <c r="C282" s="4">
        <f>IFERROR(VLOOKUP(A282,Capacity!$A$3:$F$532,6,), "0")</f>
        <v>0.17499999999999999</v>
      </c>
      <c r="E282" t="str">
        <f>IFERROR(VLOOKUP(D282,Capacity!$A$3:$D$532,4,), "0")</f>
        <v>0</v>
      </c>
      <c r="F282" s="4" t="str">
        <f>IFERROR(VLOOKUP(D282,Capacity!$A$3:$F$532,6,), "0")</f>
        <v>0</v>
      </c>
      <c r="H282" t="str">
        <f>IFERROR(VLOOKUP(G282,Capacity!$A$3:$D$532,4,), "0")</f>
        <v>0</v>
      </c>
      <c r="I282" s="4" t="str">
        <f>IFERROR(VLOOKUP(G282,Capacity!$A$3:$F$532,6,), "0")</f>
        <v>0</v>
      </c>
      <c r="K282" t="str">
        <f>IFERROR(VLOOKUP(J282,Capacity!$A$3:$D$532,4,), "0")</f>
        <v>0</v>
      </c>
      <c r="L282" s="4" t="str">
        <f>IFERROR(VLOOKUP(J282,Capacity!$A$3:$F$532,6,), "0")</f>
        <v>0</v>
      </c>
      <c r="M282" s="5">
        <f t="shared" si="40"/>
        <v>0</v>
      </c>
      <c r="N282" s="5">
        <f t="shared" si="41"/>
        <v>0</v>
      </c>
      <c r="O282">
        <v>203</v>
      </c>
      <c r="P282">
        <f>IFERROR(VLOOKUP(O282,Capacity!$A$3:$D$532,4,), "0")</f>
        <v>75.398222400000023</v>
      </c>
      <c r="Q282" s="4">
        <f>IFERROR(VLOOKUP(O282,Capacity!$A$3:$F$532,6,), "0")</f>
        <v>0.4</v>
      </c>
      <c r="R282" s="5">
        <f t="shared" si="45"/>
        <v>75.398222400000023</v>
      </c>
      <c r="S282" s="5">
        <f t="shared" si="46"/>
        <v>0.4</v>
      </c>
      <c r="T282">
        <v>466</v>
      </c>
      <c r="U282">
        <v>0</v>
      </c>
      <c r="V282">
        <v>0</v>
      </c>
      <c r="W282">
        <v>1</v>
      </c>
      <c r="X282">
        <f t="shared" si="42"/>
        <v>0</v>
      </c>
      <c r="Y282">
        <f t="shared" si="43"/>
        <v>0</v>
      </c>
      <c r="Z282">
        <f t="shared" si="47"/>
        <v>0</v>
      </c>
      <c r="AA282">
        <f t="shared" si="48"/>
        <v>0</v>
      </c>
      <c r="AC282">
        <f t="shared" si="49"/>
        <v>0</v>
      </c>
      <c r="AD282">
        <f t="shared" si="44"/>
        <v>0</v>
      </c>
    </row>
    <row r="283" spans="1:30" x14ac:dyDescent="0.25">
      <c r="A283">
        <v>219</v>
      </c>
      <c r="B283">
        <f>IFERROR(VLOOKUP(A283,Capacity!$A$3:$D$532,4,), "0")</f>
        <v>50.265481600000015</v>
      </c>
      <c r="C283" s="4">
        <f>IFERROR(VLOOKUP(A283,Capacity!$A$3:$F$532,6,), "0")</f>
        <v>0.4</v>
      </c>
      <c r="D283">
        <v>476</v>
      </c>
      <c r="E283">
        <f>IFERROR(VLOOKUP(D283,Capacity!$A$3:$D$532,4,), "0")</f>
        <v>19.242254674999998</v>
      </c>
      <c r="F283" s="4">
        <f>IFERROR(VLOOKUP(D283,Capacity!$A$3:$F$532,6,), "0")</f>
        <v>0.17499999999999999</v>
      </c>
      <c r="G283">
        <v>220</v>
      </c>
      <c r="H283">
        <f>IFERROR(VLOOKUP(G283,Capacity!$A$3:$D$532,4,), "0")</f>
        <v>52.778755680000017</v>
      </c>
      <c r="I283" s="4">
        <f>IFERROR(VLOOKUP(G283,Capacity!$A$3:$F$532,6,), "0")</f>
        <v>0.4</v>
      </c>
      <c r="K283" t="str">
        <f>IFERROR(VLOOKUP(J283,Capacity!$A$3:$D$532,4,), "0")</f>
        <v>0</v>
      </c>
      <c r="L283" s="4" t="str">
        <f>IFERROR(VLOOKUP(J283,Capacity!$A$3:$F$532,6,), "0")</f>
        <v>0</v>
      </c>
      <c r="M283" s="5">
        <f t="shared" si="40"/>
        <v>72.021010355000016</v>
      </c>
      <c r="N283" s="5">
        <f t="shared" si="41"/>
        <v>0.57499999999999996</v>
      </c>
      <c r="O283">
        <v>203</v>
      </c>
      <c r="P283">
        <f>IFERROR(VLOOKUP(O283,Capacity!$A$3:$D$532,4,), "0")</f>
        <v>75.398222400000023</v>
      </c>
      <c r="Q283" s="4">
        <f>IFERROR(VLOOKUP(O283,Capacity!$A$3:$F$532,6,), "0")</f>
        <v>0.4</v>
      </c>
      <c r="R283" s="5">
        <f t="shared" si="45"/>
        <v>75.398222400000023</v>
      </c>
      <c r="S283" s="5">
        <f t="shared" si="46"/>
        <v>0.4</v>
      </c>
      <c r="T283">
        <v>219</v>
      </c>
      <c r="U283">
        <v>2</v>
      </c>
      <c r="V283">
        <v>2</v>
      </c>
      <c r="W283">
        <v>1</v>
      </c>
      <c r="X283">
        <f t="shared" si="42"/>
        <v>0.95520833333333321</v>
      </c>
      <c r="Y283">
        <f t="shared" si="43"/>
        <v>1.4328124999999998</v>
      </c>
      <c r="Z283">
        <f t="shared" si="47"/>
        <v>1.4374999999999998</v>
      </c>
      <c r="AA283">
        <f t="shared" si="48"/>
        <v>1.4374999999999998</v>
      </c>
      <c r="AC283">
        <f t="shared" si="49"/>
        <v>0.573125</v>
      </c>
      <c r="AD283">
        <f t="shared" si="44"/>
        <v>1.14625</v>
      </c>
    </row>
    <row r="284" spans="1:30" x14ac:dyDescent="0.25">
      <c r="A284">
        <v>218</v>
      </c>
      <c r="B284">
        <f>IFERROR(VLOOKUP(A284,Capacity!$A$3:$D$532,4,), "0")</f>
        <v>9.621127337499999</v>
      </c>
      <c r="C284" s="4">
        <f>IFERROR(VLOOKUP(A284,Capacity!$A$3:$F$532,6,), "0")</f>
        <v>0.17499999999999999</v>
      </c>
      <c r="E284" t="str">
        <f>IFERROR(VLOOKUP(D284,Capacity!$A$3:$D$532,4,), "0")</f>
        <v>0</v>
      </c>
      <c r="F284" s="4" t="str">
        <f>IFERROR(VLOOKUP(D284,Capacity!$A$3:$F$532,6,), "0")</f>
        <v>0</v>
      </c>
      <c r="H284" t="str">
        <f>IFERROR(VLOOKUP(G284,Capacity!$A$3:$D$532,4,), "0")</f>
        <v>0</v>
      </c>
      <c r="I284" s="4" t="str">
        <f>IFERROR(VLOOKUP(G284,Capacity!$A$3:$F$532,6,), "0")</f>
        <v>0</v>
      </c>
      <c r="K284" t="str">
        <f>IFERROR(VLOOKUP(J284,Capacity!$A$3:$D$532,4,), "0")</f>
        <v>0</v>
      </c>
      <c r="L284" s="4" t="str">
        <f>IFERROR(VLOOKUP(J284,Capacity!$A$3:$F$532,6,), "0")</f>
        <v>0</v>
      </c>
      <c r="M284" s="5">
        <f t="shared" si="40"/>
        <v>0</v>
      </c>
      <c r="N284" s="5">
        <f t="shared" si="41"/>
        <v>0</v>
      </c>
      <c r="O284">
        <v>211</v>
      </c>
      <c r="P284">
        <f>IFERROR(VLOOKUP(O284,Capacity!$A$3:$D$532,4,), "0")</f>
        <v>4.8105636687499995</v>
      </c>
      <c r="Q284" s="4">
        <f>IFERROR(VLOOKUP(O284,Capacity!$A$3:$F$532,6,), "0")</f>
        <v>0.17499999999999999</v>
      </c>
      <c r="R284" s="5">
        <f t="shared" si="45"/>
        <v>4.8105636687499995</v>
      </c>
      <c r="S284" s="5">
        <f t="shared" si="46"/>
        <v>0.17499999999999999</v>
      </c>
      <c r="T284">
        <v>218</v>
      </c>
      <c r="U284">
        <v>0</v>
      </c>
      <c r="V284">
        <v>0</v>
      </c>
      <c r="W284">
        <v>1</v>
      </c>
      <c r="X284">
        <f t="shared" si="42"/>
        <v>0</v>
      </c>
      <c r="Y284">
        <f t="shared" si="43"/>
        <v>0</v>
      </c>
      <c r="Z284">
        <f t="shared" si="47"/>
        <v>0</v>
      </c>
      <c r="AA284">
        <f t="shared" si="48"/>
        <v>0</v>
      </c>
      <c r="AC284">
        <f t="shared" si="49"/>
        <v>0</v>
      </c>
      <c r="AD284">
        <f t="shared" si="44"/>
        <v>0</v>
      </c>
    </row>
    <row r="285" spans="1:30" x14ac:dyDescent="0.25">
      <c r="A285">
        <v>274</v>
      </c>
      <c r="B285">
        <f>IFERROR(VLOOKUP(A285,Capacity!$A$3:$D$532,4,), "0")</f>
        <v>4.8105636687499995</v>
      </c>
      <c r="C285" s="4">
        <f>IFERROR(VLOOKUP(A285,Capacity!$A$3:$F$532,6,), "0")</f>
        <v>0.17499999999999999</v>
      </c>
      <c r="E285" t="str">
        <f>IFERROR(VLOOKUP(D285,Capacity!$A$3:$D$532,4,), "0")</f>
        <v>0</v>
      </c>
      <c r="F285" s="4" t="str">
        <f>IFERROR(VLOOKUP(D285,Capacity!$A$3:$F$532,6,), "0")</f>
        <v>0</v>
      </c>
      <c r="H285" t="str">
        <f>IFERROR(VLOOKUP(G285,Capacity!$A$3:$D$532,4,), "0")</f>
        <v>0</v>
      </c>
      <c r="I285" s="4" t="str">
        <f>IFERROR(VLOOKUP(G285,Capacity!$A$3:$F$532,6,), "0")</f>
        <v>0</v>
      </c>
      <c r="K285" t="str">
        <f>IFERROR(VLOOKUP(J285,Capacity!$A$3:$D$532,4,), "0")</f>
        <v>0</v>
      </c>
      <c r="L285" s="4" t="str">
        <f>IFERROR(VLOOKUP(J285,Capacity!$A$3:$F$532,6,), "0")</f>
        <v>0</v>
      </c>
      <c r="M285" s="5">
        <f t="shared" si="40"/>
        <v>0</v>
      </c>
      <c r="N285" s="5">
        <f t="shared" si="41"/>
        <v>0</v>
      </c>
      <c r="O285">
        <v>231</v>
      </c>
      <c r="P285">
        <f>IFERROR(VLOOKUP(O285,Capacity!$A$3:$D$532,4,), "0")</f>
        <v>16.355916473749996</v>
      </c>
      <c r="Q285" s="4">
        <f>IFERROR(VLOOKUP(O285,Capacity!$A$3:$F$532,6,), "0")</f>
        <v>0.17499999999999999</v>
      </c>
      <c r="R285" s="5">
        <f t="shared" si="45"/>
        <v>16.355916473749996</v>
      </c>
      <c r="S285" s="5">
        <f t="shared" si="46"/>
        <v>0.17499999999999999</v>
      </c>
      <c r="T285">
        <v>274</v>
      </c>
      <c r="U285">
        <v>0</v>
      </c>
      <c r="V285">
        <v>0</v>
      </c>
      <c r="W285">
        <v>1</v>
      </c>
      <c r="X285">
        <f t="shared" si="42"/>
        <v>0</v>
      </c>
      <c r="Y285">
        <f t="shared" si="43"/>
        <v>0</v>
      </c>
      <c r="Z285">
        <f t="shared" si="47"/>
        <v>0</v>
      </c>
      <c r="AA285">
        <f t="shared" si="48"/>
        <v>0</v>
      </c>
      <c r="AC285">
        <f t="shared" si="49"/>
        <v>0</v>
      </c>
      <c r="AD285">
        <f t="shared" si="44"/>
        <v>0</v>
      </c>
    </row>
    <row r="286" spans="1:30" x14ac:dyDescent="0.25">
      <c r="A286">
        <v>230</v>
      </c>
      <c r="B286">
        <f>IFERROR(VLOOKUP(A286,Capacity!$A$3:$D$532,4,), "0")</f>
        <v>26.939156544999996</v>
      </c>
      <c r="C286" s="4">
        <f>IFERROR(VLOOKUP(A286,Capacity!$A$3:$F$532,6,), "0")</f>
        <v>0.17499999999999999</v>
      </c>
      <c r="E286" t="str">
        <f>IFERROR(VLOOKUP(D286,Capacity!$A$3:$D$532,4,), "0")</f>
        <v>0</v>
      </c>
      <c r="F286" s="4" t="str">
        <f>IFERROR(VLOOKUP(D286,Capacity!$A$3:$F$532,6,), "0")</f>
        <v>0</v>
      </c>
      <c r="H286" t="str">
        <f>IFERROR(VLOOKUP(G286,Capacity!$A$3:$D$532,4,), "0")</f>
        <v>0</v>
      </c>
      <c r="I286" s="4" t="str">
        <f>IFERROR(VLOOKUP(G286,Capacity!$A$3:$F$532,6,), "0")</f>
        <v>0</v>
      </c>
      <c r="K286" t="str">
        <f>IFERROR(VLOOKUP(J286,Capacity!$A$3:$D$532,4,), "0")</f>
        <v>0</v>
      </c>
      <c r="L286" s="4" t="str">
        <f>IFERROR(VLOOKUP(J286,Capacity!$A$3:$F$532,6,), "0")</f>
        <v>0</v>
      </c>
      <c r="M286" s="5">
        <f t="shared" si="40"/>
        <v>0</v>
      </c>
      <c r="N286" s="5">
        <f t="shared" si="41"/>
        <v>0</v>
      </c>
      <c r="O286">
        <v>231</v>
      </c>
      <c r="P286">
        <f>IFERROR(VLOOKUP(O286,Capacity!$A$3:$D$532,4,), "0")</f>
        <v>16.355916473749996</v>
      </c>
      <c r="Q286" s="4">
        <f>IFERROR(VLOOKUP(O286,Capacity!$A$3:$F$532,6,), "0")</f>
        <v>0.17499999999999999</v>
      </c>
      <c r="R286" s="5">
        <f t="shared" si="45"/>
        <v>16.355916473749996</v>
      </c>
      <c r="S286" s="5">
        <f t="shared" si="46"/>
        <v>0.17499999999999999</v>
      </c>
      <c r="T286">
        <v>230</v>
      </c>
      <c r="U286">
        <v>0</v>
      </c>
      <c r="V286">
        <v>0</v>
      </c>
      <c r="W286">
        <v>1</v>
      </c>
      <c r="X286">
        <f t="shared" si="42"/>
        <v>0</v>
      </c>
      <c r="Y286">
        <f t="shared" si="43"/>
        <v>0</v>
      </c>
      <c r="Z286">
        <f t="shared" si="47"/>
        <v>0</v>
      </c>
      <c r="AA286">
        <f t="shared" si="48"/>
        <v>0</v>
      </c>
      <c r="AC286">
        <f t="shared" si="49"/>
        <v>0</v>
      </c>
      <c r="AD286">
        <f t="shared" si="44"/>
        <v>0</v>
      </c>
    </row>
    <row r="287" spans="1:30" x14ac:dyDescent="0.25">
      <c r="A287">
        <v>430</v>
      </c>
      <c r="B287">
        <f>IFERROR(VLOOKUP(A287,Capacity!$A$3:$D$532,4,), "0")</f>
        <v>20.204367408749999</v>
      </c>
      <c r="C287" s="4">
        <f>IFERROR(VLOOKUP(A287,Capacity!$A$3:$F$532,6,), "0")</f>
        <v>0.17499999999999999</v>
      </c>
      <c r="E287" t="str">
        <f>IFERROR(VLOOKUP(D287,Capacity!$A$3:$D$532,4,), "0")</f>
        <v>0</v>
      </c>
      <c r="F287" s="4" t="str">
        <f>IFERROR(VLOOKUP(D287,Capacity!$A$3:$F$532,6,), "0")</f>
        <v>0</v>
      </c>
      <c r="H287" t="str">
        <f>IFERROR(VLOOKUP(G287,Capacity!$A$3:$D$532,4,), "0")</f>
        <v>0</v>
      </c>
      <c r="I287" s="4" t="str">
        <f>IFERROR(VLOOKUP(G287,Capacity!$A$3:$F$532,6,), "0")</f>
        <v>0</v>
      </c>
      <c r="K287" t="str">
        <f>IFERROR(VLOOKUP(J287,Capacity!$A$3:$D$532,4,), "0")</f>
        <v>0</v>
      </c>
      <c r="L287" s="4" t="str">
        <f>IFERROR(VLOOKUP(J287,Capacity!$A$3:$F$532,6,), "0")</f>
        <v>0</v>
      </c>
      <c r="M287" s="5">
        <f t="shared" si="40"/>
        <v>0</v>
      </c>
      <c r="N287" s="5">
        <f t="shared" si="41"/>
        <v>0</v>
      </c>
      <c r="O287">
        <v>105</v>
      </c>
      <c r="P287">
        <f>IFERROR(VLOOKUP(O287,Capacity!$A$3:$D$532,4,), "0")</f>
        <v>30.787607479999995</v>
      </c>
      <c r="Q287" s="4">
        <f>IFERROR(VLOOKUP(O287,Capacity!$A$3:$F$532,6,), "0")</f>
        <v>0.17499999999999999</v>
      </c>
      <c r="R287" s="5">
        <f t="shared" si="45"/>
        <v>30.787607479999995</v>
      </c>
      <c r="S287" s="5">
        <f t="shared" si="46"/>
        <v>0.17499999999999999</v>
      </c>
      <c r="T287">
        <v>430</v>
      </c>
      <c r="U287">
        <v>0</v>
      </c>
      <c r="V287">
        <v>0</v>
      </c>
      <c r="W287">
        <v>1</v>
      </c>
      <c r="X287">
        <f t="shared" si="42"/>
        <v>0</v>
      </c>
      <c r="Y287">
        <f t="shared" si="43"/>
        <v>0</v>
      </c>
      <c r="Z287">
        <f t="shared" si="47"/>
        <v>0</v>
      </c>
      <c r="AA287">
        <f t="shared" si="48"/>
        <v>0</v>
      </c>
      <c r="AC287">
        <f t="shared" si="49"/>
        <v>0</v>
      </c>
      <c r="AD287">
        <f t="shared" si="44"/>
        <v>0</v>
      </c>
    </row>
    <row r="288" spans="1:30" x14ac:dyDescent="0.25">
      <c r="A288">
        <v>104</v>
      </c>
      <c r="B288">
        <f>IFERROR(VLOOKUP(A288,Capacity!$A$3:$D$532,4,), "0")</f>
        <v>19.242254674999998</v>
      </c>
      <c r="C288" s="4">
        <f>IFERROR(VLOOKUP(A288,Capacity!$A$3:$F$532,6,), "0")</f>
        <v>0.17499999999999999</v>
      </c>
      <c r="D288">
        <v>385</v>
      </c>
      <c r="E288">
        <f>IFERROR(VLOOKUP(D288,Capacity!$A$3:$D$532,4,), "0")</f>
        <v>15.393803739999997</v>
      </c>
      <c r="F288" s="4">
        <f>IFERROR(VLOOKUP(D288,Capacity!$A$3:$F$532,6,), "0")</f>
        <v>0.17499999999999999</v>
      </c>
      <c r="G288">
        <v>279</v>
      </c>
      <c r="H288">
        <f>IFERROR(VLOOKUP(G288,Capacity!$A$3:$D$532,4,), "0")</f>
        <v>5.7726764024999992</v>
      </c>
      <c r="I288" s="4">
        <f>IFERROR(VLOOKUP(G288,Capacity!$A$3:$F$532,6,), "0")</f>
        <v>0.17499999999999999</v>
      </c>
      <c r="K288" t="str">
        <f>IFERROR(VLOOKUP(J288,Capacity!$A$3:$D$532,4,), "0")</f>
        <v>0</v>
      </c>
      <c r="L288" s="4" t="str">
        <f>IFERROR(VLOOKUP(J288,Capacity!$A$3:$F$532,6,), "0")</f>
        <v>0</v>
      </c>
      <c r="M288" s="5">
        <f t="shared" si="40"/>
        <v>21.166480142499996</v>
      </c>
      <c r="N288" s="5">
        <f t="shared" si="41"/>
        <v>0.35</v>
      </c>
      <c r="O288">
        <v>105</v>
      </c>
      <c r="P288">
        <f>IFERROR(VLOOKUP(O288,Capacity!$A$3:$D$532,4,), "0")</f>
        <v>30.787607479999995</v>
      </c>
      <c r="Q288" s="4">
        <f>IFERROR(VLOOKUP(O288,Capacity!$A$3:$F$532,6,), "0")</f>
        <v>0.17499999999999999</v>
      </c>
      <c r="R288" s="5">
        <f t="shared" si="45"/>
        <v>30.787607479999995</v>
      </c>
      <c r="S288" s="5">
        <f t="shared" si="46"/>
        <v>0.17499999999999999</v>
      </c>
      <c r="T288">
        <v>104</v>
      </c>
      <c r="U288">
        <v>2</v>
      </c>
      <c r="V288">
        <v>2</v>
      </c>
      <c r="W288">
        <v>1</v>
      </c>
      <c r="X288">
        <f t="shared" si="42"/>
        <v>0.6875</v>
      </c>
      <c r="Y288">
        <f t="shared" si="43"/>
        <v>1.0999999999999999</v>
      </c>
      <c r="Z288">
        <f t="shared" si="47"/>
        <v>2</v>
      </c>
      <c r="AA288">
        <f t="shared" si="48"/>
        <v>2</v>
      </c>
      <c r="AC288">
        <f t="shared" si="49"/>
        <v>0.42307692307692307</v>
      </c>
      <c r="AD288">
        <f t="shared" si="44"/>
        <v>0.84615384615384615</v>
      </c>
    </row>
    <row r="289" spans="1:30" x14ac:dyDescent="0.25">
      <c r="A289">
        <v>429</v>
      </c>
      <c r="B289">
        <f>IFERROR(VLOOKUP(A289,Capacity!$A$3:$D$532,4,), "0")</f>
        <v>15.393803739999997</v>
      </c>
      <c r="C289" s="4">
        <f>IFERROR(VLOOKUP(A289,Capacity!$A$3:$F$532,6,), "0")</f>
        <v>0.17499999999999999</v>
      </c>
      <c r="E289" t="str">
        <f>IFERROR(VLOOKUP(D289,Capacity!$A$3:$D$532,4,), "0")</f>
        <v>0</v>
      </c>
      <c r="F289" s="4" t="str">
        <f>IFERROR(VLOOKUP(D289,Capacity!$A$3:$F$532,6,), "0")</f>
        <v>0</v>
      </c>
      <c r="H289" t="str">
        <f>IFERROR(VLOOKUP(G289,Capacity!$A$3:$D$532,4,), "0")</f>
        <v>0</v>
      </c>
      <c r="I289" s="4" t="str">
        <f>IFERROR(VLOOKUP(G289,Capacity!$A$3:$F$532,6,), "0")</f>
        <v>0</v>
      </c>
      <c r="K289" t="str">
        <f>IFERROR(VLOOKUP(J289,Capacity!$A$3:$D$532,4,), "0")</f>
        <v>0</v>
      </c>
      <c r="L289" s="4" t="str">
        <f>IFERROR(VLOOKUP(J289,Capacity!$A$3:$F$532,6,), "0")</f>
        <v>0</v>
      </c>
      <c r="M289" s="5">
        <f t="shared" si="40"/>
        <v>0</v>
      </c>
      <c r="N289" s="5">
        <f t="shared" si="41"/>
        <v>0</v>
      </c>
      <c r="O289">
        <v>108</v>
      </c>
      <c r="P289">
        <f>IFERROR(VLOOKUP(O289,Capacity!$A$3:$D$532,4,), "0")</f>
        <v>15.393803739999997</v>
      </c>
      <c r="Q289" s="4">
        <f>IFERROR(VLOOKUP(O289,Capacity!$A$3:$F$532,6,), "0")</f>
        <v>0.17499999999999999</v>
      </c>
      <c r="R289" s="5">
        <f t="shared" si="45"/>
        <v>15.393803739999997</v>
      </c>
      <c r="S289" s="5">
        <f t="shared" si="46"/>
        <v>0.17499999999999999</v>
      </c>
      <c r="T289">
        <v>429</v>
      </c>
      <c r="U289">
        <v>0</v>
      </c>
      <c r="V289">
        <v>0</v>
      </c>
      <c r="W289">
        <v>1</v>
      </c>
      <c r="X289">
        <f t="shared" si="42"/>
        <v>0</v>
      </c>
      <c r="Y289">
        <f t="shared" si="43"/>
        <v>0</v>
      </c>
      <c r="Z289">
        <f t="shared" si="47"/>
        <v>0</v>
      </c>
      <c r="AA289">
        <f t="shared" si="48"/>
        <v>0</v>
      </c>
      <c r="AC289">
        <f t="shared" si="49"/>
        <v>0</v>
      </c>
      <c r="AD289">
        <f t="shared" si="44"/>
        <v>0</v>
      </c>
    </row>
    <row r="290" spans="1:30" x14ac:dyDescent="0.25">
      <c r="A290">
        <v>352</v>
      </c>
      <c r="B290">
        <f>IFERROR(VLOOKUP(A290,Capacity!$A$3:$D$532,4,), "0")</f>
        <v>7.2158455031249993</v>
      </c>
      <c r="C290" s="4">
        <f>IFERROR(VLOOKUP(A290,Capacity!$A$3:$F$532,6,), "0")</f>
        <v>0.17499999999999999</v>
      </c>
      <c r="E290" t="str">
        <f>IFERROR(VLOOKUP(D290,Capacity!$A$3:$D$532,4,), "0")</f>
        <v>0</v>
      </c>
      <c r="F290" s="4" t="str">
        <f>IFERROR(VLOOKUP(D290,Capacity!$A$3:$F$532,6,), "0")</f>
        <v>0</v>
      </c>
      <c r="H290" t="str">
        <f>IFERROR(VLOOKUP(G290,Capacity!$A$3:$D$532,4,), "0")</f>
        <v>0</v>
      </c>
      <c r="I290" s="4" t="str">
        <f>IFERROR(VLOOKUP(G290,Capacity!$A$3:$F$532,6,), "0")</f>
        <v>0</v>
      </c>
      <c r="K290" t="str">
        <f>IFERROR(VLOOKUP(J290,Capacity!$A$3:$D$532,4,), "0")</f>
        <v>0</v>
      </c>
      <c r="L290" s="4" t="str">
        <f>IFERROR(VLOOKUP(J290,Capacity!$A$3:$F$532,6,), "0")</f>
        <v>0</v>
      </c>
      <c r="M290" s="5">
        <f t="shared" si="40"/>
        <v>0</v>
      </c>
      <c r="N290" s="5">
        <f t="shared" si="41"/>
        <v>0</v>
      </c>
      <c r="O290">
        <v>7</v>
      </c>
      <c r="P290">
        <f>IFERROR(VLOOKUP(O290,Capacity!$A$3:$D$532,4,), "0")</f>
        <v>20.106192640000003</v>
      </c>
      <c r="Q290" s="4">
        <f>IFERROR(VLOOKUP(O290,Capacity!$A$3:$F$532,6,), "0")</f>
        <v>0.2</v>
      </c>
      <c r="R290" s="5">
        <f t="shared" si="45"/>
        <v>20.106192640000003</v>
      </c>
      <c r="S290" s="5">
        <f t="shared" si="46"/>
        <v>0.2</v>
      </c>
      <c r="T290">
        <v>352</v>
      </c>
      <c r="U290">
        <v>0</v>
      </c>
      <c r="V290">
        <v>0</v>
      </c>
      <c r="W290">
        <v>1</v>
      </c>
      <c r="X290">
        <f t="shared" si="42"/>
        <v>0</v>
      </c>
      <c r="Y290">
        <f t="shared" si="43"/>
        <v>0</v>
      </c>
      <c r="Z290">
        <f t="shared" si="47"/>
        <v>0</v>
      </c>
      <c r="AA290">
        <f t="shared" si="48"/>
        <v>0</v>
      </c>
      <c r="AC290">
        <f t="shared" si="49"/>
        <v>0</v>
      </c>
      <c r="AD290">
        <f t="shared" si="44"/>
        <v>0</v>
      </c>
    </row>
    <row r="291" spans="1:30" x14ac:dyDescent="0.25">
      <c r="A291">
        <v>241</v>
      </c>
      <c r="B291">
        <f>IFERROR(VLOOKUP(A291,Capacity!$A$3:$D$532,4,), "0")</f>
        <v>15.079644480000002</v>
      </c>
      <c r="C291" s="4">
        <f>IFERROR(VLOOKUP(A291,Capacity!$A$3:$F$532,6,), "0")</f>
        <v>0.2</v>
      </c>
      <c r="E291" t="str">
        <f>IFERROR(VLOOKUP(D291,Capacity!$A$3:$D$532,4,), "0")</f>
        <v>0</v>
      </c>
      <c r="F291" s="4" t="str">
        <f>IFERROR(VLOOKUP(D291,Capacity!$A$3:$F$532,6,), "0")</f>
        <v>0</v>
      </c>
      <c r="H291" t="str">
        <f>IFERROR(VLOOKUP(G291,Capacity!$A$3:$D$532,4,), "0")</f>
        <v>0</v>
      </c>
      <c r="I291" s="4" t="str">
        <f>IFERROR(VLOOKUP(G291,Capacity!$A$3:$F$532,6,), "0")</f>
        <v>0</v>
      </c>
      <c r="K291" t="str">
        <f>IFERROR(VLOOKUP(J291,Capacity!$A$3:$D$532,4,), "0")</f>
        <v>0</v>
      </c>
      <c r="L291" s="4" t="str">
        <f>IFERROR(VLOOKUP(J291,Capacity!$A$3:$F$532,6,), "0")</f>
        <v>0</v>
      </c>
      <c r="M291" s="5">
        <f t="shared" si="40"/>
        <v>0</v>
      </c>
      <c r="N291" s="5">
        <f t="shared" si="41"/>
        <v>0</v>
      </c>
      <c r="O291">
        <v>7</v>
      </c>
      <c r="P291">
        <f>IFERROR(VLOOKUP(O291,Capacity!$A$3:$D$532,4,), "0")</f>
        <v>20.106192640000003</v>
      </c>
      <c r="Q291" s="4">
        <f>IFERROR(VLOOKUP(O291,Capacity!$A$3:$F$532,6,), "0")</f>
        <v>0.2</v>
      </c>
      <c r="R291" s="5">
        <f t="shared" si="45"/>
        <v>20.106192640000003</v>
      </c>
      <c r="S291" s="5">
        <f t="shared" si="46"/>
        <v>0.2</v>
      </c>
      <c r="T291">
        <v>241</v>
      </c>
      <c r="U291">
        <v>0</v>
      </c>
      <c r="V291">
        <v>0</v>
      </c>
      <c r="W291">
        <v>1</v>
      </c>
      <c r="X291">
        <f t="shared" si="42"/>
        <v>0</v>
      </c>
      <c r="Y291">
        <f t="shared" si="43"/>
        <v>0</v>
      </c>
      <c r="Z291">
        <f t="shared" si="47"/>
        <v>0</v>
      </c>
      <c r="AA291">
        <f t="shared" si="48"/>
        <v>0</v>
      </c>
      <c r="AC291">
        <f t="shared" si="49"/>
        <v>0</v>
      </c>
      <c r="AD291">
        <f t="shared" si="44"/>
        <v>0</v>
      </c>
    </row>
    <row r="292" spans="1:30" x14ac:dyDescent="0.25">
      <c r="A292">
        <v>8</v>
      </c>
      <c r="B292">
        <f>IFERROR(VLOOKUP(A292,Capacity!$A$3:$D$532,4,), "0")</f>
        <v>9.4247778000000029</v>
      </c>
      <c r="C292" s="4">
        <f>IFERROR(VLOOKUP(A292,Capacity!$A$3:$F$532,6,), "0")</f>
        <v>0.2</v>
      </c>
      <c r="D292">
        <v>240</v>
      </c>
      <c r="E292">
        <f>IFERROR(VLOOKUP(D292,Capacity!$A$3:$D$532,4,), "0")</f>
        <v>15.079644480000002</v>
      </c>
      <c r="F292" s="4">
        <f>IFERROR(VLOOKUP(D292,Capacity!$A$3:$F$532,6,), "0")</f>
        <v>0.2</v>
      </c>
      <c r="H292" t="str">
        <f>IFERROR(VLOOKUP(G292,Capacity!$A$3:$D$532,4,), "0")</f>
        <v>0</v>
      </c>
      <c r="I292" s="4" t="str">
        <f>IFERROR(VLOOKUP(G292,Capacity!$A$3:$F$532,6,), "0")</f>
        <v>0</v>
      </c>
      <c r="K292" t="str">
        <f>IFERROR(VLOOKUP(J292,Capacity!$A$3:$D$532,4,), "0")</f>
        <v>0</v>
      </c>
      <c r="L292" s="4" t="str">
        <f>IFERROR(VLOOKUP(J292,Capacity!$A$3:$F$532,6,), "0")</f>
        <v>0</v>
      </c>
      <c r="M292" s="5">
        <f t="shared" si="40"/>
        <v>15.079644480000002</v>
      </c>
      <c r="N292" s="5">
        <f t="shared" si="41"/>
        <v>0.2</v>
      </c>
      <c r="O292">
        <v>7</v>
      </c>
      <c r="P292">
        <f>IFERROR(VLOOKUP(O292,Capacity!$A$3:$D$532,4,), "0")</f>
        <v>20.106192640000003</v>
      </c>
      <c r="Q292" s="4">
        <f>IFERROR(VLOOKUP(O292,Capacity!$A$3:$F$532,6,), "0")</f>
        <v>0.2</v>
      </c>
      <c r="R292" s="5">
        <f t="shared" si="45"/>
        <v>20.106192640000003</v>
      </c>
      <c r="S292" s="5">
        <f t="shared" si="46"/>
        <v>0.2</v>
      </c>
      <c r="T292">
        <v>8</v>
      </c>
      <c r="U292">
        <v>1</v>
      </c>
      <c r="V292">
        <v>1</v>
      </c>
      <c r="W292">
        <v>1</v>
      </c>
      <c r="X292">
        <f t="shared" si="42"/>
        <v>0.75</v>
      </c>
      <c r="Y292">
        <f t="shared" si="43"/>
        <v>1.5999999999999999</v>
      </c>
      <c r="Z292">
        <f t="shared" si="47"/>
        <v>1</v>
      </c>
      <c r="AA292">
        <f t="shared" si="48"/>
        <v>1</v>
      </c>
      <c r="AC292">
        <f t="shared" si="49"/>
        <v>0.51063829787234039</v>
      </c>
      <c r="AD292">
        <f t="shared" si="44"/>
        <v>0.51063829787234039</v>
      </c>
    </row>
    <row r="293" spans="1:30" x14ac:dyDescent="0.25">
      <c r="A293">
        <v>357</v>
      </c>
      <c r="B293">
        <f>IFERROR(VLOOKUP(A293,Capacity!$A$3:$D$532,4,), "0")</f>
        <v>7.6969018699999987</v>
      </c>
      <c r="C293" s="4">
        <f>IFERROR(VLOOKUP(A293,Capacity!$A$3:$F$532,6,), "0")</f>
        <v>0.17499999999999999</v>
      </c>
      <c r="E293" t="str">
        <f>IFERROR(VLOOKUP(D293,Capacity!$A$3:$D$532,4,), "0")</f>
        <v>0</v>
      </c>
      <c r="F293" s="4" t="str">
        <f>IFERROR(VLOOKUP(D293,Capacity!$A$3:$F$532,6,), "0")</f>
        <v>0</v>
      </c>
      <c r="H293" t="str">
        <f>IFERROR(VLOOKUP(G293,Capacity!$A$3:$D$532,4,), "0")</f>
        <v>0</v>
      </c>
      <c r="I293" s="4" t="str">
        <f>IFERROR(VLOOKUP(G293,Capacity!$A$3:$F$532,6,), "0")</f>
        <v>0</v>
      </c>
      <c r="K293" t="str">
        <f>IFERROR(VLOOKUP(J293,Capacity!$A$3:$D$532,4,), "0")</f>
        <v>0</v>
      </c>
      <c r="L293" s="4" t="str">
        <f>IFERROR(VLOOKUP(J293,Capacity!$A$3:$F$532,6,), "0")</f>
        <v>0</v>
      </c>
      <c r="M293" s="5">
        <f t="shared" si="40"/>
        <v>0</v>
      </c>
      <c r="N293" s="5">
        <f t="shared" si="41"/>
        <v>0</v>
      </c>
      <c r="O293">
        <v>15</v>
      </c>
      <c r="P293">
        <f>IFERROR(VLOOKUP(O293,Capacity!$A$3:$D$532,4,), "0")</f>
        <v>251.32740799999999</v>
      </c>
      <c r="Q293" s="4">
        <f>IFERROR(VLOOKUP(O293,Capacity!$A$3:$F$532,6,), "0")</f>
        <v>1</v>
      </c>
      <c r="R293" s="5">
        <f t="shared" si="45"/>
        <v>251.32740799999999</v>
      </c>
      <c r="S293" s="5">
        <f t="shared" si="46"/>
        <v>1</v>
      </c>
      <c r="T293">
        <v>357</v>
      </c>
      <c r="U293">
        <v>0</v>
      </c>
      <c r="V293">
        <v>0</v>
      </c>
      <c r="W293">
        <v>1</v>
      </c>
      <c r="X293">
        <f t="shared" si="42"/>
        <v>0</v>
      </c>
      <c r="Y293">
        <f t="shared" si="43"/>
        <v>0</v>
      </c>
      <c r="Z293">
        <f t="shared" si="47"/>
        <v>0</v>
      </c>
      <c r="AA293">
        <f t="shared" si="48"/>
        <v>0</v>
      </c>
      <c r="AC293">
        <f t="shared" si="49"/>
        <v>0</v>
      </c>
      <c r="AD293">
        <f t="shared" si="44"/>
        <v>0</v>
      </c>
    </row>
    <row r="294" spans="1:30" x14ac:dyDescent="0.25">
      <c r="A294">
        <v>9</v>
      </c>
      <c r="B294">
        <f>IFERROR(VLOOKUP(A294,Capacity!$A$3:$D$532,4,), "0")</f>
        <v>14.431691006249999</v>
      </c>
      <c r="C294" s="4">
        <f>IFERROR(VLOOKUP(A294,Capacity!$A$3:$F$532,6,), "0")</f>
        <v>0.17499999999999999</v>
      </c>
      <c r="D294">
        <v>353</v>
      </c>
      <c r="E294">
        <f>IFERROR(VLOOKUP(D294,Capacity!$A$3:$D$532,4,), "0")</f>
        <v>7.2158455031249993</v>
      </c>
      <c r="F294" s="4">
        <f>IFERROR(VLOOKUP(D294,Capacity!$A$3:$F$532,6,), "0")</f>
        <v>0.17499999999999999</v>
      </c>
      <c r="G294">
        <v>239</v>
      </c>
      <c r="H294">
        <f>IFERROR(VLOOKUP(G294,Capacity!$A$3:$D$532,4,), "0")</f>
        <v>11.545352804999998</v>
      </c>
      <c r="I294" s="4">
        <f>IFERROR(VLOOKUP(G294,Capacity!$A$3:$F$532,6,), "0")</f>
        <v>0.17499999999999999</v>
      </c>
      <c r="J294">
        <v>10</v>
      </c>
      <c r="K294">
        <f>IFERROR(VLOOKUP(J294,Capacity!$A$3:$D$532,4,), "0")</f>
        <v>7.2158455031249993</v>
      </c>
      <c r="L294" s="4">
        <f>IFERROR(VLOOKUP(J294,Capacity!$A$3:$F$532,6,), "0")</f>
        <v>0.17499999999999999</v>
      </c>
      <c r="M294" s="5">
        <f t="shared" si="40"/>
        <v>25.977043811249995</v>
      </c>
      <c r="N294" s="5">
        <f t="shared" si="41"/>
        <v>0.52499999999999991</v>
      </c>
      <c r="O294">
        <v>15</v>
      </c>
      <c r="P294">
        <f>IFERROR(VLOOKUP(O294,Capacity!$A$3:$D$532,4,), "0")</f>
        <v>251.32740799999999</v>
      </c>
      <c r="Q294" s="4">
        <f>IFERROR(VLOOKUP(O294,Capacity!$A$3:$F$532,6,), "0")</f>
        <v>1</v>
      </c>
      <c r="R294" s="5">
        <f t="shared" si="45"/>
        <v>251.32740799999999</v>
      </c>
      <c r="S294" s="5">
        <f t="shared" si="46"/>
        <v>1</v>
      </c>
      <c r="T294">
        <v>9</v>
      </c>
      <c r="U294">
        <v>3</v>
      </c>
      <c r="V294">
        <v>3</v>
      </c>
      <c r="W294">
        <v>1</v>
      </c>
      <c r="X294">
        <f t="shared" si="42"/>
        <v>0.10335937499999999</v>
      </c>
      <c r="Y294">
        <f t="shared" si="43"/>
        <v>1.7999999999999998</v>
      </c>
      <c r="Z294">
        <f t="shared" si="47"/>
        <v>0.52499999999999991</v>
      </c>
      <c r="AA294">
        <f t="shared" si="48"/>
        <v>2.9999999999999996</v>
      </c>
      <c r="AC294">
        <f t="shared" si="49"/>
        <v>9.7746582933136303E-2</v>
      </c>
      <c r="AD294">
        <f t="shared" si="44"/>
        <v>0.29323974879940889</v>
      </c>
    </row>
    <row r="295" spans="1:30" x14ac:dyDescent="0.25">
      <c r="A295">
        <v>14</v>
      </c>
      <c r="B295">
        <f>IFERROR(VLOOKUP(A295,Capacity!$A$3:$D$532,4,), "0")</f>
        <v>25.014931077499998</v>
      </c>
      <c r="C295" s="4">
        <f>IFERROR(VLOOKUP(A295,Capacity!$A$3:$F$532,6,), "0")</f>
        <v>0.17499999999999999</v>
      </c>
      <c r="D295">
        <v>355</v>
      </c>
      <c r="E295">
        <f>IFERROR(VLOOKUP(D295,Capacity!$A$3:$D$532,4,), "0")</f>
        <v>9.621127337499999</v>
      </c>
      <c r="F295" s="4">
        <f>IFERROR(VLOOKUP(D295,Capacity!$A$3:$F$532,6,), "0")</f>
        <v>0.17499999999999999</v>
      </c>
      <c r="H295" t="str">
        <f>IFERROR(VLOOKUP(G295,Capacity!$A$3:$D$532,4,), "0")</f>
        <v>0</v>
      </c>
      <c r="I295" s="4" t="str">
        <f>IFERROR(VLOOKUP(G295,Capacity!$A$3:$F$532,6,), "0")</f>
        <v>0</v>
      </c>
      <c r="K295" t="str">
        <f>IFERROR(VLOOKUP(J295,Capacity!$A$3:$D$532,4,), "0")</f>
        <v>0</v>
      </c>
      <c r="L295" s="4" t="str">
        <f>IFERROR(VLOOKUP(J295,Capacity!$A$3:$F$532,6,), "0")</f>
        <v>0</v>
      </c>
      <c r="M295" s="5">
        <f t="shared" si="40"/>
        <v>9.621127337499999</v>
      </c>
      <c r="N295" s="5">
        <f t="shared" si="41"/>
        <v>0.17499999999999999</v>
      </c>
      <c r="O295">
        <v>58</v>
      </c>
      <c r="P295">
        <f>IFERROR(VLOOKUP(O295,Capacity!$A$3:$D$532,4,), "0")</f>
        <v>21.647536509374998</v>
      </c>
      <c r="Q295" s="4">
        <f>IFERROR(VLOOKUP(O295,Capacity!$A$3:$F$532,6,), "0")</f>
        <v>0.17499999999999999</v>
      </c>
      <c r="R295" s="5">
        <f t="shared" si="45"/>
        <v>21.647536509374998</v>
      </c>
      <c r="S295" s="5">
        <f t="shared" si="46"/>
        <v>0.17499999999999999</v>
      </c>
      <c r="T295">
        <v>14</v>
      </c>
      <c r="U295">
        <v>1</v>
      </c>
      <c r="V295">
        <v>1</v>
      </c>
      <c r="W295">
        <v>1</v>
      </c>
      <c r="X295">
        <f t="shared" si="42"/>
        <v>0.44444444444444442</v>
      </c>
      <c r="Y295">
        <f t="shared" si="43"/>
        <v>0.38461538461538458</v>
      </c>
      <c r="Z295">
        <f t="shared" si="47"/>
        <v>1</v>
      </c>
      <c r="AA295">
        <f t="shared" si="48"/>
        <v>1</v>
      </c>
      <c r="AC295">
        <f t="shared" si="49"/>
        <v>0.20618556701030927</v>
      </c>
      <c r="AD295">
        <f t="shared" si="44"/>
        <v>0.20618556701030927</v>
      </c>
    </row>
    <row r="296" spans="1:30" x14ac:dyDescent="0.25">
      <c r="A296">
        <v>382</v>
      </c>
      <c r="B296">
        <f>IFERROR(VLOOKUP(A296,Capacity!$A$3:$D$532,4,), "0")</f>
        <v>7.6969018699999987</v>
      </c>
      <c r="C296" s="4">
        <f>IFERROR(VLOOKUP(A296,Capacity!$A$3:$F$532,6,), "0")</f>
        <v>0.17499999999999999</v>
      </c>
      <c r="E296" t="str">
        <f>IFERROR(VLOOKUP(D296,Capacity!$A$3:$D$532,4,), "0")</f>
        <v>0</v>
      </c>
      <c r="F296" s="4" t="str">
        <f>IFERROR(VLOOKUP(D296,Capacity!$A$3:$F$532,6,), "0")</f>
        <v>0</v>
      </c>
      <c r="H296" t="str">
        <f>IFERROR(VLOOKUP(G296,Capacity!$A$3:$D$532,4,), "0")</f>
        <v>0</v>
      </c>
      <c r="I296" s="4" t="str">
        <f>IFERROR(VLOOKUP(G296,Capacity!$A$3:$F$532,6,), "0")</f>
        <v>0</v>
      </c>
      <c r="K296" t="str">
        <f>IFERROR(VLOOKUP(J296,Capacity!$A$3:$D$532,4,), "0")</f>
        <v>0</v>
      </c>
      <c r="L296" s="4" t="str">
        <f>IFERROR(VLOOKUP(J296,Capacity!$A$3:$F$532,6,), "0")</f>
        <v>0</v>
      </c>
      <c r="M296" s="5">
        <f>$E296+$H296+$K296</f>
        <v>0</v>
      </c>
      <c r="N296" s="5">
        <f t="shared" si="41"/>
        <v>0</v>
      </c>
      <c r="O296">
        <v>59</v>
      </c>
      <c r="P296">
        <f>IFERROR(VLOOKUP(O296,Capacity!$A$3:$D$532,4,), "0")</f>
        <v>294.05306736</v>
      </c>
      <c r="Q296" s="4">
        <f>IFERROR(VLOOKUP(O296,Capacity!$A$3:$F$532,6,), "0")</f>
        <v>0.6</v>
      </c>
      <c r="R296" s="5">
        <f t="shared" si="45"/>
        <v>294.05306736</v>
      </c>
      <c r="S296" s="5">
        <f t="shared" si="46"/>
        <v>0.6</v>
      </c>
      <c r="T296">
        <v>382</v>
      </c>
      <c r="U296">
        <v>0</v>
      </c>
      <c r="V296">
        <v>0</v>
      </c>
      <c r="W296">
        <v>1</v>
      </c>
      <c r="X296">
        <f t="shared" si="42"/>
        <v>0</v>
      </c>
      <c r="Y296">
        <f t="shared" si="43"/>
        <v>0</v>
      </c>
      <c r="Z296">
        <f t="shared" si="47"/>
        <v>0</v>
      </c>
      <c r="AA296">
        <f t="shared" si="48"/>
        <v>0</v>
      </c>
      <c r="AC296">
        <f t="shared" si="49"/>
        <v>0</v>
      </c>
      <c r="AD296">
        <f t="shared" si="44"/>
        <v>0</v>
      </c>
    </row>
    <row r="297" spans="1:30" x14ac:dyDescent="0.25">
      <c r="A297">
        <v>381</v>
      </c>
      <c r="B297">
        <f>IFERROR(VLOOKUP(A297,Capacity!$A$3:$D$532,4,), "0")</f>
        <v>7.6969018699999987</v>
      </c>
      <c r="C297" s="4">
        <f>IFERROR(VLOOKUP(A297,Capacity!$A$3:$F$532,6,), "0")</f>
        <v>0.17499999999999999</v>
      </c>
      <c r="E297" t="str">
        <f>IFERROR(VLOOKUP(D297,Capacity!$A$3:$D$532,4,), "0")</f>
        <v>0</v>
      </c>
      <c r="F297" s="4" t="str">
        <f>IFERROR(VLOOKUP(D297,Capacity!$A$3:$F$532,6,), "0")</f>
        <v>0</v>
      </c>
      <c r="H297" t="str">
        <f>IFERROR(VLOOKUP(G297,Capacity!$A$3:$D$532,4,), "0")</f>
        <v>0</v>
      </c>
      <c r="I297" s="4" t="str">
        <f>IFERROR(VLOOKUP(G297,Capacity!$A$3:$F$532,6,), "0")</f>
        <v>0</v>
      </c>
      <c r="K297" t="str">
        <f>IFERROR(VLOOKUP(J297,Capacity!$A$3:$D$532,4,), "0")</f>
        <v>0</v>
      </c>
      <c r="L297" s="4" t="str">
        <f>IFERROR(VLOOKUP(J297,Capacity!$A$3:$F$532,6,), "0")</f>
        <v>0</v>
      </c>
      <c r="M297" s="5">
        <f t="shared" si="40"/>
        <v>0</v>
      </c>
      <c r="N297" s="5">
        <f t="shared" si="41"/>
        <v>0</v>
      </c>
      <c r="O297">
        <v>59</v>
      </c>
      <c r="P297">
        <f>IFERROR(VLOOKUP(O297,Capacity!$A$3:$D$532,4,), "0")</f>
        <v>294.05306736</v>
      </c>
      <c r="Q297" s="4">
        <f>IFERROR(VLOOKUP(O297,Capacity!$A$3:$F$532,6,), "0")</f>
        <v>0.6</v>
      </c>
      <c r="R297" s="5">
        <f t="shared" si="45"/>
        <v>294.05306736</v>
      </c>
      <c r="S297" s="5">
        <f t="shared" si="46"/>
        <v>0.6</v>
      </c>
      <c r="T297">
        <v>381</v>
      </c>
      <c r="U297">
        <v>0</v>
      </c>
      <c r="V297">
        <v>0</v>
      </c>
      <c r="W297">
        <v>1</v>
      </c>
      <c r="X297">
        <f t="shared" si="42"/>
        <v>0</v>
      </c>
      <c r="Y297">
        <f t="shared" si="43"/>
        <v>0</v>
      </c>
      <c r="Z297">
        <f t="shared" si="47"/>
        <v>0</v>
      </c>
      <c r="AA297">
        <f t="shared" si="48"/>
        <v>0</v>
      </c>
      <c r="AC297">
        <f t="shared" si="49"/>
        <v>0</v>
      </c>
      <c r="AD297">
        <f t="shared" si="44"/>
        <v>0</v>
      </c>
    </row>
    <row r="298" spans="1:30" x14ac:dyDescent="0.25">
      <c r="A298">
        <v>12</v>
      </c>
      <c r="B298">
        <f>IFERROR(VLOOKUP(A298,Capacity!$A$3:$D$532,4,), "0")</f>
        <v>32.672563040000007</v>
      </c>
      <c r="C298" s="4">
        <f>IFERROR(VLOOKUP(A298,Capacity!$A$3:$F$532,6,), "0")</f>
        <v>0.2</v>
      </c>
      <c r="D298">
        <v>11</v>
      </c>
      <c r="E298">
        <f>IFERROR(VLOOKUP(D298,Capacity!$A$3:$D$532,4,), "0")</f>
        <v>12.507465538749999</v>
      </c>
      <c r="F298" s="4">
        <f>IFERROR(VLOOKUP(D298,Capacity!$A$3:$F$532,6,), "0")</f>
        <v>0.17499999999999999</v>
      </c>
      <c r="H298" t="str">
        <f>IFERROR(VLOOKUP(G298,Capacity!$A$3:$D$532,4,), "0")</f>
        <v>0</v>
      </c>
      <c r="I298" s="4" t="str">
        <f>IFERROR(VLOOKUP(G298,Capacity!$A$3:$F$532,6,), "0")</f>
        <v>0</v>
      </c>
      <c r="K298" t="str">
        <f>IFERROR(VLOOKUP(J298,Capacity!$A$3:$D$532,4,), "0")</f>
        <v>0</v>
      </c>
      <c r="L298" s="4" t="str">
        <f>IFERROR(VLOOKUP(J298,Capacity!$A$3:$F$532,6,), "0")</f>
        <v>0</v>
      </c>
      <c r="M298" s="5">
        <f t="shared" si="40"/>
        <v>12.507465538749999</v>
      </c>
      <c r="N298" s="5">
        <f t="shared" si="41"/>
        <v>0.17499999999999999</v>
      </c>
      <c r="O298">
        <v>59</v>
      </c>
      <c r="P298">
        <f>IFERROR(VLOOKUP(O298,Capacity!$A$3:$D$532,4,), "0")</f>
        <v>294.05306736</v>
      </c>
      <c r="Q298" s="4">
        <f>IFERROR(VLOOKUP(O298,Capacity!$A$3:$F$532,6,), "0")</f>
        <v>0.6</v>
      </c>
      <c r="R298" s="5">
        <f t="shared" si="45"/>
        <v>294.05306736</v>
      </c>
      <c r="S298" s="5">
        <f t="shared" si="46"/>
        <v>0.6</v>
      </c>
      <c r="T298">
        <v>12</v>
      </c>
      <c r="U298">
        <v>1</v>
      </c>
      <c r="V298">
        <v>1</v>
      </c>
      <c r="W298">
        <v>1</v>
      </c>
      <c r="X298">
        <f t="shared" si="42"/>
        <v>4.2534722222222217E-2</v>
      </c>
      <c r="Y298">
        <f t="shared" si="43"/>
        <v>0.38281249999999989</v>
      </c>
      <c r="Z298">
        <f t="shared" si="47"/>
        <v>0.29166666666666669</v>
      </c>
      <c r="AA298">
        <f t="shared" si="48"/>
        <v>0.87499999999999989</v>
      </c>
      <c r="AC298">
        <f t="shared" si="49"/>
        <v>3.8281249999999996E-2</v>
      </c>
      <c r="AD298">
        <f t="shared" si="44"/>
        <v>3.8281249999999996E-2</v>
      </c>
    </row>
    <row r="299" spans="1:30" x14ac:dyDescent="0.25">
      <c r="A299">
        <v>433</v>
      </c>
      <c r="B299">
        <f>IFERROR(VLOOKUP(A299,Capacity!$A$3:$D$532,4,), "0")</f>
        <v>56.799994208000008</v>
      </c>
      <c r="C299" s="4">
        <f>IFERROR(VLOOKUP(A299,Capacity!$A$3:$F$532,6,), "0")</f>
        <v>0.4</v>
      </c>
      <c r="E299" t="str">
        <f>IFERROR(VLOOKUP(D299,Capacity!$A$3:$D$532,4,), "0")</f>
        <v>0</v>
      </c>
      <c r="F299" s="4" t="str">
        <f>IFERROR(VLOOKUP(D299,Capacity!$A$3:$F$532,6,), "0")</f>
        <v>0</v>
      </c>
      <c r="H299" t="str">
        <f>IFERROR(VLOOKUP(G299,Capacity!$A$3:$D$532,4,), "0")</f>
        <v>0</v>
      </c>
      <c r="I299" s="4" t="str">
        <f>IFERROR(VLOOKUP(G299,Capacity!$A$3:$F$532,6,), "0")</f>
        <v>0</v>
      </c>
      <c r="K299" t="str">
        <f>IFERROR(VLOOKUP(J299,Capacity!$A$3:$D$532,4,), "0")</f>
        <v>0</v>
      </c>
      <c r="L299" s="4" t="str">
        <f>IFERROR(VLOOKUP(J299,Capacity!$A$3:$F$532,6,), "0")</f>
        <v>0</v>
      </c>
      <c r="M299" s="5">
        <f t="shared" si="40"/>
        <v>0</v>
      </c>
      <c r="N299" s="5">
        <f t="shared" si="41"/>
        <v>0</v>
      </c>
      <c r="O299">
        <v>100</v>
      </c>
      <c r="P299">
        <f>IFERROR(VLOOKUP(O299,Capacity!$A$3:$D$532,4,), "0")</f>
        <v>36.75663342</v>
      </c>
      <c r="Q299" s="4">
        <f>IFERROR(VLOOKUP(O299,Capacity!$A$3:$F$532,6,), "0")</f>
        <v>0.3</v>
      </c>
      <c r="R299" s="5">
        <f t="shared" si="45"/>
        <v>36.75663342</v>
      </c>
      <c r="S299" s="5">
        <f t="shared" si="46"/>
        <v>0.3</v>
      </c>
      <c r="T299">
        <v>433</v>
      </c>
      <c r="U299">
        <v>0</v>
      </c>
      <c r="V299">
        <v>0</v>
      </c>
      <c r="W299">
        <v>1</v>
      </c>
      <c r="X299">
        <f t="shared" si="42"/>
        <v>0</v>
      </c>
      <c r="Y299">
        <f t="shared" si="43"/>
        <v>0</v>
      </c>
      <c r="Z299">
        <f t="shared" si="47"/>
        <v>0</v>
      </c>
      <c r="AA299">
        <f t="shared" si="48"/>
        <v>0</v>
      </c>
      <c r="AC299">
        <f t="shared" si="49"/>
        <v>0</v>
      </c>
      <c r="AD299">
        <f t="shared" si="44"/>
        <v>0</v>
      </c>
    </row>
    <row r="300" spans="1:30" x14ac:dyDescent="0.25">
      <c r="A300">
        <v>102</v>
      </c>
      <c r="B300">
        <f>IFERROR(VLOOKUP(A300,Capacity!$A$3:$D$532,4,), "0")</f>
        <v>50.265481600000015</v>
      </c>
      <c r="C300" s="4">
        <f>IFERROR(VLOOKUP(A300,Capacity!$A$3:$F$532,6,), "0")</f>
        <v>0.4</v>
      </c>
      <c r="D300">
        <v>103</v>
      </c>
      <c r="E300">
        <f>IFERROR(VLOOKUP(D300,Capacity!$A$3:$D$532,4,), "0")</f>
        <v>10.102183704374999</v>
      </c>
      <c r="F300" s="4">
        <f>IFERROR(VLOOKUP(D300,Capacity!$A$3:$F$532,6,), "0")</f>
        <v>0.17499999999999999</v>
      </c>
      <c r="H300" t="str">
        <f>IFERROR(VLOOKUP(G300,Capacity!$A$3:$D$532,4,), "0")</f>
        <v>0</v>
      </c>
      <c r="I300" s="4" t="str">
        <f>IFERROR(VLOOKUP(G300,Capacity!$A$3:$F$532,6,), "0")</f>
        <v>0</v>
      </c>
      <c r="K300" t="str">
        <f>IFERROR(VLOOKUP(J300,Capacity!$A$3:$D$532,4,), "0")</f>
        <v>0</v>
      </c>
      <c r="L300" s="4" t="str">
        <f>IFERROR(VLOOKUP(J300,Capacity!$A$3:$F$532,6,), "0")</f>
        <v>0</v>
      </c>
      <c r="M300" s="5">
        <f t="shared" si="40"/>
        <v>10.102183704374999</v>
      </c>
      <c r="N300" s="5">
        <f t="shared" si="41"/>
        <v>0.17499999999999999</v>
      </c>
      <c r="O300">
        <v>100</v>
      </c>
      <c r="P300">
        <f>IFERROR(VLOOKUP(O300,Capacity!$A$3:$D$532,4,), "0")</f>
        <v>36.75663342</v>
      </c>
      <c r="Q300" s="4">
        <f>IFERROR(VLOOKUP(O300,Capacity!$A$3:$F$532,6,), "0")</f>
        <v>0.3</v>
      </c>
      <c r="R300" s="5">
        <f t="shared" si="45"/>
        <v>36.75663342</v>
      </c>
      <c r="S300" s="5">
        <f t="shared" si="46"/>
        <v>0.3</v>
      </c>
      <c r="T300">
        <v>102</v>
      </c>
      <c r="U300">
        <v>1</v>
      </c>
      <c r="V300">
        <v>1</v>
      </c>
      <c r="W300">
        <v>1</v>
      </c>
      <c r="X300">
        <f t="shared" si="42"/>
        <v>0.27483974358974356</v>
      </c>
      <c r="Y300">
        <f t="shared" si="43"/>
        <v>0.20097656249999993</v>
      </c>
      <c r="Z300">
        <f t="shared" si="47"/>
        <v>0.58333333333333337</v>
      </c>
      <c r="AA300">
        <f t="shared" si="48"/>
        <v>0.43749999999999994</v>
      </c>
      <c r="AC300">
        <f t="shared" si="49"/>
        <v>0.11608754512635376</v>
      </c>
      <c r="AD300">
        <f t="shared" si="44"/>
        <v>0.11608754512635376</v>
      </c>
    </row>
    <row r="301" spans="1:30" x14ac:dyDescent="0.25">
      <c r="A301">
        <v>60</v>
      </c>
      <c r="B301">
        <f>IFERROR(VLOOKUP(A301,Capacity!$A$3:$D$532,4,), "0")</f>
        <v>90.477866880000022</v>
      </c>
      <c r="C301" s="4">
        <f>IFERROR(VLOOKUP(A301,Capacity!$A$3:$F$532,6,), "0")</f>
        <v>0.4</v>
      </c>
      <c r="D301">
        <v>69</v>
      </c>
      <c r="E301">
        <f>IFERROR(VLOOKUP(D301,Capacity!$A$3:$D$532,4,), "0")</f>
        <v>59.566951890450007</v>
      </c>
      <c r="F301" s="4">
        <f>IFERROR(VLOOKUP(D301,Capacity!$A$3:$F$532,6,), "0")</f>
        <v>0.26500000000000001</v>
      </c>
      <c r="H301" t="str">
        <f>IFERROR(VLOOKUP(G301,Capacity!$A$3:$D$532,4,), "0")</f>
        <v>0</v>
      </c>
      <c r="I301" s="4" t="str">
        <f>IFERROR(VLOOKUP(G301,Capacity!$A$3:$F$532,6,), "0")</f>
        <v>0</v>
      </c>
      <c r="K301" t="str">
        <f>IFERROR(VLOOKUP(J301,Capacity!$A$3:$D$532,4,), "0")</f>
        <v>0</v>
      </c>
      <c r="L301" s="4" t="str">
        <f>IFERROR(VLOOKUP(J301,Capacity!$A$3:$F$532,6,), "0")</f>
        <v>0</v>
      </c>
      <c r="M301" s="5">
        <f t="shared" si="40"/>
        <v>59.566951890450007</v>
      </c>
      <c r="N301" s="5">
        <f t="shared" si="41"/>
        <v>0.26500000000000001</v>
      </c>
      <c r="O301">
        <v>100</v>
      </c>
      <c r="P301">
        <f>IFERROR(VLOOKUP(O301,Capacity!$A$3:$D$532,4,), "0")</f>
        <v>36.75663342</v>
      </c>
      <c r="Q301" s="4">
        <f>IFERROR(VLOOKUP(O301,Capacity!$A$3:$F$532,6,), "0")</f>
        <v>0.3</v>
      </c>
      <c r="R301" s="5">
        <f t="shared" si="45"/>
        <v>36.75663342</v>
      </c>
      <c r="S301" s="5">
        <f t="shared" si="46"/>
        <v>0.3</v>
      </c>
      <c r="T301">
        <v>60</v>
      </c>
      <c r="U301">
        <v>1</v>
      </c>
      <c r="V301">
        <v>1</v>
      </c>
      <c r="W301">
        <v>1</v>
      </c>
      <c r="X301">
        <f t="shared" si="42"/>
        <v>1.6205769230769234</v>
      </c>
      <c r="Y301">
        <f t="shared" si="43"/>
        <v>0.65835937499999997</v>
      </c>
      <c r="Z301">
        <f t="shared" si="47"/>
        <v>0.88333333333333341</v>
      </c>
      <c r="AA301">
        <f t="shared" si="48"/>
        <v>0.66249999999999998</v>
      </c>
      <c r="AC301">
        <f t="shared" si="49"/>
        <v>0.46816666666666662</v>
      </c>
      <c r="AD301">
        <f t="shared" si="44"/>
        <v>0.46816666666666662</v>
      </c>
    </row>
    <row r="302" spans="1:30" x14ac:dyDescent="0.25">
      <c r="A302">
        <v>525</v>
      </c>
      <c r="B302">
        <f>IFERROR(VLOOKUP(A302,Capacity!$A$3:$D$532,4,), "0")</f>
        <v>12.026409171874999</v>
      </c>
      <c r="C302" s="4">
        <f>IFERROR(VLOOKUP(A302,Capacity!$A$3:$F$532,6,), "0")</f>
        <v>0.17499999999999999</v>
      </c>
      <c r="E302" t="str">
        <f>IFERROR(VLOOKUP(D302,Capacity!$A$3:$D$532,4,), "0")</f>
        <v>0</v>
      </c>
      <c r="F302" s="4" t="str">
        <f>IFERROR(VLOOKUP(D302,Capacity!$A$3:$F$532,6,), "0")</f>
        <v>0</v>
      </c>
      <c r="H302" t="str">
        <f>IFERROR(VLOOKUP(G302,Capacity!$A$3:$D$532,4,), "0")</f>
        <v>0</v>
      </c>
      <c r="I302" s="4" t="str">
        <f>IFERROR(VLOOKUP(G302,Capacity!$A$3:$F$532,6,), "0")</f>
        <v>0</v>
      </c>
      <c r="K302" t="str">
        <f>IFERROR(VLOOKUP(J302,Capacity!$A$3:$D$532,4,), "0")</f>
        <v>0</v>
      </c>
      <c r="L302" s="4" t="str">
        <f>IFERROR(VLOOKUP(J302,Capacity!$A$3:$F$532,6,), "0")</f>
        <v>0</v>
      </c>
      <c r="M302" s="5">
        <f t="shared" si="40"/>
        <v>0</v>
      </c>
      <c r="N302" s="5">
        <f t="shared" si="41"/>
        <v>0</v>
      </c>
      <c r="O302">
        <v>321</v>
      </c>
      <c r="P302">
        <f>IFERROR(VLOOKUP(O302,Capacity!$A$3:$D$532,4,), "0")</f>
        <v>80.424770560000013</v>
      </c>
      <c r="Q302" s="4">
        <f>IFERROR(VLOOKUP(O302,Capacity!$A$3:$F$532,6,), "0")</f>
        <v>0.4</v>
      </c>
      <c r="R302" s="5">
        <f t="shared" si="45"/>
        <v>80.424770560000013</v>
      </c>
      <c r="S302" s="5">
        <f t="shared" si="46"/>
        <v>0.4</v>
      </c>
      <c r="T302">
        <v>525</v>
      </c>
      <c r="U302">
        <v>0</v>
      </c>
      <c r="V302">
        <v>0</v>
      </c>
      <c r="W302">
        <v>1</v>
      </c>
      <c r="X302">
        <f t="shared" si="42"/>
        <v>0</v>
      </c>
      <c r="Y302">
        <f t="shared" si="43"/>
        <v>0</v>
      </c>
      <c r="Z302">
        <f t="shared" si="47"/>
        <v>0</v>
      </c>
      <c r="AA302">
        <f t="shared" si="48"/>
        <v>0</v>
      </c>
      <c r="AC302">
        <f t="shared" si="49"/>
        <v>0</v>
      </c>
      <c r="AD302">
        <f t="shared" si="44"/>
        <v>0</v>
      </c>
    </row>
    <row r="303" spans="1:30" x14ac:dyDescent="0.25">
      <c r="A303">
        <v>504</v>
      </c>
      <c r="B303">
        <f>IFERROR(VLOOKUP(A303,Capacity!$A$3:$D$532,4,), "0")</f>
        <v>14.431691006249999</v>
      </c>
      <c r="C303" s="4">
        <f>IFERROR(VLOOKUP(A303,Capacity!$A$3:$F$532,6,), "0")</f>
        <v>0.17499999999999999</v>
      </c>
      <c r="E303" t="str">
        <f>IFERROR(VLOOKUP(D303,Capacity!$A$3:$D$532,4,), "0")</f>
        <v>0</v>
      </c>
      <c r="F303" s="4" t="str">
        <f>IFERROR(VLOOKUP(D303,Capacity!$A$3:$F$532,6,), "0")</f>
        <v>0</v>
      </c>
      <c r="H303" t="str">
        <f>IFERROR(VLOOKUP(G303,Capacity!$A$3:$D$532,4,), "0")</f>
        <v>0</v>
      </c>
      <c r="I303" s="4" t="str">
        <f>IFERROR(VLOOKUP(G303,Capacity!$A$3:$F$532,6,), "0")</f>
        <v>0</v>
      </c>
      <c r="K303" t="str">
        <f>IFERROR(VLOOKUP(J303,Capacity!$A$3:$D$532,4,), "0")</f>
        <v>0</v>
      </c>
      <c r="L303" s="4" t="str">
        <f>IFERROR(VLOOKUP(J303,Capacity!$A$3:$F$532,6,), "0")</f>
        <v>0</v>
      </c>
      <c r="M303" s="5">
        <f t="shared" si="40"/>
        <v>0</v>
      </c>
      <c r="N303" s="5">
        <f t="shared" si="41"/>
        <v>0</v>
      </c>
      <c r="O303">
        <v>321</v>
      </c>
      <c r="P303">
        <f>IFERROR(VLOOKUP(O303,Capacity!$A$3:$D$532,4,), "0")</f>
        <v>80.424770560000013</v>
      </c>
      <c r="Q303" s="4">
        <f>IFERROR(VLOOKUP(O303,Capacity!$A$3:$F$532,6,), "0")</f>
        <v>0.4</v>
      </c>
      <c r="R303" s="5">
        <f t="shared" si="45"/>
        <v>80.424770560000013</v>
      </c>
      <c r="S303" s="5">
        <f t="shared" si="46"/>
        <v>0.4</v>
      </c>
      <c r="T303">
        <v>504</v>
      </c>
      <c r="U303">
        <v>0</v>
      </c>
      <c r="V303">
        <v>0</v>
      </c>
      <c r="W303">
        <v>1</v>
      </c>
      <c r="X303">
        <f t="shared" si="42"/>
        <v>0</v>
      </c>
      <c r="Y303">
        <f t="shared" si="43"/>
        <v>0</v>
      </c>
      <c r="Z303">
        <f t="shared" si="47"/>
        <v>0</v>
      </c>
      <c r="AA303">
        <f t="shared" si="48"/>
        <v>0</v>
      </c>
      <c r="AC303">
        <f t="shared" si="49"/>
        <v>0</v>
      </c>
      <c r="AD303">
        <f t="shared" si="44"/>
        <v>0</v>
      </c>
    </row>
    <row r="304" spans="1:30" x14ac:dyDescent="0.25">
      <c r="A304">
        <v>322</v>
      </c>
      <c r="B304">
        <f>IFERROR(VLOOKUP(A304,Capacity!$A$3:$D$532,4,), "0")</f>
        <v>75.398222400000023</v>
      </c>
      <c r="C304" s="4">
        <f>IFERROR(VLOOKUP(A304,Capacity!$A$3:$F$532,6,), "0")</f>
        <v>0.4</v>
      </c>
      <c r="D304">
        <v>522</v>
      </c>
      <c r="E304">
        <f>IFERROR(VLOOKUP(D304,Capacity!$A$3:$D$532,4,), "0")</f>
        <v>13.950634639374998</v>
      </c>
      <c r="F304" s="4">
        <f>IFERROR(VLOOKUP(D304,Capacity!$A$3:$F$532,6,), "0")</f>
        <v>0.17499999999999999</v>
      </c>
      <c r="G304">
        <v>323</v>
      </c>
      <c r="H304">
        <f>IFERROR(VLOOKUP(G304,Capacity!$A$3:$D$532,4,), "0")</f>
        <v>40.212385280000007</v>
      </c>
      <c r="I304" s="4">
        <f>IFERROR(VLOOKUP(G304,Capacity!$A$3:$F$532,6,), "0")</f>
        <v>0.4</v>
      </c>
      <c r="K304" t="str">
        <f>IFERROR(VLOOKUP(J304,Capacity!$A$3:$D$532,4,), "0")</f>
        <v>0</v>
      </c>
      <c r="L304" s="4" t="str">
        <f>IFERROR(VLOOKUP(J304,Capacity!$A$3:$F$532,6,), "0")</f>
        <v>0</v>
      </c>
      <c r="M304" s="5">
        <f t="shared" si="40"/>
        <v>54.163019919375003</v>
      </c>
      <c r="N304" s="5">
        <f t="shared" si="41"/>
        <v>0.57499999999999996</v>
      </c>
      <c r="O304">
        <v>321</v>
      </c>
      <c r="P304">
        <f>IFERROR(VLOOKUP(O304,Capacity!$A$3:$D$532,4,), "0")</f>
        <v>80.424770560000013</v>
      </c>
      <c r="Q304" s="4">
        <f>IFERROR(VLOOKUP(O304,Capacity!$A$3:$F$532,6,), "0")</f>
        <v>0.4</v>
      </c>
      <c r="R304" s="5">
        <f t="shared" si="45"/>
        <v>80.424770560000013</v>
      </c>
      <c r="S304" s="5">
        <f t="shared" si="46"/>
        <v>0.4</v>
      </c>
      <c r="T304">
        <v>322</v>
      </c>
      <c r="U304">
        <v>2</v>
      </c>
      <c r="V304">
        <v>2</v>
      </c>
      <c r="W304">
        <v>1</v>
      </c>
      <c r="X304">
        <f t="shared" si="42"/>
        <v>0.67346191406249989</v>
      </c>
      <c r="Y304">
        <f t="shared" si="43"/>
        <v>0.7183593749999998</v>
      </c>
      <c r="Z304">
        <f t="shared" si="47"/>
        <v>1.4374999999999998</v>
      </c>
      <c r="AA304">
        <f t="shared" si="48"/>
        <v>1.4374999999999998</v>
      </c>
      <c r="AC304">
        <f t="shared" si="49"/>
        <v>0.34759324596774188</v>
      </c>
      <c r="AD304">
        <f t="shared" si="44"/>
        <v>0.69518649193548376</v>
      </c>
    </row>
    <row r="305" spans="1:30" x14ac:dyDescent="0.25">
      <c r="A305">
        <v>340</v>
      </c>
      <c r="B305">
        <f>IFERROR(VLOOKUP(A305,Capacity!$A$3:$D$532,4,), "0")</f>
        <v>5.0265481600000008</v>
      </c>
      <c r="C305" s="4">
        <f>IFERROR(VLOOKUP(A305,Capacity!$A$3:$F$532,6,), "0")</f>
        <v>0.2</v>
      </c>
      <c r="D305">
        <v>338</v>
      </c>
      <c r="E305">
        <f>IFERROR(VLOOKUP(D305,Capacity!$A$3:$D$532,4,), "0")</f>
        <v>5.0265481600000008</v>
      </c>
      <c r="F305" s="4">
        <f>IFERROR(VLOOKUP(D305,Capacity!$A$3:$F$532,6,), "0")</f>
        <v>0.2</v>
      </c>
      <c r="H305" t="str">
        <f>IFERROR(VLOOKUP(G305,Capacity!$A$3:$D$532,4,), "0")</f>
        <v>0</v>
      </c>
      <c r="I305" s="4" t="str">
        <f>IFERROR(VLOOKUP(G305,Capacity!$A$3:$F$532,6,), "0")</f>
        <v>0</v>
      </c>
      <c r="K305" t="str">
        <f>IFERROR(VLOOKUP(J305,Capacity!$A$3:$D$532,4,), "0")</f>
        <v>0</v>
      </c>
      <c r="L305" s="4" t="str">
        <f>IFERROR(VLOOKUP(J305,Capacity!$A$3:$F$532,6,), "0")</f>
        <v>0</v>
      </c>
      <c r="M305" s="5">
        <f t="shared" si="40"/>
        <v>5.0265481600000008</v>
      </c>
      <c r="N305" s="5">
        <f t="shared" si="41"/>
        <v>0.2</v>
      </c>
      <c r="O305">
        <v>341</v>
      </c>
      <c r="P305">
        <f>IFERROR(VLOOKUP(O305,Capacity!$A$3:$D$532,4,), "0")</f>
        <v>17.649467226800002</v>
      </c>
      <c r="Q305" s="4">
        <f>IFERROR(VLOOKUP(O305,Capacity!$A$3:$F$532,6,), "0")</f>
        <v>0.26500000000000001</v>
      </c>
      <c r="R305" s="5">
        <f t="shared" si="45"/>
        <v>17.649467226800002</v>
      </c>
      <c r="S305" s="5">
        <f t="shared" si="46"/>
        <v>0.26500000000000001</v>
      </c>
      <c r="T305">
        <v>340</v>
      </c>
      <c r="U305">
        <v>1</v>
      </c>
      <c r="V305">
        <v>1</v>
      </c>
      <c r="W305">
        <v>1</v>
      </c>
      <c r="X305">
        <f t="shared" si="42"/>
        <v>0.2847988608045568</v>
      </c>
      <c r="Y305">
        <f t="shared" si="43"/>
        <v>1</v>
      </c>
      <c r="Z305">
        <f t="shared" si="47"/>
        <v>0.75471698113207553</v>
      </c>
      <c r="AA305">
        <f t="shared" si="48"/>
        <v>1</v>
      </c>
      <c r="AC305">
        <f t="shared" si="49"/>
        <v>0.22166805209199225</v>
      </c>
      <c r="AD305">
        <f t="shared" si="44"/>
        <v>0.22166805209199225</v>
      </c>
    </row>
    <row r="306" spans="1:30" x14ac:dyDescent="0.25">
      <c r="A306">
        <v>315</v>
      </c>
      <c r="B306">
        <f>IFERROR(VLOOKUP(A306,Capacity!$A$3:$D$532,4,), "0")</f>
        <v>132.53593781250001</v>
      </c>
      <c r="C306" s="4">
        <f>IFERROR(VLOOKUP(A306,Capacity!$A$3:$F$532,6,), "0")</f>
        <v>0.75</v>
      </c>
      <c r="D306">
        <v>314</v>
      </c>
      <c r="E306">
        <f>IFERROR(VLOOKUP(D306,Capacity!$A$3:$D$532,4,), "0")</f>
        <v>132.53593781250001</v>
      </c>
      <c r="F306" s="4">
        <f>IFERROR(VLOOKUP(D306,Capacity!$A$3:$F$532,6,), "0")</f>
        <v>0.75</v>
      </c>
      <c r="G306">
        <v>256</v>
      </c>
      <c r="H306">
        <f>IFERROR(VLOOKUP(G306,Capacity!$A$3:$D$532,4,), "0")</f>
        <v>11.545352804999998</v>
      </c>
      <c r="I306" s="4">
        <f>IFERROR(VLOOKUP(G306,Capacity!$A$3:$F$532,6,), "0")</f>
        <v>0.17499999999999999</v>
      </c>
      <c r="K306" t="str">
        <f>IFERROR(VLOOKUP(J306,Capacity!$A$3:$D$532,4,), "0")</f>
        <v>0</v>
      </c>
      <c r="L306" s="4" t="str">
        <f>IFERROR(VLOOKUP(J306,Capacity!$A$3:$F$532,6,), "0")</f>
        <v>0</v>
      </c>
      <c r="M306" s="5">
        <f t="shared" si="40"/>
        <v>144.0812906175</v>
      </c>
      <c r="N306" s="5">
        <f t="shared" si="41"/>
        <v>0.92500000000000004</v>
      </c>
      <c r="O306">
        <v>316</v>
      </c>
      <c r="P306">
        <f>IFERROR(VLOOKUP(O306,Capacity!$A$3:$D$532,4,), "0")</f>
        <v>132.53593781250001</v>
      </c>
      <c r="Q306" s="4">
        <f>IFERROR(VLOOKUP(O306,Capacity!$A$3:$F$532,6,), "0")</f>
        <v>0.75</v>
      </c>
      <c r="R306" s="5">
        <f t="shared" si="45"/>
        <v>132.53593781250001</v>
      </c>
      <c r="S306" s="5">
        <f t="shared" si="46"/>
        <v>0.75</v>
      </c>
      <c r="T306">
        <v>315</v>
      </c>
      <c r="U306">
        <v>2</v>
      </c>
      <c r="V306">
        <v>2</v>
      </c>
      <c r="W306">
        <v>1</v>
      </c>
      <c r="X306">
        <f t="shared" si="42"/>
        <v>1.0871111111111111</v>
      </c>
      <c r="Y306">
        <f t="shared" si="43"/>
        <v>1.0871111111111111</v>
      </c>
      <c r="Z306">
        <f t="shared" si="47"/>
        <v>1.2333333333333334</v>
      </c>
      <c r="AA306">
        <f t="shared" si="48"/>
        <v>1.2333333333333334</v>
      </c>
      <c r="AC306">
        <f t="shared" si="49"/>
        <v>0.54355555555555557</v>
      </c>
      <c r="AD306">
        <f t="shared" si="44"/>
        <v>1.0871111111111111</v>
      </c>
    </row>
    <row r="307" spans="1:30" x14ac:dyDescent="0.25">
      <c r="A307">
        <v>255</v>
      </c>
      <c r="B307">
        <f>IFERROR(VLOOKUP(A307,Capacity!$A$3:$D$532,4,), "0")</f>
        <v>26.474200840200002</v>
      </c>
      <c r="C307" s="4">
        <f>IFERROR(VLOOKUP(A307,Capacity!$A$3:$F$532,6,), "0")</f>
        <v>0.26500000000000001</v>
      </c>
      <c r="E307" t="str">
        <f>IFERROR(VLOOKUP(D307,Capacity!$A$3:$D$532,4,), "0")</f>
        <v>0</v>
      </c>
      <c r="F307" s="4" t="str">
        <f>IFERROR(VLOOKUP(D307,Capacity!$A$3:$F$532,6,), "0")</f>
        <v>0</v>
      </c>
      <c r="H307" t="str">
        <f>IFERROR(VLOOKUP(G307,Capacity!$A$3:$D$532,4,), "0")</f>
        <v>0</v>
      </c>
      <c r="I307" s="4" t="str">
        <f>IFERROR(VLOOKUP(G307,Capacity!$A$3:$F$532,6,), "0")</f>
        <v>0</v>
      </c>
      <c r="K307" t="str">
        <f>IFERROR(VLOOKUP(J307,Capacity!$A$3:$D$532,4,), "0")</f>
        <v>0</v>
      </c>
      <c r="L307" s="4" t="str">
        <f>IFERROR(VLOOKUP(J307,Capacity!$A$3:$F$532,6,), "0")</f>
        <v>0</v>
      </c>
      <c r="M307" s="5">
        <f t="shared" si="40"/>
        <v>0</v>
      </c>
      <c r="N307" s="5">
        <f t="shared" si="41"/>
        <v>0</v>
      </c>
      <c r="O307">
        <v>316</v>
      </c>
      <c r="P307">
        <f>IFERROR(VLOOKUP(O307,Capacity!$A$3:$D$532,4,), "0")</f>
        <v>132.53593781250001</v>
      </c>
      <c r="Q307" s="4">
        <f>IFERROR(VLOOKUP(O307,Capacity!$A$3:$F$532,6,), "0")</f>
        <v>0.75</v>
      </c>
      <c r="R307" s="5">
        <f t="shared" si="45"/>
        <v>132.53593781250001</v>
      </c>
      <c r="S307" s="5">
        <f t="shared" si="46"/>
        <v>0.75</v>
      </c>
      <c r="T307">
        <v>255</v>
      </c>
      <c r="U307">
        <v>0</v>
      </c>
      <c r="V307">
        <v>0</v>
      </c>
      <c r="W307">
        <v>1</v>
      </c>
      <c r="X307">
        <f t="shared" si="42"/>
        <v>0</v>
      </c>
      <c r="Y307">
        <f t="shared" si="43"/>
        <v>0</v>
      </c>
      <c r="Z307">
        <f t="shared" si="47"/>
        <v>0</v>
      </c>
      <c r="AA307">
        <f t="shared" si="48"/>
        <v>0</v>
      </c>
      <c r="AC307">
        <f t="shared" si="49"/>
        <v>0</v>
      </c>
      <c r="AD307">
        <f t="shared" si="44"/>
        <v>0</v>
      </c>
    </row>
    <row r="308" spans="1:30" x14ac:dyDescent="0.25">
      <c r="A308">
        <v>403</v>
      </c>
      <c r="B308">
        <f>IFERROR(VLOOKUP(A308,Capacity!$A$3:$D$532,4,), "0")</f>
        <v>21.647536509374998</v>
      </c>
      <c r="C308" s="4">
        <f>IFERROR(VLOOKUP(A308,Capacity!$A$3:$F$532,6,), "0")</f>
        <v>0.17499999999999999</v>
      </c>
      <c r="E308" t="str">
        <f>IFERROR(VLOOKUP(D308,Capacity!$A$3:$D$532,4,), "0")</f>
        <v>0</v>
      </c>
      <c r="F308" s="4" t="str">
        <f>IFERROR(VLOOKUP(D308,Capacity!$A$3:$F$532,6,), "0")</f>
        <v>0</v>
      </c>
      <c r="H308" t="str">
        <f>IFERROR(VLOOKUP(G308,Capacity!$A$3:$D$532,4,), "0")</f>
        <v>0</v>
      </c>
      <c r="I308" s="4" t="str">
        <f>IFERROR(VLOOKUP(G308,Capacity!$A$3:$F$532,6,), "0")</f>
        <v>0</v>
      </c>
      <c r="K308" t="str">
        <f>IFERROR(VLOOKUP(J308,Capacity!$A$3:$D$532,4,), "0")</f>
        <v>0</v>
      </c>
      <c r="L308" s="4" t="str">
        <f>IFERROR(VLOOKUP(J308,Capacity!$A$3:$F$532,6,), "0")</f>
        <v>0</v>
      </c>
      <c r="M308" s="5">
        <f t="shared" si="40"/>
        <v>0</v>
      </c>
      <c r="N308" s="5">
        <f t="shared" si="41"/>
        <v>0</v>
      </c>
      <c r="O308">
        <v>39</v>
      </c>
      <c r="P308">
        <f>IFERROR(VLOOKUP(O308,Capacity!$A$3:$D$532,4,), "0")</f>
        <v>40.212385280000007</v>
      </c>
      <c r="Q308" s="4">
        <f>IFERROR(VLOOKUP(O308,Capacity!$A$3:$F$532,6,), "0")</f>
        <v>0.4</v>
      </c>
      <c r="R308" s="5">
        <f t="shared" si="45"/>
        <v>40.212385280000007</v>
      </c>
      <c r="S308" s="5">
        <f t="shared" si="46"/>
        <v>0.4</v>
      </c>
      <c r="T308">
        <v>403</v>
      </c>
      <c r="U308">
        <v>0</v>
      </c>
      <c r="V308">
        <v>0</v>
      </c>
      <c r="W308">
        <v>1</v>
      </c>
      <c r="X308">
        <f t="shared" si="42"/>
        <v>0</v>
      </c>
      <c r="Y308">
        <f t="shared" si="43"/>
        <v>0</v>
      </c>
      <c r="Z308">
        <f t="shared" si="47"/>
        <v>0</v>
      </c>
      <c r="AA308">
        <f t="shared" si="48"/>
        <v>0</v>
      </c>
      <c r="AC308">
        <f t="shared" si="49"/>
        <v>0</v>
      </c>
      <c r="AD308">
        <f t="shared" si="44"/>
        <v>0</v>
      </c>
    </row>
    <row r="309" spans="1:30" x14ac:dyDescent="0.25">
      <c r="A309">
        <v>337</v>
      </c>
      <c r="B309">
        <f>IFERROR(VLOOKUP(A309,Capacity!$A$3:$D$532,4,), "0")</f>
        <v>115.61060768000002</v>
      </c>
      <c r="C309" s="4">
        <f>IFERROR(VLOOKUP(A309,Capacity!$A$3:$F$532,6,), "0")</f>
        <v>0.4</v>
      </c>
      <c r="D309">
        <v>336</v>
      </c>
      <c r="E309">
        <f>IFERROR(VLOOKUP(D309,Capacity!$A$3:$D$532,4,), "0")</f>
        <v>22.619466719999998</v>
      </c>
      <c r="F309" s="4">
        <f>IFERROR(VLOOKUP(D309,Capacity!$A$3:$F$532,6,), "0")</f>
        <v>0.3</v>
      </c>
      <c r="H309" t="str">
        <f>IFERROR(VLOOKUP(G309,Capacity!$A$3:$D$532,4,), "0")</f>
        <v>0</v>
      </c>
      <c r="I309" s="4" t="str">
        <f>IFERROR(VLOOKUP(G309,Capacity!$A$3:$F$532,6,), "0")</f>
        <v>0</v>
      </c>
      <c r="K309" t="str">
        <f>IFERROR(VLOOKUP(J309,Capacity!$A$3:$D$532,4,), "0")</f>
        <v>0</v>
      </c>
      <c r="L309" s="4" t="str">
        <f>IFERROR(VLOOKUP(J309,Capacity!$A$3:$F$532,6,), "0")</f>
        <v>0</v>
      </c>
      <c r="M309" s="5">
        <f t="shared" si="40"/>
        <v>22.619466719999998</v>
      </c>
      <c r="N309" s="5">
        <f t="shared" si="41"/>
        <v>0.3</v>
      </c>
      <c r="O309">
        <v>39</v>
      </c>
      <c r="P309">
        <f>IFERROR(VLOOKUP(O309,Capacity!$A$3:$D$532,4,), "0")</f>
        <v>40.212385280000007</v>
      </c>
      <c r="Q309" s="4">
        <f>IFERROR(VLOOKUP(O309,Capacity!$A$3:$F$532,6,), "0")</f>
        <v>0.4</v>
      </c>
      <c r="R309" s="5">
        <f t="shared" si="45"/>
        <v>40.212385280000007</v>
      </c>
      <c r="S309" s="5">
        <f t="shared" si="46"/>
        <v>0.4</v>
      </c>
      <c r="T309">
        <v>337</v>
      </c>
      <c r="U309">
        <v>1</v>
      </c>
      <c r="V309">
        <v>1</v>
      </c>
      <c r="W309">
        <v>1</v>
      </c>
      <c r="X309">
        <f t="shared" si="42"/>
        <v>0.56249999999999989</v>
      </c>
      <c r="Y309">
        <f t="shared" si="43"/>
        <v>0.19565217391304343</v>
      </c>
      <c r="Z309">
        <f t="shared" si="47"/>
        <v>0.74999999999999989</v>
      </c>
      <c r="AA309">
        <f t="shared" si="48"/>
        <v>0.74999999999999989</v>
      </c>
      <c r="AC309">
        <f t="shared" si="49"/>
        <v>0.14516129032258063</v>
      </c>
      <c r="AD309">
        <f t="shared" si="44"/>
        <v>0.14516129032258063</v>
      </c>
    </row>
    <row r="310" spans="1:30" x14ac:dyDescent="0.25">
      <c r="A310">
        <v>38</v>
      </c>
      <c r="B310">
        <f>IFERROR(VLOOKUP(A310,Capacity!$A$3:$D$532,4,), "0")</f>
        <v>17.649467226800002</v>
      </c>
      <c r="C310" s="4">
        <f>IFERROR(VLOOKUP(A310,Capacity!$A$3:$F$532,6,), "0")</f>
        <v>0.26500000000000001</v>
      </c>
      <c r="D310">
        <v>520</v>
      </c>
      <c r="E310">
        <f>IFERROR(VLOOKUP(D310,Capacity!$A$3:$D$532,4,), "0")</f>
        <v>22.128592876249996</v>
      </c>
      <c r="F310" s="4">
        <f>IFERROR(VLOOKUP(D310,Capacity!$A$3:$F$532,6,), "0")</f>
        <v>0.17499999999999999</v>
      </c>
      <c r="G310">
        <v>401</v>
      </c>
      <c r="H310">
        <f>IFERROR(VLOOKUP(G310,Capacity!$A$3:$D$532,4,), "0")</f>
        <v>21.647536509374998</v>
      </c>
      <c r="I310" s="4">
        <f>IFERROR(VLOOKUP(G310,Capacity!$A$3:$F$532,6,), "0")</f>
        <v>0.17499999999999999</v>
      </c>
      <c r="J310">
        <v>37</v>
      </c>
      <c r="K310">
        <f>IFERROR(VLOOKUP(J310,Capacity!$A$3:$D$532,4,), "0")</f>
        <v>17.649467226800002</v>
      </c>
      <c r="L310" s="4">
        <f>IFERROR(VLOOKUP(J310,Capacity!$A$3:$F$532,6,), "0")</f>
        <v>0.26500000000000001</v>
      </c>
      <c r="M310" s="5">
        <f t="shared" si="40"/>
        <v>61.425596612424997</v>
      </c>
      <c r="N310" s="5">
        <f t="shared" si="41"/>
        <v>0.61499999999999999</v>
      </c>
      <c r="O310">
        <v>39</v>
      </c>
      <c r="P310">
        <f>IFERROR(VLOOKUP(O310,Capacity!$A$3:$D$532,4,), "0")</f>
        <v>40.212385280000007</v>
      </c>
      <c r="Q310" s="4">
        <f>IFERROR(VLOOKUP(O310,Capacity!$A$3:$F$532,6,), "0")</f>
        <v>0.4</v>
      </c>
      <c r="R310" s="5">
        <f t="shared" si="45"/>
        <v>40.212385280000007</v>
      </c>
      <c r="S310" s="5">
        <f t="shared" si="46"/>
        <v>0.4</v>
      </c>
      <c r="T310">
        <v>38</v>
      </c>
      <c r="U310">
        <v>3</v>
      </c>
      <c r="V310">
        <v>3</v>
      </c>
      <c r="W310">
        <v>1</v>
      </c>
      <c r="X310">
        <f t="shared" si="42"/>
        <v>1.5275292968749996</v>
      </c>
      <c r="Y310">
        <f t="shared" si="43"/>
        <v>3.4803088287646844</v>
      </c>
      <c r="Z310">
        <f t="shared" si="47"/>
        <v>1.5374999999999999</v>
      </c>
      <c r="AA310">
        <f t="shared" si="48"/>
        <v>2.3207547169811318</v>
      </c>
      <c r="AC310">
        <f t="shared" si="49"/>
        <v>1.0615905635791072</v>
      </c>
      <c r="AD310">
        <f t="shared" si="44"/>
        <v>3.1847716907373216</v>
      </c>
    </row>
    <row r="311" spans="1:30" x14ac:dyDescent="0.25">
      <c r="A311">
        <v>76</v>
      </c>
      <c r="B311">
        <f>IFERROR(VLOOKUP(A311,Capacity!$A$3:$D$532,4,), "0")</f>
        <v>90.477866879999993</v>
      </c>
      <c r="C311" s="4">
        <f>IFERROR(VLOOKUP(A311,Capacity!$A$3:$F$532,6,), "0")</f>
        <v>0.6</v>
      </c>
      <c r="D311">
        <v>75</v>
      </c>
      <c r="E311">
        <f>IFERROR(VLOOKUP(D311,Capacity!$A$3:$D$532,4,), "0")</f>
        <v>90.477866879999993</v>
      </c>
      <c r="F311" s="4">
        <f>IFERROR(VLOOKUP(D311,Capacity!$A$3:$F$532,6,), "0")</f>
        <v>0.6</v>
      </c>
      <c r="H311" t="str">
        <f>IFERROR(VLOOKUP(G311,Capacity!$A$3:$D$532,4,), "0")</f>
        <v>0</v>
      </c>
      <c r="I311" s="4" t="str">
        <f>IFERROR(VLOOKUP(G311,Capacity!$A$3:$F$532,6,), "0")</f>
        <v>0</v>
      </c>
      <c r="K311" t="str">
        <f>IFERROR(VLOOKUP(J311,Capacity!$A$3:$D$532,4,), "0")</f>
        <v>0</v>
      </c>
      <c r="L311" s="4" t="str">
        <f>IFERROR(VLOOKUP(J311,Capacity!$A$3:$F$532,6,), "0")</f>
        <v>0</v>
      </c>
      <c r="M311" s="5">
        <f t="shared" si="40"/>
        <v>90.477866879999993</v>
      </c>
      <c r="N311" s="5">
        <f t="shared" si="41"/>
        <v>0.6</v>
      </c>
      <c r="O311">
        <v>77</v>
      </c>
      <c r="P311">
        <f>IFERROR(VLOOKUP(O311,Capacity!$A$3:$D$532,4,), "0")</f>
        <v>90.477866879999993</v>
      </c>
      <c r="Q311" s="4">
        <f>IFERROR(VLOOKUP(O311,Capacity!$A$3:$F$532,6,), "0")</f>
        <v>0.6</v>
      </c>
      <c r="R311" s="5">
        <f t="shared" si="45"/>
        <v>90.477866879999993</v>
      </c>
      <c r="S311" s="5">
        <f t="shared" si="46"/>
        <v>0.6</v>
      </c>
      <c r="T311">
        <v>76</v>
      </c>
      <c r="U311">
        <v>1</v>
      </c>
      <c r="V311">
        <v>1</v>
      </c>
      <c r="W311">
        <v>1</v>
      </c>
      <c r="X311">
        <f t="shared" si="42"/>
        <v>1</v>
      </c>
      <c r="Y311">
        <f t="shared" si="43"/>
        <v>1</v>
      </c>
      <c r="Z311">
        <f t="shared" si="47"/>
        <v>1</v>
      </c>
      <c r="AA311">
        <f t="shared" si="48"/>
        <v>1</v>
      </c>
      <c r="AC311">
        <f t="shared" si="49"/>
        <v>0.5</v>
      </c>
      <c r="AD311">
        <f t="shared" si="44"/>
        <v>0.5</v>
      </c>
    </row>
    <row r="312" spans="1:30" x14ac:dyDescent="0.25">
      <c r="A312">
        <v>400</v>
      </c>
      <c r="B312">
        <f>IFERROR(VLOOKUP(A312,Capacity!$A$3:$D$532,4,), "0")</f>
        <v>21.166480142499999</v>
      </c>
      <c r="C312" s="4">
        <f>IFERROR(VLOOKUP(A312,Capacity!$A$3:$F$532,6,), "0")</f>
        <v>0.17499999999999999</v>
      </c>
      <c r="E312" t="str">
        <f>IFERROR(VLOOKUP(D312,Capacity!$A$3:$D$532,4,), "0")</f>
        <v>0</v>
      </c>
      <c r="F312" s="4" t="str">
        <f>IFERROR(VLOOKUP(D312,Capacity!$A$3:$F$532,6,), "0")</f>
        <v>0</v>
      </c>
      <c r="H312" t="str">
        <f>IFERROR(VLOOKUP(G312,Capacity!$A$3:$D$532,4,), "0")</f>
        <v>0</v>
      </c>
      <c r="I312" s="4" t="str">
        <f>IFERROR(VLOOKUP(G312,Capacity!$A$3:$F$532,6,), "0")</f>
        <v>0</v>
      </c>
      <c r="K312" t="str">
        <f>IFERROR(VLOOKUP(J312,Capacity!$A$3:$D$532,4,), "0")</f>
        <v>0</v>
      </c>
      <c r="L312" s="4" t="str">
        <f>IFERROR(VLOOKUP(J312,Capacity!$A$3:$F$532,6,), "0")</f>
        <v>0</v>
      </c>
      <c r="M312" s="5">
        <f t="shared" si="40"/>
        <v>0</v>
      </c>
      <c r="N312" s="5">
        <f t="shared" si="41"/>
        <v>0</v>
      </c>
      <c r="O312">
        <v>197</v>
      </c>
      <c r="P312">
        <f>IFERROR(VLOOKUP(O312,Capacity!$A$3:$D$532,4,), "0")</f>
        <v>22.619466719999998</v>
      </c>
      <c r="Q312" s="4">
        <f>IFERROR(VLOOKUP(O312,Capacity!$A$3:$F$532,6,), "0")</f>
        <v>0.3</v>
      </c>
      <c r="R312" s="5">
        <f t="shared" si="45"/>
        <v>22.619466719999998</v>
      </c>
      <c r="S312" s="5">
        <f t="shared" si="46"/>
        <v>0.3</v>
      </c>
      <c r="T312">
        <v>400</v>
      </c>
      <c r="U312">
        <v>0</v>
      </c>
      <c r="V312">
        <v>0</v>
      </c>
      <c r="W312">
        <v>1</v>
      </c>
      <c r="X312">
        <f t="shared" si="42"/>
        <v>0</v>
      </c>
      <c r="Y312">
        <f t="shared" si="43"/>
        <v>0</v>
      </c>
      <c r="Z312">
        <f t="shared" si="47"/>
        <v>0</v>
      </c>
      <c r="AA312">
        <f t="shared" si="48"/>
        <v>0</v>
      </c>
      <c r="AC312">
        <f t="shared" si="49"/>
        <v>0</v>
      </c>
      <c r="AD312">
        <f t="shared" si="44"/>
        <v>0</v>
      </c>
    </row>
    <row r="313" spans="1:30" x14ac:dyDescent="0.25">
      <c r="A313">
        <v>198</v>
      </c>
      <c r="B313">
        <f>IFERROR(VLOOKUP(A313,Capacity!$A$3:$D$532,4,), "0")</f>
        <v>17.649467226800002</v>
      </c>
      <c r="C313" s="4">
        <f>IFERROR(VLOOKUP(A313,Capacity!$A$3:$F$532,6,), "0")</f>
        <v>0.26500000000000001</v>
      </c>
      <c r="D313">
        <v>398</v>
      </c>
      <c r="E313">
        <f>IFERROR(VLOOKUP(D313,Capacity!$A$3:$D$532,4,), "0")</f>
        <v>21.166480142499999</v>
      </c>
      <c r="F313" s="4">
        <f>IFERROR(VLOOKUP(D313,Capacity!$A$3:$F$532,6,), "0")</f>
        <v>0.17499999999999999</v>
      </c>
      <c r="G313">
        <v>199</v>
      </c>
      <c r="H313">
        <f>IFERROR(VLOOKUP(G313,Capacity!$A$3:$D$532,4,), "0")</f>
        <v>17.649467226800002</v>
      </c>
      <c r="I313" s="4">
        <f>IFERROR(VLOOKUP(G313,Capacity!$A$3:$F$532,6,), "0")</f>
        <v>0.26500000000000001</v>
      </c>
      <c r="K313" t="str">
        <f>IFERROR(VLOOKUP(J313,Capacity!$A$3:$D$532,4,), "0")</f>
        <v>0</v>
      </c>
      <c r="L313" s="4" t="str">
        <f>IFERROR(VLOOKUP(J313,Capacity!$A$3:$F$532,6,), "0")</f>
        <v>0</v>
      </c>
      <c r="M313" s="5">
        <f t="shared" si="40"/>
        <v>38.815947369300005</v>
      </c>
      <c r="N313" s="5">
        <f t="shared" si="41"/>
        <v>0.44</v>
      </c>
      <c r="O313">
        <v>197</v>
      </c>
      <c r="P313">
        <f>IFERROR(VLOOKUP(O313,Capacity!$A$3:$D$532,4,), "0")</f>
        <v>22.619466719999998</v>
      </c>
      <c r="Q313" s="4">
        <f>IFERROR(VLOOKUP(O313,Capacity!$A$3:$F$532,6,), "0")</f>
        <v>0.3</v>
      </c>
      <c r="R313" s="5">
        <f t="shared" si="45"/>
        <v>22.619466719999998</v>
      </c>
      <c r="S313" s="5">
        <f t="shared" si="46"/>
        <v>0.3</v>
      </c>
      <c r="T313">
        <v>198</v>
      </c>
      <c r="U313">
        <v>2</v>
      </c>
      <c r="V313">
        <v>2</v>
      </c>
      <c r="W313">
        <v>1</v>
      </c>
      <c r="X313">
        <f t="shared" si="42"/>
        <v>1.7160416666666671</v>
      </c>
      <c r="Y313">
        <f t="shared" si="43"/>
        <v>2.1992702029191884</v>
      </c>
      <c r="Z313">
        <f t="shared" si="47"/>
        <v>1.4666666666666668</v>
      </c>
      <c r="AA313">
        <f t="shared" si="48"/>
        <v>1.6603773584905659</v>
      </c>
      <c r="AC313">
        <f t="shared" si="49"/>
        <v>0.9639179279138711</v>
      </c>
      <c r="AD313">
        <f t="shared" si="44"/>
        <v>1.9278358558277422</v>
      </c>
    </row>
    <row r="314" spans="1:30" x14ac:dyDescent="0.25">
      <c r="A314">
        <v>476</v>
      </c>
      <c r="B314">
        <f>IFERROR(VLOOKUP(A314,Capacity!$A$3:$D$532,4,), "0")</f>
        <v>19.242254674999998</v>
      </c>
      <c r="C314" s="4">
        <f>IFERROR(VLOOKUP(A314,Capacity!$A$3:$F$532,6,), "0")</f>
        <v>0.17499999999999999</v>
      </c>
      <c r="E314" t="str">
        <f>IFERROR(VLOOKUP(D314,Capacity!$A$3:$D$532,4,), "0")</f>
        <v>0</v>
      </c>
      <c r="F314" s="4" t="str">
        <f>IFERROR(VLOOKUP(D314,Capacity!$A$3:$F$532,6,), "0")</f>
        <v>0</v>
      </c>
      <c r="H314" t="str">
        <f>IFERROR(VLOOKUP(G314,Capacity!$A$3:$D$532,4,), "0")</f>
        <v>0</v>
      </c>
      <c r="I314" s="4" t="str">
        <f>IFERROR(VLOOKUP(G314,Capacity!$A$3:$F$532,6,), "0")</f>
        <v>0</v>
      </c>
      <c r="K314" t="str">
        <f>IFERROR(VLOOKUP(J314,Capacity!$A$3:$D$532,4,), "0")</f>
        <v>0</v>
      </c>
      <c r="L314" s="4" t="str">
        <f>IFERROR(VLOOKUP(J314,Capacity!$A$3:$F$532,6,), "0")</f>
        <v>0</v>
      </c>
      <c r="M314" s="5">
        <f t="shared" si="40"/>
        <v>0</v>
      </c>
      <c r="N314" s="5">
        <f t="shared" si="41"/>
        <v>0</v>
      </c>
      <c r="O314">
        <v>219</v>
      </c>
      <c r="P314">
        <f>IFERROR(VLOOKUP(O314,Capacity!$A$3:$D$532,4,), "0")</f>
        <v>50.265481600000015</v>
      </c>
      <c r="Q314" s="4">
        <f>IFERROR(VLOOKUP(O314,Capacity!$A$3:$F$532,6,), "0")</f>
        <v>0.4</v>
      </c>
      <c r="R314" s="5">
        <f t="shared" si="45"/>
        <v>50.265481600000015</v>
      </c>
      <c r="S314" s="5">
        <f t="shared" si="46"/>
        <v>0.4</v>
      </c>
      <c r="T314">
        <v>476</v>
      </c>
      <c r="U314">
        <v>0</v>
      </c>
      <c r="V314">
        <v>0</v>
      </c>
      <c r="W314">
        <v>1</v>
      </c>
      <c r="X314">
        <f t="shared" si="42"/>
        <v>0</v>
      </c>
      <c r="Y314">
        <f t="shared" si="43"/>
        <v>0</v>
      </c>
      <c r="Z314">
        <f t="shared" si="47"/>
        <v>0</v>
      </c>
      <c r="AA314">
        <f t="shared" si="48"/>
        <v>0</v>
      </c>
      <c r="AC314">
        <f t="shared" si="49"/>
        <v>0</v>
      </c>
      <c r="AD314">
        <f t="shared" si="44"/>
        <v>0</v>
      </c>
    </row>
    <row r="315" spans="1:30" x14ac:dyDescent="0.25">
      <c r="A315">
        <v>220</v>
      </c>
      <c r="B315">
        <f>IFERROR(VLOOKUP(A315,Capacity!$A$3:$D$532,4,), "0")</f>
        <v>52.778755680000017</v>
      </c>
      <c r="C315" s="4">
        <f>IFERROR(VLOOKUP(A315,Capacity!$A$3:$F$532,6,), "0")</f>
        <v>0.4</v>
      </c>
      <c r="D315">
        <v>229</v>
      </c>
      <c r="E315">
        <f>IFERROR(VLOOKUP(D315,Capacity!$A$3:$D$532,4,), "0")</f>
        <v>47.432943172025006</v>
      </c>
      <c r="F315" s="4">
        <f>IFERROR(VLOOKUP(D315,Capacity!$A$3:$F$532,6,), "0")</f>
        <v>0.26500000000000001</v>
      </c>
      <c r="G315">
        <v>221</v>
      </c>
      <c r="H315">
        <f>IFERROR(VLOOKUP(G315,Capacity!$A$3:$D$532,4,), "0")</f>
        <v>20.204367408749999</v>
      </c>
      <c r="I315" s="4">
        <f>IFERROR(VLOOKUP(G315,Capacity!$A$3:$F$532,6,), "0")</f>
        <v>0.17499999999999999</v>
      </c>
      <c r="K315" t="str">
        <f>IFERROR(VLOOKUP(J315,Capacity!$A$3:$D$532,4,), "0")</f>
        <v>0</v>
      </c>
      <c r="L315" s="4" t="str">
        <f>IFERROR(VLOOKUP(J315,Capacity!$A$3:$F$532,6,), "0")</f>
        <v>0</v>
      </c>
      <c r="M315" s="5">
        <f t="shared" si="40"/>
        <v>67.637310580775008</v>
      </c>
      <c r="N315" s="5">
        <f t="shared" si="41"/>
        <v>0.44</v>
      </c>
      <c r="O315">
        <v>219</v>
      </c>
      <c r="P315">
        <f>IFERROR(VLOOKUP(O315,Capacity!$A$3:$D$532,4,), "0")</f>
        <v>50.265481600000015</v>
      </c>
      <c r="Q315" s="4">
        <f>IFERROR(VLOOKUP(O315,Capacity!$A$3:$F$532,6,), "0")</f>
        <v>0.4</v>
      </c>
      <c r="R315" s="5">
        <f t="shared" si="45"/>
        <v>50.265481600000015</v>
      </c>
      <c r="S315" s="5">
        <f t="shared" si="46"/>
        <v>0.4</v>
      </c>
      <c r="T315">
        <v>220</v>
      </c>
      <c r="U315">
        <v>2</v>
      </c>
      <c r="V315">
        <v>2</v>
      </c>
      <c r="W315">
        <v>1</v>
      </c>
      <c r="X315">
        <f t="shared" si="42"/>
        <v>1.3456015624999997</v>
      </c>
      <c r="Y315">
        <f t="shared" si="43"/>
        <v>1.2815252976190474</v>
      </c>
      <c r="Z315">
        <f t="shared" si="47"/>
        <v>1.0999999999999999</v>
      </c>
      <c r="AA315">
        <f t="shared" si="48"/>
        <v>1.0999999999999999</v>
      </c>
      <c r="AC315">
        <f t="shared" si="49"/>
        <v>0.65639100609756085</v>
      </c>
      <c r="AD315">
        <f t="shared" si="44"/>
        <v>1.3127820121951217</v>
      </c>
    </row>
    <row r="316" spans="1:30" x14ac:dyDescent="0.25">
      <c r="A316">
        <v>481</v>
      </c>
      <c r="B316">
        <f>IFERROR(VLOOKUP(A316,Capacity!$A$3:$D$532,4,), "0")</f>
        <v>25.495987444375</v>
      </c>
      <c r="C316" s="4">
        <f>IFERROR(VLOOKUP(A316,Capacity!$A$3:$F$532,6,), "0")</f>
        <v>0.17499999999999999</v>
      </c>
      <c r="E316" t="str">
        <f>IFERROR(VLOOKUP(D316,Capacity!$A$3:$D$532,4,), "0")</f>
        <v>0</v>
      </c>
      <c r="F316" s="4" t="str">
        <f>IFERROR(VLOOKUP(D316,Capacity!$A$3:$F$532,6,), "0")</f>
        <v>0</v>
      </c>
      <c r="H316" t="str">
        <f>IFERROR(VLOOKUP(G316,Capacity!$A$3:$D$532,4,), "0")</f>
        <v>0</v>
      </c>
      <c r="I316" s="4" t="str">
        <f>IFERROR(VLOOKUP(G316,Capacity!$A$3:$F$532,6,), "0")</f>
        <v>0</v>
      </c>
      <c r="K316" t="str">
        <f>IFERROR(VLOOKUP(J316,Capacity!$A$3:$D$532,4,), "0")</f>
        <v>0</v>
      </c>
      <c r="L316" s="4" t="str">
        <f>IFERROR(VLOOKUP(J316,Capacity!$A$3:$F$532,6,), "0")</f>
        <v>0</v>
      </c>
      <c r="M316" s="5">
        <f t="shared" si="40"/>
        <v>0</v>
      </c>
      <c r="N316" s="5">
        <f t="shared" si="41"/>
        <v>0</v>
      </c>
      <c r="O316">
        <v>230</v>
      </c>
      <c r="P316">
        <f>IFERROR(VLOOKUP(O316,Capacity!$A$3:$D$532,4,), "0")</f>
        <v>26.939156544999996</v>
      </c>
      <c r="Q316" s="4">
        <f>IFERROR(VLOOKUP(O316,Capacity!$A$3:$F$532,6,), "0")</f>
        <v>0.17499999999999999</v>
      </c>
      <c r="R316" s="5">
        <f t="shared" si="45"/>
        <v>26.939156544999996</v>
      </c>
      <c r="S316" s="5">
        <f t="shared" si="46"/>
        <v>0.17499999999999999</v>
      </c>
      <c r="T316">
        <v>481</v>
      </c>
      <c r="U316">
        <v>0</v>
      </c>
      <c r="V316">
        <v>0</v>
      </c>
      <c r="W316">
        <v>1</v>
      </c>
      <c r="X316">
        <f t="shared" si="42"/>
        <v>0</v>
      </c>
      <c r="Y316">
        <f t="shared" si="43"/>
        <v>0</v>
      </c>
      <c r="Z316">
        <f t="shared" si="47"/>
        <v>0</v>
      </c>
      <c r="AA316">
        <f t="shared" si="48"/>
        <v>0</v>
      </c>
      <c r="AC316">
        <f t="shared" si="49"/>
        <v>0</v>
      </c>
      <c r="AD316">
        <f t="shared" si="44"/>
        <v>0</v>
      </c>
    </row>
    <row r="317" spans="1:30" x14ac:dyDescent="0.25">
      <c r="A317">
        <v>385</v>
      </c>
      <c r="B317">
        <f>IFERROR(VLOOKUP(A317,Capacity!$A$3:$D$532,4,), "0")</f>
        <v>15.393803739999997</v>
      </c>
      <c r="C317" s="4">
        <f>IFERROR(VLOOKUP(A317,Capacity!$A$3:$F$532,6,), "0")</f>
        <v>0.17499999999999999</v>
      </c>
      <c r="E317" t="str">
        <f>IFERROR(VLOOKUP(D317,Capacity!$A$3:$D$532,4,), "0")</f>
        <v>0</v>
      </c>
      <c r="F317" s="4" t="str">
        <f>IFERROR(VLOOKUP(D317,Capacity!$A$3:$F$532,6,), "0")</f>
        <v>0</v>
      </c>
      <c r="H317" t="str">
        <f>IFERROR(VLOOKUP(G317,Capacity!$A$3:$D$532,4,), "0")</f>
        <v>0</v>
      </c>
      <c r="I317" s="4" t="str">
        <f>IFERROR(VLOOKUP(G317,Capacity!$A$3:$F$532,6,), "0")</f>
        <v>0</v>
      </c>
      <c r="K317" t="str">
        <f>IFERROR(VLOOKUP(J317,Capacity!$A$3:$D$532,4,), "0")</f>
        <v>0</v>
      </c>
      <c r="L317" s="4" t="str">
        <f>IFERROR(VLOOKUP(J317,Capacity!$A$3:$F$532,6,), "0")</f>
        <v>0</v>
      </c>
      <c r="M317" s="5">
        <f t="shared" si="40"/>
        <v>0</v>
      </c>
      <c r="N317" s="5">
        <f t="shared" si="41"/>
        <v>0</v>
      </c>
      <c r="O317">
        <v>104</v>
      </c>
      <c r="P317">
        <f>IFERROR(VLOOKUP(O317,Capacity!$A$3:$D$532,4,), "0")</f>
        <v>19.242254674999998</v>
      </c>
      <c r="Q317" s="4">
        <f>IFERROR(VLOOKUP(O317,Capacity!$A$3:$F$532,6,), "0")</f>
        <v>0.17499999999999999</v>
      </c>
      <c r="R317" s="5">
        <f t="shared" si="45"/>
        <v>19.242254674999998</v>
      </c>
      <c r="S317" s="5">
        <f t="shared" si="46"/>
        <v>0.17499999999999999</v>
      </c>
      <c r="T317">
        <v>385</v>
      </c>
      <c r="U317">
        <v>0</v>
      </c>
      <c r="V317">
        <v>0</v>
      </c>
      <c r="W317">
        <v>1</v>
      </c>
      <c r="X317">
        <f t="shared" si="42"/>
        <v>0</v>
      </c>
      <c r="Y317">
        <f t="shared" si="43"/>
        <v>0</v>
      </c>
      <c r="Z317">
        <f t="shared" si="47"/>
        <v>0</v>
      </c>
      <c r="AA317">
        <f t="shared" si="48"/>
        <v>0</v>
      </c>
      <c r="AC317">
        <f t="shared" si="49"/>
        <v>0</v>
      </c>
      <c r="AD317">
        <f t="shared" si="44"/>
        <v>0</v>
      </c>
    </row>
    <row r="318" spans="1:30" x14ac:dyDescent="0.25">
      <c r="A318">
        <v>279</v>
      </c>
      <c r="B318">
        <f>IFERROR(VLOOKUP(A318,Capacity!$A$3:$D$532,4,), "0")</f>
        <v>5.7726764024999992</v>
      </c>
      <c r="C318" s="4">
        <f>IFERROR(VLOOKUP(A318,Capacity!$A$3:$F$532,6,), "0")</f>
        <v>0.17499999999999999</v>
      </c>
      <c r="E318" t="str">
        <f>IFERROR(VLOOKUP(D318,Capacity!$A$3:$D$532,4,), "0")</f>
        <v>0</v>
      </c>
      <c r="F318" s="4" t="str">
        <f>IFERROR(VLOOKUP(D318,Capacity!$A$3:$F$532,6,), "0")</f>
        <v>0</v>
      </c>
      <c r="H318" t="str">
        <f>IFERROR(VLOOKUP(G318,Capacity!$A$3:$D$532,4,), "0")</f>
        <v>0</v>
      </c>
      <c r="I318" s="4" t="str">
        <f>IFERROR(VLOOKUP(G318,Capacity!$A$3:$F$532,6,), "0")</f>
        <v>0</v>
      </c>
      <c r="K318" t="str">
        <f>IFERROR(VLOOKUP(J318,Capacity!$A$3:$D$532,4,), "0")</f>
        <v>0</v>
      </c>
      <c r="L318" s="4" t="str">
        <f>IFERROR(VLOOKUP(J318,Capacity!$A$3:$F$532,6,), "0")</f>
        <v>0</v>
      </c>
      <c r="M318" s="5">
        <f t="shared" si="40"/>
        <v>0</v>
      </c>
      <c r="N318" s="5">
        <f t="shared" si="41"/>
        <v>0</v>
      </c>
      <c r="O318">
        <v>104</v>
      </c>
      <c r="P318">
        <f>IFERROR(VLOOKUP(O318,Capacity!$A$3:$D$532,4,), "0")</f>
        <v>19.242254674999998</v>
      </c>
      <c r="Q318" s="4">
        <f>IFERROR(VLOOKUP(O318,Capacity!$A$3:$F$532,6,), "0")</f>
        <v>0.17499999999999999</v>
      </c>
      <c r="R318" s="5">
        <f t="shared" si="45"/>
        <v>19.242254674999998</v>
      </c>
      <c r="S318" s="5">
        <f t="shared" si="46"/>
        <v>0.17499999999999999</v>
      </c>
      <c r="T318">
        <v>279</v>
      </c>
      <c r="U318">
        <v>0</v>
      </c>
      <c r="V318">
        <v>0</v>
      </c>
      <c r="W318">
        <v>1</v>
      </c>
      <c r="X318">
        <f t="shared" si="42"/>
        <v>0</v>
      </c>
      <c r="Y318">
        <f t="shared" si="43"/>
        <v>0</v>
      </c>
      <c r="Z318">
        <f t="shared" si="47"/>
        <v>0</v>
      </c>
      <c r="AA318">
        <f t="shared" si="48"/>
        <v>0</v>
      </c>
      <c r="AC318">
        <f t="shared" si="49"/>
        <v>0</v>
      </c>
      <c r="AD318">
        <f t="shared" si="44"/>
        <v>0</v>
      </c>
    </row>
    <row r="319" spans="1:30" x14ac:dyDescent="0.25">
      <c r="A319">
        <v>240</v>
      </c>
      <c r="B319">
        <f>IFERROR(VLOOKUP(A319,Capacity!$A$3:$D$532,4,), "0")</f>
        <v>15.079644480000002</v>
      </c>
      <c r="C319" s="4">
        <f>IFERROR(VLOOKUP(A319,Capacity!$A$3:$F$532,6,), "0")</f>
        <v>0.2</v>
      </c>
      <c r="E319" t="str">
        <f>IFERROR(VLOOKUP(D319,Capacity!$A$3:$D$532,4,), "0")</f>
        <v>0</v>
      </c>
      <c r="F319" s="4" t="str">
        <f>IFERROR(VLOOKUP(D319,Capacity!$A$3:$F$532,6,), "0")</f>
        <v>0</v>
      </c>
      <c r="H319" t="str">
        <f>IFERROR(VLOOKUP(G319,Capacity!$A$3:$D$532,4,), "0")</f>
        <v>0</v>
      </c>
      <c r="I319" s="4" t="str">
        <f>IFERROR(VLOOKUP(G319,Capacity!$A$3:$F$532,6,), "0")</f>
        <v>0</v>
      </c>
      <c r="K319" t="str">
        <f>IFERROR(VLOOKUP(J319,Capacity!$A$3:$D$532,4,), "0")</f>
        <v>0</v>
      </c>
      <c r="L319" s="4" t="str">
        <f>IFERROR(VLOOKUP(J319,Capacity!$A$3:$F$532,6,), "0")</f>
        <v>0</v>
      </c>
      <c r="M319" s="5">
        <f t="shared" si="40"/>
        <v>0</v>
      </c>
      <c r="N319" s="5">
        <f t="shared" si="41"/>
        <v>0</v>
      </c>
      <c r="O319">
        <v>8</v>
      </c>
      <c r="P319">
        <f>IFERROR(VLOOKUP(O319,Capacity!$A$3:$D$532,4,), "0")</f>
        <v>9.4247778000000029</v>
      </c>
      <c r="Q319" s="4">
        <f>IFERROR(VLOOKUP(O319,Capacity!$A$3:$F$532,6,), "0")</f>
        <v>0.2</v>
      </c>
      <c r="R319" s="5">
        <f t="shared" si="45"/>
        <v>9.4247778000000029</v>
      </c>
      <c r="S319" s="5">
        <f t="shared" si="46"/>
        <v>0.2</v>
      </c>
      <c r="T319">
        <v>240</v>
      </c>
      <c r="U319">
        <v>0</v>
      </c>
      <c r="V319">
        <v>0</v>
      </c>
      <c r="W319">
        <v>1</v>
      </c>
      <c r="X319">
        <f t="shared" si="42"/>
        <v>0</v>
      </c>
      <c r="Y319">
        <f t="shared" si="43"/>
        <v>0</v>
      </c>
      <c r="Z319">
        <f t="shared" si="47"/>
        <v>0</v>
      </c>
      <c r="AA319">
        <f t="shared" si="48"/>
        <v>0</v>
      </c>
      <c r="AC319">
        <f t="shared" si="49"/>
        <v>0</v>
      </c>
      <c r="AD319">
        <f t="shared" si="44"/>
        <v>0</v>
      </c>
    </row>
    <row r="320" spans="1:30" x14ac:dyDescent="0.25">
      <c r="A320">
        <v>353</v>
      </c>
      <c r="B320">
        <f>IFERROR(VLOOKUP(A320,Capacity!$A$3:$D$532,4,), "0")</f>
        <v>7.2158455031249993</v>
      </c>
      <c r="C320" s="4">
        <f>IFERROR(VLOOKUP(A320,Capacity!$A$3:$F$532,6,), "0")</f>
        <v>0.17499999999999999</v>
      </c>
      <c r="E320" t="str">
        <f>IFERROR(VLOOKUP(D320,Capacity!$A$3:$D$532,4,), "0")</f>
        <v>0</v>
      </c>
      <c r="F320" s="4" t="str">
        <f>IFERROR(VLOOKUP(D320,Capacity!$A$3:$F$532,6,), "0")</f>
        <v>0</v>
      </c>
      <c r="H320" t="str">
        <f>IFERROR(VLOOKUP(G320,Capacity!$A$3:$D$532,4,), "0")</f>
        <v>0</v>
      </c>
      <c r="I320" s="4" t="str">
        <f>IFERROR(VLOOKUP(G320,Capacity!$A$3:$F$532,6,), "0")</f>
        <v>0</v>
      </c>
      <c r="K320" t="str">
        <f>IFERROR(VLOOKUP(J320,Capacity!$A$3:$D$532,4,), "0")</f>
        <v>0</v>
      </c>
      <c r="L320" s="4" t="str">
        <f>IFERROR(VLOOKUP(J320,Capacity!$A$3:$F$532,6,), "0")</f>
        <v>0</v>
      </c>
      <c r="M320" s="5">
        <f t="shared" si="40"/>
        <v>0</v>
      </c>
      <c r="N320" s="5">
        <f t="shared" si="41"/>
        <v>0</v>
      </c>
      <c r="O320">
        <v>9</v>
      </c>
      <c r="P320">
        <f>IFERROR(VLOOKUP(O320,Capacity!$A$3:$D$532,4,), "0")</f>
        <v>14.431691006249999</v>
      </c>
      <c r="Q320" s="4">
        <f>IFERROR(VLOOKUP(O320,Capacity!$A$3:$F$532,6,), "0")</f>
        <v>0.17499999999999999</v>
      </c>
      <c r="R320" s="5">
        <f t="shared" si="45"/>
        <v>14.431691006249999</v>
      </c>
      <c r="S320" s="5">
        <f t="shared" si="46"/>
        <v>0.17499999999999999</v>
      </c>
      <c r="T320">
        <v>353</v>
      </c>
      <c r="U320">
        <v>0</v>
      </c>
      <c r="V320">
        <v>0</v>
      </c>
      <c r="W320">
        <v>1</v>
      </c>
      <c r="X320">
        <f t="shared" si="42"/>
        <v>0</v>
      </c>
      <c r="Y320">
        <f t="shared" si="43"/>
        <v>0</v>
      </c>
      <c r="Z320">
        <f t="shared" si="47"/>
        <v>0</v>
      </c>
      <c r="AA320">
        <f t="shared" si="48"/>
        <v>0</v>
      </c>
      <c r="AC320">
        <f t="shared" si="49"/>
        <v>0</v>
      </c>
      <c r="AD320">
        <f t="shared" si="44"/>
        <v>0</v>
      </c>
    </row>
    <row r="321" spans="1:30" x14ac:dyDescent="0.25">
      <c r="A321">
        <v>239</v>
      </c>
      <c r="B321">
        <f>IFERROR(VLOOKUP(A321,Capacity!$A$3:$D$532,4,), "0")</f>
        <v>11.545352804999998</v>
      </c>
      <c r="C321" s="4">
        <f>IFERROR(VLOOKUP(A321,Capacity!$A$3:$F$532,6,), "0")</f>
        <v>0.17499999999999999</v>
      </c>
      <c r="E321" t="str">
        <f>IFERROR(VLOOKUP(D321,Capacity!$A$3:$D$532,4,), "0")</f>
        <v>0</v>
      </c>
      <c r="F321" s="4" t="str">
        <f>IFERROR(VLOOKUP(D321,Capacity!$A$3:$F$532,6,), "0")</f>
        <v>0</v>
      </c>
      <c r="H321" t="str">
        <f>IFERROR(VLOOKUP(G321,Capacity!$A$3:$D$532,4,), "0")</f>
        <v>0</v>
      </c>
      <c r="I321" s="4" t="str">
        <f>IFERROR(VLOOKUP(G321,Capacity!$A$3:$F$532,6,), "0")</f>
        <v>0</v>
      </c>
      <c r="K321" t="str">
        <f>IFERROR(VLOOKUP(J321,Capacity!$A$3:$D$532,4,), "0")</f>
        <v>0</v>
      </c>
      <c r="L321" s="4" t="str">
        <f>IFERROR(VLOOKUP(J321,Capacity!$A$3:$F$532,6,), "0")</f>
        <v>0</v>
      </c>
      <c r="M321" s="5">
        <f t="shared" si="40"/>
        <v>0</v>
      </c>
      <c r="N321" s="5">
        <f t="shared" si="41"/>
        <v>0</v>
      </c>
      <c r="O321">
        <v>9</v>
      </c>
      <c r="P321">
        <f>IFERROR(VLOOKUP(O321,Capacity!$A$3:$D$532,4,), "0")</f>
        <v>14.431691006249999</v>
      </c>
      <c r="Q321" s="4">
        <f>IFERROR(VLOOKUP(O321,Capacity!$A$3:$F$532,6,), "0")</f>
        <v>0.17499999999999999</v>
      </c>
      <c r="R321" s="5">
        <f t="shared" si="45"/>
        <v>14.431691006249999</v>
      </c>
      <c r="S321" s="5">
        <f t="shared" si="46"/>
        <v>0.17499999999999999</v>
      </c>
      <c r="T321">
        <v>239</v>
      </c>
      <c r="U321">
        <v>0</v>
      </c>
      <c r="V321">
        <v>0</v>
      </c>
      <c r="W321">
        <v>1</v>
      </c>
      <c r="X321">
        <f t="shared" si="42"/>
        <v>0</v>
      </c>
      <c r="Y321">
        <f t="shared" si="43"/>
        <v>0</v>
      </c>
      <c r="Z321">
        <f t="shared" si="47"/>
        <v>0</v>
      </c>
      <c r="AA321">
        <f t="shared" si="48"/>
        <v>0</v>
      </c>
      <c r="AC321">
        <f t="shared" si="49"/>
        <v>0</v>
      </c>
      <c r="AD321">
        <f t="shared" si="44"/>
        <v>0</v>
      </c>
    </row>
    <row r="322" spans="1:30" x14ac:dyDescent="0.25">
      <c r="A322">
        <v>10</v>
      </c>
      <c r="B322">
        <f>IFERROR(VLOOKUP(A322,Capacity!$A$3:$D$532,4,), "0")</f>
        <v>7.2158455031249993</v>
      </c>
      <c r="C322" s="4">
        <f>IFERROR(VLOOKUP(A322,Capacity!$A$3:$F$532,6,), "0")</f>
        <v>0.17499999999999999</v>
      </c>
      <c r="D322">
        <v>238</v>
      </c>
      <c r="E322">
        <f>IFERROR(VLOOKUP(D322,Capacity!$A$3:$D$532,4,), "0")</f>
        <v>11.545352804999998</v>
      </c>
      <c r="F322" s="4">
        <f>IFERROR(VLOOKUP(D322,Capacity!$A$3:$F$532,6,), "0")</f>
        <v>0.17499999999999999</v>
      </c>
      <c r="H322" t="str">
        <f>IFERROR(VLOOKUP(G322,Capacity!$A$3:$D$532,4,), "0")</f>
        <v>0</v>
      </c>
      <c r="I322" s="4" t="str">
        <f>IFERROR(VLOOKUP(G322,Capacity!$A$3:$F$532,6,), "0")</f>
        <v>0</v>
      </c>
      <c r="K322" t="str">
        <f>IFERROR(VLOOKUP(J322,Capacity!$A$3:$D$532,4,), "0")</f>
        <v>0</v>
      </c>
      <c r="L322" s="4" t="str">
        <f>IFERROR(VLOOKUP(J322,Capacity!$A$3:$F$532,6,), "0")</f>
        <v>0</v>
      </c>
      <c r="M322" s="5">
        <f t="shared" ref="M322:M385" si="50">$E322+$H322+$K322</f>
        <v>11.545352804999998</v>
      </c>
      <c r="N322" s="5">
        <f t="shared" si="41"/>
        <v>0.17499999999999999</v>
      </c>
      <c r="O322">
        <v>9</v>
      </c>
      <c r="P322">
        <f>IFERROR(VLOOKUP(O322,Capacity!$A$3:$D$532,4,), "0")</f>
        <v>14.431691006249999</v>
      </c>
      <c r="Q322" s="4">
        <f>IFERROR(VLOOKUP(O322,Capacity!$A$3:$F$532,6,), "0")</f>
        <v>0.17499999999999999</v>
      </c>
      <c r="R322" s="5">
        <f t="shared" si="45"/>
        <v>14.431691006249999</v>
      </c>
      <c r="S322" s="5">
        <f t="shared" si="46"/>
        <v>0.17499999999999999</v>
      </c>
      <c r="T322">
        <v>10</v>
      </c>
      <c r="U322">
        <v>1</v>
      </c>
      <c r="V322">
        <v>1</v>
      </c>
      <c r="W322">
        <v>1</v>
      </c>
      <c r="X322">
        <f t="shared" si="42"/>
        <v>0.79999999999999993</v>
      </c>
      <c r="Y322">
        <f t="shared" si="43"/>
        <v>1.5999999999999999</v>
      </c>
      <c r="Z322">
        <f t="shared" si="47"/>
        <v>1</v>
      </c>
      <c r="AA322">
        <f t="shared" si="48"/>
        <v>1</v>
      </c>
      <c r="AC322">
        <f t="shared" si="49"/>
        <v>0.53333333333333333</v>
      </c>
      <c r="AD322">
        <f t="shared" si="44"/>
        <v>0.53333333333333333</v>
      </c>
    </row>
    <row r="323" spans="1:30" x14ac:dyDescent="0.25">
      <c r="A323">
        <v>355</v>
      </c>
      <c r="B323">
        <f>IFERROR(VLOOKUP(A323,Capacity!$A$3:$D$532,4,), "0")</f>
        <v>9.621127337499999</v>
      </c>
      <c r="C323" s="4">
        <f>IFERROR(VLOOKUP(A323,Capacity!$A$3:$F$532,6,), "0")</f>
        <v>0.17499999999999999</v>
      </c>
      <c r="E323" t="str">
        <f>IFERROR(VLOOKUP(D323,Capacity!$A$3:$D$532,4,), "0")</f>
        <v>0</v>
      </c>
      <c r="F323" s="4" t="str">
        <f>IFERROR(VLOOKUP(D323,Capacity!$A$3:$F$532,6,), "0")</f>
        <v>0</v>
      </c>
      <c r="H323" t="str">
        <f>IFERROR(VLOOKUP(G323,Capacity!$A$3:$D$532,4,), "0")</f>
        <v>0</v>
      </c>
      <c r="I323" s="4" t="str">
        <f>IFERROR(VLOOKUP(G323,Capacity!$A$3:$F$532,6,), "0")</f>
        <v>0</v>
      </c>
      <c r="K323" t="str">
        <f>IFERROR(VLOOKUP(J323,Capacity!$A$3:$D$532,4,), "0")</f>
        <v>0</v>
      </c>
      <c r="L323" s="4" t="str">
        <f>IFERROR(VLOOKUP(J323,Capacity!$A$3:$F$532,6,), "0")</f>
        <v>0</v>
      </c>
      <c r="M323" s="5">
        <f t="shared" si="50"/>
        <v>0</v>
      </c>
      <c r="N323" s="5">
        <f t="shared" ref="N323:N386" si="51">$F323+$I323+$L323</f>
        <v>0</v>
      </c>
      <c r="O323">
        <v>14</v>
      </c>
      <c r="P323">
        <f>IFERROR(VLOOKUP(O323,Capacity!$A$3:$D$532,4,), "0")</f>
        <v>25.014931077499998</v>
      </c>
      <c r="Q323" s="4">
        <f>IFERROR(VLOOKUP(O323,Capacity!$A$3:$F$532,6,), "0")</f>
        <v>0.17499999999999999</v>
      </c>
      <c r="R323" s="5">
        <f t="shared" si="45"/>
        <v>25.014931077499998</v>
      </c>
      <c r="S323" s="5">
        <f t="shared" si="46"/>
        <v>0.17499999999999999</v>
      </c>
      <c r="T323">
        <v>355</v>
      </c>
      <c r="U323">
        <v>0</v>
      </c>
      <c r="V323">
        <v>0</v>
      </c>
      <c r="W323">
        <v>1</v>
      </c>
      <c r="X323">
        <f t="shared" ref="X323:X386" si="52">($M323/$R323)</f>
        <v>0</v>
      </c>
      <c r="Y323">
        <f t="shared" ref="Y323:Y386" si="53">($M323/$B323)</f>
        <v>0</v>
      </c>
      <c r="Z323">
        <f t="shared" si="47"/>
        <v>0</v>
      </c>
      <c r="AA323">
        <f t="shared" si="48"/>
        <v>0</v>
      </c>
      <c r="AC323">
        <f t="shared" si="49"/>
        <v>0</v>
      </c>
      <c r="AD323">
        <f t="shared" ref="AD323:AD386" si="54">U323*AC323</f>
        <v>0</v>
      </c>
    </row>
    <row r="324" spans="1:30" x14ac:dyDescent="0.25">
      <c r="A324">
        <v>11</v>
      </c>
      <c r="B324">
        <f>IFERROR(VLOOKUP(A324,Capacity!$A$3:$D$532,4,), "0")</f>
        <v>12.507465538749999</v>
      </c>
      <c r="C324" s="4">
        <f>IFERROR(VLOOKUP(A324,Capacity!$A$3:$F$532,6,), "0")</f>
        <v>0.17499999999999999</v>
      </c>
      <c r="D324">
        <v>354</v>
      </c>
      <c r="E324">
        <f>IFERROR(VLOOKUP(D324,Capacity!$A$3:$D$532,4,), "0")</f>
        <v>8.1779582368749981</v>
      </c>
      <c r="F324" s="4">
        <f>IFERROR(VLOOKUP(D324,Capacity!$A$3:$F$532,6,), "0")</f>
        <v>0.17499999999999999</v>
      </c>
      <c r="H324" t="str">
        <f>IFERROR(VLOOKUP(G324,Capacity!$A$3:$D$532,4,), "0")</f>
        <v>0</v>
      </c>
      <c r="I324" s="4" t="str">
        <f>IFERROR(VLOOKUP(G324,Capacity!$A$3:$F$532,6,), "0")</f>
        <v>0</v>
      </c>
      <c r="K324" t="str">
        <f>IFERROR(VLOOKUP(J324,Capacity!$A$3:$D$532,4,), "0")</f>
        <v>0</v>
      </c>
      <c r="L324" s="4" t="str">
        <f>IFERROR(VLOOKUP(J324,Capacity!$A$3:$F$532,6,), "0")</f>
        <v>0</v>
      </c>
      <c r="M324" s="5">
        <f t="shared" si="50"/>
        <v>8.1779582368749981</v>
      </c>
      <c r="N324" s="5">
        <f t="shared" si="51"/>
        <v>0.17499999999999999</v>
      </c>
      <c r="O324">
        <v>12</v>
      </c>
      <c r="P324">
        <f>IFERROR(VLOOKUP(O324,Capacity!$A$3:$D$532,4,), "0")</f>
        <v>32.672563040000007</v>
      </c>
      <c r="Q324" s="4">
        <f>IFERROR(VLOOKUP(O324,Capacity!$A$3:$F$532,6,), "0")</f>
        <v>0.2</v>
      </c>
      <c r="R324" s="5">
        <f t="shared" ref="R324:R387" si="55">$P324</f>
        <v>32.672563040000007</v>
      </c>
      <c r="S324" s="5">
        <f t="shared" ref="S324:S387" si="56">$Q324</f>
        <v>0.2</v>
      </c>
      <c r="T324">
        <v>11</v>
      </c>
      <c r="U324">
        <v>1</v>
      </c>
      <c r="V324">
        <v>1</v>
      </c>
      <c r="W324">
        <v>1</v>
      </c>
      <c r="X324">
        <f t="shared" si="52"/>
        <v>0.25030048076923067</v>
      </c>
      <c r="Y324">
        <f t="shared" si="53"/>
        <v>0.65384615384615374</v>
      </c>
      <c r="Z324">
        <f t="shared" ref="Z324:Z387" si="57">($N324/$S324)</f>
        <v>0.87499999999999989</v>
      </c>
      <c r="AA324">
        <f t="shared" ref="AA324:AA387" si="58">($N324/$C324)</f>
        <v>1</v>
      </c>
      <c r="AC324">
        <f t="shared" ref="AC324:AC387" si="59">$M324/($R324+$B324)</f>
        <v>0.18100825727944367</v>
      </c>
      <c r="AD324">
        <f t="shared" si="54"/>
        <v>0.18100825727944367</v>
      </c>
    </row>
    <row r="325" spans="1:30" x14ac:dyDescent="0.25">
      <c r="A325">
        <v>69</v>
      </c>
      <c r="B325">
        <f>IFERROR(VLOOKUP(A325,Capacity!$A$3:$D$532,4,), "0")</f>
        <v>59.566951890450007</v>
      </c>
      <c r="C325" s="4">
        <f>IFERROR(VLOOKUP(A325,Capacity!$A$3:$F$532,6,), "0")</f>
        <v>0.26500000000000001</v>
      </c>
      <c r="D325">
        <v>356</v>
      </c>
      <c r="E325">
        <f>IFERROR(VLOOKUP(D325,Capacity!$A$3:$D$532,4,), "0")</f>
        <v>7.6969018699999987</v>
      </c>
      <c r="F325" s="4">
        <f>IFERROR(VLOOKUP(D325,Capacity!$A$3:$F$532,6,), "0")</f>
        <v>0.17499999999999999</v>
      </c>
      <c r="G325">
        <v>237</v>
      </c>
      <c r="H325">
        <f>IFERROR(VLOOKUP(G325,Capacity!$A$3:$D$532,4,), "0")</f>
        <v>15.079644480000002</v>
      </c>
      <c r="I325" s="4">
        <f>IFERROR(VLOOKUP(G325,Capacity!$A$3:$F$532,6,), "0")</f>
        <v>0.2</v>
      </c>
      <c r="J325">
        <v>67</v>
      </c>
      <c r="K325">
        <f>IFERROR(VLOOKUP(J325,Capacity!$A$3:$D$532,4,), "0")</f>
        <v>17.649467226800002</v>
      </c>
      <c r="L325" s="4">
        <f>IFERROR(VLOOKUP(J325,Capacity!$A$3:$F$532,6,), "0")</f>
        <v>0.26500000000000001</v>
      </c>
      <c r="M325" s="5">
        <f t="shared" si="50"/>
        <v>40.426013576800003</v>
      </c>
      <c r="N325" s="5">
        <f t="shared" si="51"/>
        <v>0.64</v>
      </c>
      <c r="O325">
        <v>60</v>
      </c>
      <c r="P325">
        <f>IFERROR(VLOOKUP(O325,Capacity!$A$3:$D$532,4,), "0")</f>
        <v>90.477866880000022</v>
      </c>
      <c r="Q325" s="4">
        <f>IFERROR(VLOOKUP(O325,Capacity!$A$3:$F$532,6,), "0")</f>
        <v>0.4</v>
      </c>
      <c r="R325" s="5">
        <f t="shared" si="55"/>
        <v>90.477866880000022</v>
      </c>
      <c r="S325" s="5">
        <f t="shared" si="56"/>
        <v>0.4</v>
      </c>
      <c r="T325">
        <v>69</v>
      </c>
      <c r="U325">
        <v>3</v>
      </c>
      <c r="V325">
        <v>3</v>
      </c>
      <c r="W325">
        <v>1</v>
      </c>
      <c r="X325">
        <f t="shared" si="52"/>
        <v>0.44680555555555546</v>
      </c>
      <c r="Y325">
        <f t="shared" si="53"/>
        <v>0.67866513719130306</v>
      </c>
      <c r="Z325">
        <f t="shared" si="57"/>
        <v>1.5999999999999999</v>
      </c>
      <c r="AA325">
        <f t="shared" si="58"/>
        <v>2.4150943396226414</v>
      </c>
      <c r="AC325">
        <f t="shared" si="59"/>
        <v>0.26942625482221277</v>
      </c>
      <c r="AD325">
        <f t="shared" si="54"/>
        <v>0.80827876446663827</v>
      </c>
    </row>
    <row r="326" spans="1:30" x14ac:dyDescent="0.25">
      <c r="A326">
        <v>61</v>
      </c>
      <c r="B326">
        <f>IFERROR(VLOOKUP(A326,Capacity!$A$3:$D$532,4,), "0")</f>
        <v>7.6969018699999987</v>
      </c>
      <c r="C326" s="4">
        <f>IFERROR(VLOOKUP(A326,Capacity!$A$3:$F$532,6,), "0")</f>
        <v>0.17499999999999999</v>
      </c>
      <c r="D326">
        <v>388</v>
      </c>
      <c r="E326">
        <f>IFERROR(VLOOKUP(D326,Capacity!$A$3:$D$532,4,), "0")</f>
        <v>25.977043811249995</v>
      </c>
      <c r="F326" s="4">
        <f>IFERROR(VLOOKUP(D326,Capacity!$A$3:$F$532,6,), "0")</f>
        <v>0.17499999999999999</v>
      </c>
      <c r="H326" t="str">
        <f>IFERROR(VLOOKUP(G326,Capacity!$A$3:$D$532,4,), "0")</f>
        <v>0</v>
      </c>
      <c r="I326" s="4" t="str">
        <f>IFERROR(VLOOKUP(G326,Capacity!$A$3:$F$532,6,), "0")</f>
        <v>0</v>
      </c>
      <c r="K326" t="str">
        <f>IFERROR(VLOOKUP(J326,Capacity!$A$3:$D$532,4,), "0")</f>
        <v>0</v>
      </c>
      <c r="L326" s="4" t="str">
        <f>IFERROR(VLOOKUP(J326,Capacity!$A$3:$F$532,6,), "0")</f>
        <v>0</v>
      </c>
      <c r="M326" s="5">
        <f t="shared" si="50"/>
        <v>25.977043811249995</v>
      </c>
      <c r="N326" s="5">
        <f t="shared" si="51"/>
        <v>0.17499999999999999</v>
      </c>
      <c r="O326">
        <v>60</v>
      </c>
      <c r="P326">
        <f>IFERROR(VLOOKUP(O326,Capacity!$A$3:$D$532,4,), "0")</f>
        <v>90.477866880000022</v>
      </c>
      <c r="Q326" s="4">
        <f>IFERROR(VLOOKUP(O326,Capacity!$A$3:$F$532,6,), "0")</f>
        <v>0.4</v>
      </c>
      <c r="R326" s="5">
        <f t="shared" si="55"/>
        <v>90.477866880000022</v>
      </c>
      <c r="S326" s="5">
        <f t="shared" si="56"/>
        <v>0.4</v>
      </c>
      <c r="T326">
        <v>61</v>
      </c>
      <c r="U326">
        <v>1</v>
      </c>
      <c r="V326">
        <v>1</v>
      </c>
      <c r="W326">
        <v>1</v>
      </c>
      <c r="X326">
        <f t="shared" si="52"/>
        <v>0.28710937499999989</v>
      </c>
      <c r="Y326">
        <f t="shared" si="53"/>
        <v>3.375</v>
      </c>
      <c r="Z326">
        <f t="shared" si="57"/>
        <v>0.43749999999999994</v>
      </c>
      <c r="AA326">
        <f t="shared" si="58"/>
        <v>1</v>
      </c>
      <c r="AC326">
        <f t="shared" si="59"/>
        <v>0.26459999999999989</v>
      </c>
      <c r="AD326">
        <f t="shared" si="54"/>
        <v>0.26459999999999989</v>
      </c>
    </row>
    <row r="327" spans="1:30" x14ac:dyDescent="0.25">
      <c r="A327">
        <v>103</v>
      </c>
      <c r="B327">
        <f>IFERROR(VLOOKUP(A327,Capacity!$A$3:$D$532,4,), "0")</f>
        <v>10.102183704374999</v>
      </c>
      <c r="C327" s="4">
        <f>IFERROR(VLOOKUP(A327,Capacity!$A$3:$F$532,6,), "0")</f>
        <v>0.17499999999999999</v>
      </c>
      <c r="D327">
        <v>63</v>
      </c>
      <c r="E327">
        <f>IFERROR(VLOOKUP(D327,Capacity!$A$3:$D$532,4,), "0")</f>
        <v>10.102183704374999</v>
      </c>
      <c r="F327" s="4">
        <f>IFERROR(VLOOKUP(D327,Capacity!$A$3:$F$532,6,), "0")</f>
        <v>0.17499999999999999</v>
      </c>
      <c r="G327">
        <v>62</v>
      </c>
      <c r="H327">
        <f>IFERROR(VLOOKUP(G327,Capacity!$A$3:$D$532,4,), "0")</f>
        <v>4.8105636687499995</v>
      </c>
      <c r="I327" s="4">
        <f>IFERROR(VLOOKUP(G327,Capacity!$A$3:$F$532,6,), "0")</f>
        <v>0.17499999999999999</v>
      </c>
      <c r="K327" t="str">
        <f>IFERROR(VLOOKUP(J327,Capacity!$A$3:$D$532,4,), "0")</f>
        <v>0</v>
      </c>
      <c r="L327" s="4" t="str">
        <f>IFERROR(VLOOKUP(J327,Capacity!$A$3:$F$532,6,), "0")</f>
        <v>0</v>
      </c>
      <c r="M327" s="5">
        <f t="shared" si="50"/>
        <v>14.912747373124999</v>
      </c>
      <c r="N327" s="5">
        <f t="shared" si="51"/>
        <v>0.35</v>
      </c>
      <c r="O327">
        <v>102</v>
      </c>
      <c r="P327">
        <f>IFERROR(VLOOKUP(O327,Capacity!$A$3:$D$532,4,), "0")</f>
        <v>50.265481600000015</v>
      </c>
      <c r="Q327" s="4">
        <f>IFERROR(VLOOKUP(O327,Capacity!$A$3:$F$532,6,), "0")</f>
        <v>0.4</v>
      </c>
      <c r="R327" s="5">
        <f t="shared" si="55"/>
        <v>50.265481600000015</v>
      </c>
      <c r="S327" s="5">
        <f t="shared" si="56"/>
        <v>0.4</v>
      </c>
      <c r="T327">
        <v>103</v>
      </c>
      <c r="U327">
        <v>2</v>
      </c>
      <c r="V327">
        <v>2</v>
      </c>
      <c r="W327">
        <v>1</v>
      </c>
      <c r="X327">
        <f t="shared" si="52"/>
        <v>0.2966796874999999</v>
      </c>
      <c r="Y327">
        <f t="shared" si="53"/>
        <v>1.4761904761904763</v>
      </c>
      <c r="Z327">
        <f t="shared" si="57"/>
        <v>0.87499999999999989</v>
      </c>
      <c r="AA327">
        <f t="shared" si="58"/>
        <v>2</v>
      </c>
      <c r="AC327">
        <f t="shared" si="59"/>
        <v>0.24703203772971205</v>
      </c>
      <c r="AD327">
        <f t="shared" si="54"/>
        <v>0.4940640754594241</v>
      </c>
    </row>
    <row r="328" spans="1:30" x14ac:dyDescent="0.25">
      <c r="A328">
        <v>522</v>
      </c>
      <c r="B328">
        <f>IFERROR(VLOOKUP(A328,Capacity!$A$3:$D$532,4,), "0")</f>
        <v>13.950634639374998</v>
      </c>
      <c r="C328" s="4">
        <f>IFERROR(VLOOKUP(A328,Capacity!$A$3:$F$532,6,), "0")</f>
        <v>0.17499999999999999</v>
      </c>
      <c r="E328" t="str">
        <f>IFERROR(VLOOKUP(D328,Capacity!$A$3:$D$532,4,), "0")</f>
        <v>0</v>
      </c>
      <c r="F328" s="4" t="str">
        <f>IFERROR(VLOOKUP(D328,Capacity!$A$3:$F$532,6,), "0")</f>
        <v>0</v>
      </c>
      <c r="H328" t="str">
        <f>IFERROR(VLOOKUP(G328,Capacity!$A$3:$D$532,4,), "0")</f>
        <v>0</v>
      </c>
      <c r="I328" s="4" t="str">
        <f>IFERROR(VLOOKUP(G328,Capacity!$A$3:$F$532,6,), "0")</f>
        <v>0</v>
      </c>
      <c r="K328" t="str">
        <f>IFERROR(VLOOKUP(J328,Capacity!$A$3:$D$532,4,), "0")</f>
        <v>0</v>
      </c>
      <c r="L328" s="4" t="str">
        <f>IFERROR(VLOOKUP(J328,Capacity!$A$3:$F$532,6,), "0")</f>
        <v>0</v>
      </c>
      <c r="M328" s="5">
        <f t="shared" si="50"/>
        <v>0</v>
      </c>
      <c r="N328" s="5">
        <f t="shared" si="51"/>
        <v>0</v>
      </c>
      <c r="O328">
        <v>322</v>
      </c>
      <c r="P328">
        <f>IFERROR(VLOOKUP(O328,Capacity!$A$3:$D$532,4,), "0")</f>
        <v>75.398222400000023</v>
      </c>
      <c r="Q328" s="4">
        <f>IFERROR(VLOOKUP(O328,Capacity!$A$3:$F$532,6,), "0")</f>
        <v>0.4</v>
      </c>
      <c r="R328" s="5">
        <f t="shared" si="55"/>
        <v>75.398222400000023</v>
      </c>
      <c r="S328" s="5">
        <f t="shared" si="56"/>
        <v>0.4</v>
      </c>
      <c r="T328">
        <v>522</v>
      </c>
      <c r="U328">
        <v>0</v>
      </c>
      <c r="V328">
        <v>0</v>
      </c>
      <c r="W328">
        <v>1</v>
      </c>
      <c r="X328">
        <f t="shared" si="52"/>
        <v>0</v>
      </c>
      <c r="Y328">
        <f t="shared" si="53"/>
        <v>0</v>
      </c>
      <c r="Z328">
        <f t="shared" si="57"/>
        <v>0</v>
      </c>
      <c r="AA328">
        <f t="shared" si="58"/>
        <v>0</v>
      </c>
      <c r="AC328">
        <f t="shared" si="59"/>
        <v>0</v>
      </c>
      <c r="AD328">
        <f t="shared" si="54"/>
        <v>0</v>
      </c>
    </row>
    <row r="329" spans="1:30" x14ac:dyDescent="0.25">
      <c r="A329">
        <v>323</v>
      </c>
      <c r="B329">
        <f>IFERROR(VLOOKUP(A329,Capacity!$A$3:$D$532,4,), "0")</f>
        <v>40.212385280000007</v>
      </c>
      <c r="C329" s="4">
        <f>IFERROR(VLOOKUP(A329,Capacity!$A$3:$F$532,6,), "0")</f>
        <v>0.4</v>
      </c>
      <c r="D329">
        <v>521</v>
      </c>
      <c r="E329">
        <f>IFERROR(VLOOKUP(D329,Capacity!$A$3:$D$532,4,), "0")</f>
        <v>13.950634639374998</v>
      </c>
      <c r="F329" s="4">
        <f>IFERROR(VLOOKUP(D329,Capacity!$A$3:$F$532,6,), "0")</f>
        <v>0.17499999999999999</v>
      </c>
      <c r="G329">
        <v>503</v>
      </c>
      <c r="H329">
        <f>IFERROR(VLOOKUP(G329,Capacity!$A$3:$D$532,4,), "0")</f>
        <v>14.431691006249999</v>
      </c>
      <c r="I329" s="4">
        <f>IFERROR(VLOOKUP(G329,Capacity!$A$3:$F$532,6,), "0")</f>
        <v>0.17499999999999999</v>
      </c>
      <c r="J329">
        <v>324</v>
      </c>
      <c r="K329">
        <f>IFERROR(VLOOKUP(J329,Capacity!$A$3:$D$532,4,), "0")</f>
        <v>75.398222400000023</v>
      </c>
      <c r="L329" s="4">
        <f>IFERROR(VLOOKUP(J329,Capacity!$A$3:$F$532,6,), "0")</f>
        <v>0.4</v>
      </c>
      <c r="M329" s="5">
        <f t="shared" si="50"/>
        <v>103.78054804562501</v>
      </c>
      <c r="N329" s="5">
        <f t="shared" si="51"/>
        <v>0.75</v>
      </c>
      <c r="O329">
        <v>322</v>
      </c>
      <c r="P329">
        <f>IFERROR(VLOOKUP(O329,Capacity!$A$3:$D$532,4,), "0")</f>
        <v>75.398222400000023</v>
      </c>
      <c r="Q329" s="4">
        <f>IFERROR(VLOOKUP(O329,Capacity!$A$3:$F$532,6,), "0")</f>
        <v>0.4</v>
      </c>
      <c r="R329" s="5">
        <f t="shared" si="55"/>
        <v>75.398222400000023</v>
      </c>
      <c r="S329" s="5">
        <f t="shared" si="56"/>
        <v>0.4</v>
      </c>
      <c r="T329">
        <v>323</v>
      </c>
      <c r="U329">
        <v>3</v>
      </c>
      <c r="V329">
        <v>3</v>
      </c>
      <c r="W329">
        <v>1</v>
      </c>
      <c r="X329">
        <f t="shared" si="52"/>
        <v>1.3764322916666665</v>
      </c>
      <c r="Y329">
        <f t="shared" si="53"/>
        <v>2.580810546875</v>
      </c>
      <c r="Z329">
        <f t="shared" si="57"/>
        <v>1.875</v>
      </c>
      <c r="AA329">
        <f t="shared" si="58"/>
        <v>1.875</v>
      </c>
      <c r="AC329">
        <f t="shared" si="59"/>
        <v>0.897673233695652</v>
      </c>
      <c r="AD329">
        <f t="shared" si="54"/>
        <v>2.6930197010869561</v>
      </c>
    </row>
    <row r="330" spans="1:30" x14ac:dyDescent="0.25">
      <c r="A330">
        <v>338</v>
      </c>
      <c r="B330">
        <f>IFERROR(VLOOKUP(A330,Capacity!$A$3:$D$532,4,), "0")</f>
        <v>5.0265481600000008</v>
      </c>
      <c r="C330" s="4">
        <f>IFERROR(VLOOKUP(A330,Capacity!$A$3:$F$532,6,), "0")</f>
        <v>0.2</v>
      </c>
      <c r="D330">
        <v>523</v>
      </c>
      <c r="E330">
        <f>IFERROR(VLOOKUP(D330,Capacity!$A$3:$D$532,4,), "0")</f>
        <v>376.99111199999999</v>
      </c>
      <c r="F330" s="4">
        <f>IFERROR(VLOOKUP(D330,Capacity!$A$3:$F$532,6,), "0")</f>
        <v>1</v>
      </c>
      <c r="H330" t="str">
        <f>IFERROR(VLOOKUP(G330,Capacity!$A$3:$D$532,4,), "0")</f>
        <v>0</v>
      </c>
      <c r="I330" s="4" t="str">
        <f>IFERROR(VLOOKUP(G330,Capacity!$A$3:$F$532,6,), "0")</f>
        <v>0</v>
      </c>
      <c r="K330" t="str">
        <f>IFERROR(VLOOKUP(J330,Capacity!$A$3:$D$532,4,), "0")</f>
        <v>0</v>
      </c>
      <c r="L330" s="4" t="str">
        <f>IFERROR(VLOOKUP(J330,Capacity!$A$3:$F$532,6,), "0")</f>
        <v>0</v>
      </c>
      <c r="M330" s="5">
        <f t="shared" si="50"/>
        <v>376.99111199999999</v>
      </c>
      <c r="N330" s="5">
        <f t="shared" si="51"/>
        <v>1</v>
      </c>
      <c r="O330">
        <v>340</v>
      </c>
      <c r="P330">
        <f>IFERROR(VLOOKUP(O330,Capacity!$A$3:$D$532,4,), "0")</f>
        <v>5.0265481600000008</v>
      </c>
      <c r="Q330" s="4">
        <f>IFERROR(VLOOKUP(O330,Capacity!$A$3:$F$532,6,), "0")</f>
        <v>0.2</v>
      </c>
      <c r="R330" s="5">
        <f t="shared" si="55"/>
        <v>5.0265481600000008</v>
      </c>
      <c r="S330" s="5">
        <f t="shared" si="56"/>
        <v>0.2</v>
      </c>
      <c r="T330">
        <v>338</v>
      </c>
      <c r="U330">
        <v>1</v>
      </c>
      <c r="V330">
        <v>1</v>
      </c>
      <c r="W330">
        <v>1</v>
      </c>
      <c r="X330">
        <f t="shared" si="52"/>
        <v>74.999999999999986</v>
      </c>
      <c r="Y330">
        <f t="shared" si="53"/>
        <v>74.999999999999986</v>
      </c>
      <c r="Z330">
        <f t="shared" si="57"/>
        <v>5</v>
      </c>
      <c r="AA330">
        <f t="shared" si="58"/>
        <v>5</v>
      </c>
      <c r="AC330">
        <f t="shared" si="59"/>
        <v>37.499999999999993</v>
      </c>
      <c r="AD330">
        <f t="shared" si="54"/>
        <v>37.499999999999993</v>
      </c>
    </row>
    <row r="331" spans="1:30" x14ac:dyDescent="0.25">
      <c r="A331">
        <v>314</v>
      </c>
      <c r="B331">
        <f>IFERROR(VLOOKUP(A331,Capacity!$A$3:$D$532,4,), "0")</f>
        <v>132.53593781250001</v>
      </c>
      <c r="C331" s="4">
        <f>IFERROR(VLOOKUP(A331,Capacity!$A$3:$F$532,6,), "0")</f>
        <v>0.75</v>
      </c>
      <c r="D331">
        <v>506</v>
      </c>
      <c r="E331">
        <f>IFERROR(VLOOKUP(D331,Capacity!$A$3:$D$532,4,), "0")</f>
        <v>14.431691006249999</v>
      </c>
      <c r="F331" s="4">
        <f>IFERROR(VLOOKUP(D331,Capacity!$A$3:$F$532,6,), "0")</f>
        <v>0.17499999999999999</v>
      </c>
      <c r="G331">
        <v>312</v>
      </c>
      <c r="H331">
        <f>IFERROR(VLOOKUP(G331,Capacity!$A$3:$D$532,4,), "0")</f>
        <v>132.53593781250001</v>
      </c>
      <c r="I331" s="4">
        <f>IFERROR(VLOOKUP(G331,Capacity!$A$3:$F$532,6,), "0")</f>
        <v>0.75</v>
      </c>
      <c r="J331">
        <v>258</v>
      </c>
      <c r="K331">
        <f>IFERROR(VLOOKUP(J331,Capacity!$A$3:$D$532,4,), "0")</f>
        <v>26.474200840200002</v>
      </c>
      <c r="L331" s="4">
        <f>IFERROR(VLOOKUP(J331,Capacity!$A$3:$F$532,6,), "0")</f>
        <v>0.26500000000000001</v>
      </c>
      <c r="M331" s="5">
        <f t="shared" si="50"/>
        <v>173.44182965895001</v>
      </c>
      <c r="N331" s="5">
        <f t="shared" si="51"/>
        <v>1.19</v>
      </c>
      <c r="O331">
        <v>315</v>
      </c>
      <c r="P331">
        <f>IFERROR(VLOOKUP(O331,Capacity!$A$3:$D$532,4,), "0")</f>
        <v>132.53593781250001</v>
      </c>
      <c r="Q331" s="4">
        <f>IFERROR(VLOOKUP(O331,Capacity!$A$3:$F$532,6,), "0")</f>
        <v>0.75</v>
      </c>
      <c r="R331" s="5">
        <f t="shared" si="55"/>
        <v>132.53593781250001</v>
      </c>
      <c r="S331" s="5">
        <f t="shared" si="56"/>
        <v>0.75</v>
      </c>
      <c r="T331">
        <v>314</v>
      </c>
      <c r="U331">
        <v>3</v>
      </c>
      <c r="V331">
        <v>3</v>
      </c>
      <c r="W331">
        <v>1</v>
      </c>
      <c r="X331">
        <f t="shared" si="52"/>
        <v>1.30864</v>
      </c>
      <c r="Y331">
        <f t="shared" si="53"/>
        <v>1.30864</v>
      </c>
      <c r="Z331">
        <f t="shared" si="57"/>
        <v>1.5866666666666667</v>
      </c>
      <c r="AA331">
        <f t="shared" si="58"/>
        <v>1.5866666666666667</v>
      </c>
      <c r="AC331">
        <f t="shared" si="59"/>
        <v>0.65432000000000001</v>
      </c>
      <c r="AD331">
        <f t="shared" si="54"/>
        <v>1.96296</v>
      </c>
    </row>
    <row r="332" spans="1:30" x14ac:dyDescent="0.25">
      <c r="A332">
        <v>256</v>
      </c>
      <c r="B332">
        <f>IFERROR(VLOOKUP(A332,Capacity!$A$3:$D$532,4,), "0")</f>
        <v>11.545352804999998</v>
      </c>
      <c r="C332" s="4">
        <f>IFERROR(VLOOKUP(A332,Capacity!$A$3:$F$532,6,), "0")</f>
        <v>0.17499999999999999</v>
      </c>
      <c r="E332" t="str">
        <f>IFERROR(VLOOKUP(D332,Capacity!$A$3:$D$532,4,), "0")</f>
        <v>0</v>
      </c>
      <c r="F332" s="4" t="str">
        <f>IFERROR(VLOOKUP(D332,Capacity!$A$3:$F$532,6,), "0")</f>
        <v>0</v>
      </c>
      <c r="H332" t="str">
        <f>IFERROR(VLOOKUP(G332,Capacity!$A$3:$D$532,4,), "0")</f>
        <v>0</v>
      </c>
      <c r="I332" s="4" t="str">
        <f>IFERROR(VLOOKUP(G332,Capacity!$A$3:$F$532,6,), "0")</f>
        <v>0</v>
      </c>
      <c r="K332" t="str">
        <f>IFERROR(VLOOKUP(J332,Capacity!$A$3:$D$532,4,), "0")</f>
        <v>0</v>
      </c>
      <c r="L332" s="4" t="str">
        <f>IFERROR(VLOOKUP(J332,Capacity!$A$3:$F$532,6,), "0")</f>
        <v>0</v>
      </c>
      <c r="M332" s="5">
        <f t="shared" si="50"/>
        <v>0</v>
      </c>
      <c r="N332" s="5">
        <f t="shared" si="51"/>
        <v>0</v>
      </c>
      <c r="O332">
        <v>315</v>
      </c>
      <c r="P332">
        <f>IFERROR(VLOOKUP(O332,Capacity!$A$3:$D$532,4,), "0")</f>
        <v>132.53593781250001</v>
      </c>
      <c r="Q332" s="4">
        <f>IFERROR(VLOOKUP(O332,Capacity!$A$3:$F$532,6,), "0")</f>
        <v>0.75</v>
      </c>
      <c r="R332" s="5">
        <f t="shared" si="55"/>
        <v>132.53593781250001</v>
      </c>
      <c r="S332" s="5">
        <f t="shared" si="56"/>
        <v>0.75</v>
      </c>
      <c r="T332">
        <v>256</v>
      </c>
      <c r="U332">
        <v>0</v>
      </c>
      <c r="V332">
        <v>0</v>
      </c>
      <c r="W332">
        <v>1</v>
      </c>
      <c r="X332">
        <f t="shared" si="52"/>
        <v>0</v>
      </c>
      <c r="Y332">
        <f t="shared" si="53"/>
        <v>0</v>
      </c>
      <c r="Z332">
        <f t="shared" si="57"/>
        <v>0</v>
      </c>
      <c r="AA332">
        <f t="shared" si="58"/>
        <v>0</v>
      </c>
      <c r="AC332">
        <f t="shared" si="59"/>
        <v>0</v>
      </c>
      <c r="AD332">
        <f t="shared" si="54"/>
        <v>0</v>
      </c>
    </row>
    <row r="333" spans="1:30" x14ac:dyDescent="0.25">
      <c r="A333">
        <v>520</v>
      </c>
      <c r="B333">
        <f>IFERROR(VLOOKUP(A333,Capacity!$A$3:$D$532,4,), "0")</f>
        <v>22.128592876249996</v>
      </c>
      <c r="C333" s="4">
        <f>IFERROR(VLOOKUP(A333,Capacity!$A$3:$F$532,6,), "0")</f>
        <v>0.17499999999999999</v>
      </c>
      <c r="E333" t="str">
        <f>IFERROR(VLOOKUP(D333,Capacity!$A$3:$D$532,4,), "0")</f>
        <v>0</v>
      </c>
      <c r="F333" s="4" t="str">
        <f>IFERROR(VLOOKUP(D333,Capacity!$A$3:$F$532,6,), "0")</f>
        <v>0</v>
      </c>
      <c r="H333" t="str">
        <f>IFERROR(VLOOKUP(G333,Capacity!$A$3:$D$532,4,), "0")</f>
        <v>0</v>
      </c>
      <c r="I333" s="4" t="str">
        <f>IFERROR(VLOOKUP(G333,Capacity!$A$3:$F$532,6,), "0")</f>
        <v>0</v>
      </c>
      <c r="K333" t="str">
        <f>IFERROR(VLOOKUP(J333,Capacity!$A$3:$D$532,4,), "0")</f>
        <v>0</v>
      </c>
      <c r="L333" s="4" t="str">
        <f>IFERROR(VLOOKUP(J333,Capacity!$A$3:$F$532,6,), "0")</f>
        <v>0</v>
      </c>
      <c r="M333" s="5">
        <f t="shared" si="50"/>
        <v>0</v>
      </c>
      <c r="N333" s="5">
        <f t="shared" si="51"/>
        <v>0</v>
      </c>
      <c r="O333">
        <v>38</v>
      </c>
      <c r="P333">
        <f>IFERROR(VLOOKUP(O333,Capacity!$A$3:$D$532,4,), "0")</f>
        <v>17.649467226800002</v>
      </c>
      <c r="Q333" s="4">
        <f>IFERROR(VLOOKUP(O333,Capacity!$A$3:$F$532,6,), "0")</f>
        <v>0.26500000000000001</v>
      </c>
      <c r="R333" s="5">
        <f t="shared" si="55"/>
        <v>17.649467226800002</v>
      </c>
      <c r="S333" s="5">
        <f t="shared" si="56"/>
        <v>0.26500000000000001</v>
      </c>
      <c r="T333">
        <v>520</v>
      </c>
      <c r="U333">
        <v>0</v>
      </c>
      <c r="V333">
        <v>0</v>
      </c>
      <c r="W333">
        <v>1</v>
      </c>
      <c r="X333">
        <f t="shared" si="52"/>
        <v>0</v>
      </c>
      <c r="Y333">
        <f t="shared" si="53"/>
        <v>0</v>
      </c>
      <c r="Z333">
        <f t="shared" si="57"/>
        <v>0</v>
      </c>
      <c r="AA333">
        <f t="shared" si="58"/>
        <v>0</v>
      </c>
      <c r="AC333">
        <f t="shared" si="59"/>
        <v>0</v>
      </c>
      <c r="AD333">
        <f t="shared" si="54"/>
        <v>0</v>
      </c>
    </row>
    <row r="334" spans="1:30" x14ac:dyDescent="0.25">
      <c r="A334">
        <v>401</v>
      </c>
      <c r="B334">
        <f>IFERROR(VLOOKUP(A334,Capacity!$A$3:$D$532,4,), "0")</f>
        <v>21.647536509374998</v>
      </c>
      <c r="C334" s="4">
        <f>IFERROR(VLOOKUP(A334,Capacity!$A$3:$F$532,6,), "0")</f>
        <v>0.17499999999999999</v>
      </c>
      <c r="E334" t="str">
        <f>IFERROR(VLOOKUP(D334,Capacity!$A$3:$D$532,4,), "0")</f>
        <v>0</v>
      </c>
      <c r="F334" s="4" t="str">
        <f>IFERROR(VLOOKUP(D334,Capacity!$A$3:$F$532,6,), "0")</f>
        <v>0</v>
      </c>
      <c r="H334" t="str">
        <f>IFERROR(VLOOKUP(G334,Capacity!$A$3:$D$532,4,), "0")</f>
        <v>0</v>
      </c>
      <c r="I334" s="4" t="str">
        <f>IFERROR(VLOOKUP(G334,Capacity!$A$3:$F$532,6,), "0")</f>
        <v>0</v>
      </c>
      <c r="K334" t="str">
        <f>IFERROR(VLOOKUP(J334,Capacity!$A$3:$D$532,4,), "0")</f>
        <v>0</v>
      </c>
      <c r="L334" s="4" t="str">
        <f>IFERROR(VLOOKUP(J334,Capacity!$A$3:$F$532,6,), "0")</f>
        <v>0</v>
      </c>
      <c r="M334" s="5">
        <f t="shared" si="50"/>
        <v>0</v>
      </c>
      <c r="N334" s="5">
        <f t="shared" si="51"/>
        <v>0</v>
      </c>
      <c r="O334">
        <v>38</v>
      </c>
      <c r="P334">
        <f>IFERROR(VLOOKUP(O334,Capacity!$A$3:$D$532,4,), "0")</f>
        <v>17.649467226800002</v>
      </c>
      <c r="Q334" s="4">
        <f>IFERROR(VLOOKUP(O334,Capacity!$A$3:$F$532,6,), "0")</f>
        <v>0.26500000000000001</v>
      </c>
      <c r="R334" s="5">
        <f t="shared" si="55"/>
        <v>17.649467226800002</v>
      </c>
      <c r="S334" s="5">
        <f t="shared" si="56"/>
        <v>0.26500000000000001</v>
      </c>
      <c r="T334">
        <v>401</v>
      </c>
      <c r="U334">
        <v>0</v>
      </c>
      <c r="V334">
        <v>0</v>
      </c>
      <c r="W334">
        <v>1</v>
      </c>
      <c r="X334">
        <f t="shared" si="52"/>
        <v>0</v>
      </c>
      <c r="Y334">
        <f t="shared" si="53"/>
        <v>0</v>
      </c>
      <c r="Z334">
        <f t="shared" si="57"/>
        <v>0</v>
      </c>
      <c r="AA334">
        <f t="shared" si="58"/>
        <v>0</v>
      </c>
      <c r="AC334">
        <f t="shared" si="59"/>
        <v>0</v>
      </c>
      <c r="AD334">
        <f t="shared" si="54"/>
        <v>0</v>
      </c>
    </row>
    <row r="335" spans="1:30" x14ac:dyDescent="0.25">
      <c r="A335">
        <v>37</v>
      </c>
      <c r="B335">
        <f>IFERROR(VLOOKUP(A335,Capacity!$A$3:$D$532,4,), "0")</f>
        <v>17.649467226800002</v>
      </c>
      <c r="C335" s="4">
        <f>IFERROR(VLOOKUP(A335,Capacity!$A$3:$F$532,6,), "0")</f>
        <v>0.26500000000000001</v>
      </c>
      <c r="D335">
        <v>518</v>
      </c>
      <c r="E335">
        <f>IFERROR(VLOOKUP(D335,Capacity!$A$3:$D$532,4,), "0")</f>
        <v>22.128592876249996</v>
      </c>
      <c r="F335" s="4">
        <f>IFERROR(VLOOKUP(D335,Capacity!$A$3:$F$532,6,), "0")</f>
        <v>0.17499999999999999</v>
      </c>
      <c r="G335">
        <v>399</v>
      </c>
      <c r="H335">
        <f>IFERROR(VLOOKUP(G335,Capacity!$A$3:$D$532,4,), "0")</f>
        <v>21.647536509374998</v>
      </c>
      <c r="I335" s="4">
        <f>IFERROR(VLOOKUP(G335,Capacity!$A$3:$F$532,6,), "0")</f>
        <v>0.17499999999999999</v>
      </c>
      <c r="J335">
        <v>36</v>
      </c>
      <c r="K335">
        <f>IFERROR(VLOOKUP(J335,Capacity!$A$3:$D$532,4,), "0")</f>
        <v>17.649467226800002</v>
      </c>
      <c r="L335" s="4">
        <f>IFERROR(VLOOKUP(J335,Capacity!$A$3:$F$532,6,), "0")</f>
        <v>0.26500000000000001</v>
      </c>
      <c r="M335" s="5">
        <f t="shared" si="50"/>
        <v>61.425596612424997</v>
      </c>
      <c r="N335" s="5">
        <f t="shared" si="51"/>
        <v>0.61499999999999999</v>
      </c>
      <c r="O335">
        <v>38</v>
      </c>
      <c r="P335">
        <f>IFERROR(VLOOKUP(O335,Capacity!$A$3:$D$532,4,), "0")</f>
        <v>17.649467226800002</v>
      </c>
      <c r="Q335" s="4">
        <f>IFERROR(VLOOKUP(O335,Capacity!$A$3:$F$532,6,), "0")</f>
        <v>0.26500000000000001</v>
      </c>
      <c r="R335" s="5">
        <f t="shared" si="55"/>
        <v>17.649467226800002</v>
      </c>
      <c r="S335" s="5">
        <f t="shared" si="56"/>
        <v>0.26500000000000001</v>
      </c>
      <c r="T335">
        <v>37</v>
      </c>
      <c r="U335">
        <v>3</v>
      </c>
      <c r="V335">
        <v>3</v>
      </c>
      <c r="W335">
        <v>1</v>
      </c>
      <c r="X335">
        <f t="shared" si="52"/>
        <v>3.4803088287646844</v>
      </c>
      <c r="Y335">
        <f t="shared" si="53"/>
        <v>3.4803088287646844</v>
      </c>
      <c r="Z335">
        <f t="shared" si="57"/>
        <v>2.3207547169811318</v>
      </c>
      <c r="AA335">
        <f t="shared" si="58"/>
        <v>2.3207547169811318</v>
      </c>
      <c r="AC335">
        <f t="shared" si="59"/>
        <v>1.7401544143823422</v>
      </c>
      <c r="AD335">
        <f t="shared" si="54"/>
        <v>5.2204632431470266</v>
      </c>
    </row>
    <row r="336" spans="1:30" x14ac:dyDescent="0.25">
      <c r="A336">
        <v>336</v>
      </c>
      <c r="B336">
        <f>IFERROR(VLOOKUP(A336,Capacity!$A$3:$D$532,4,), "0")</f>
        <v>22.619466719999998</v>
      </c>
      <c r="C336" s="4">
        <f>IFERROR(VLOOKUP(A336,Capacity!$A$3:$F$532,6,), "0")</f>
        <v>0.3</v>
      </c>
      <c r="D336">
        <v>335</v>
      </c>
      <c r="E336">
        <f>IFERROR(VLOOKUP(D336,Capacity!$A$3:$D$532,4,), "0")</f>
        <v>5.0265481600000008</v>
      </c>
      <c r="F336" s="4">
        <f>IFERROR(VLOOKUP(D336,Capacity!$A$3:$F$532,6,), "0")</f>
        <v>0.2</v>
      </c>
      <c r="H336" t="str">
        <f>IFERROR(VLOOKUP(G336,Capacity!$A$3:$D$532,4,), "0")</f>
        <v>0</v>
      </c>
      <c r="I336" s="4" t="str">
        <f>IFERROR(VLOOKUP(G336,Capacity!$A$3:$F$532,6,), "0")</f>
        <v>0</v>
      </c>
      <c r="K336" t="str">
        <f>IFERROR(VLOOKUP(J336,Capacity!$A$3:$D$532,4,), "0")</f>
        <v>0</v>
      </c>
      <c r="L336" s="4" t="str">
        <f>IFERROR(VLOOKUP(J336,Capacity!$A$3:$F$532,6,), "0")</f>
        <v>0</v>
      </c>
      <c r="M336" s="5">
        <f t="shared" si="50"/>
        <v>5.0265481600000008</v>
      </c>
      <c r="N336" s="5">
        <f t="shared" si="51"/>
        <v>0.2</v>
      </c>
      <c r="O336">
        <v>337</v>
      </c>
      <c r="P336">
        <f>IFERROR(VLOOKUP(O336,Capacity!$A$3:$D$532,4,), "0")</f>
        <v>115.61060768000002</v>
      </c>
      <c r="Q336" s="4">
        <f>IFERROR(VLOOKUP(O336,Capacity!$A$3:$F$532,6,), "0")</f>
        <v>0.4</v>
      </c>
      <c r="R336" s="5">
        <f t="shared" si="55"/>
        <v>115.61060768000002</v>
      </c>
      <c r="S336" s="5">
        <f t="shared" si="56"/>
        <v>0.4</v>
      </c>
      <c r="T336">
        <v>336</v>
      </c>
      <c r="U336">
        <v>1</v>
      </c>
      <c r="V336">
        <v>1</v>
      </c>
      <c r="W336">
        <v>1</v>
      </c>
      <c r="X336">
        <f t="shared" si="52"/>
        <v>4.3478260869565216E-2</v>
      </c>
      <c r="Y336">
        <f t="shared" si="53"/>
        <v>0.22222222222222227</v>
      </c>
      <c r="Z336">
        <f t="shared" si="57"/>
        <v>0.5</v>
      </c>
      <c r="AA336">
        <f t="shared" si="58"/>
        <v>0.66666666666666674</v>
      </c>
      <c r="AC336">
        <f t="shared" si="59"/>
        <v>3.6363636363636369E-2</v>
      </c>
      <c r="AD336">
        <f t="shared" si="54"/>
        <v>3.6363636363636369E-2</v>
      </c>
    </row>
    <row r="337" spans="1:30" x14ac:dyDescent="0.25">
      <c r="A337">
        <v>75</v>
      </c>
      <c r="B337">
        <f>IFERROR(VLOOKUP(A337,Capacity!$A$3:$D$532,4,), "0")</f>
        <v>90.477866879999993</v>
      </c>
      <c r="C337" s="4">
        <f>IFERROR(VLOOKUP(A337,Capacity!$A$3:$F$532,6,), "0")</f>
        <v>0.6</v>
      </c>
      <c r="D337">
        <v>74</v>
      </c>
      <c r="E337">
        <f>IFERROR(VLOOKUP(D337,Capacity!$A$3:$D$532,4,), "0")</f>
        <v>90.477866879999993</v>
      </c>
      <c r="F337" s="4">
        <f>IFERROR(VLOOKUP(D337,Capacity!$A$3:$F$532,6,), "0")</f>
        <v>0.6</v>
      </c>
      <c r="H337" t="str">
        <f>IFERROR(VLOOKUP(G337,Capacity!$A$3:$D$532,4,), "0")</f>
        <v>0</v>
      </c>
      <c r="I337" s="4" t="str">
        <f>IFERROR(VLOOKUP(G337,Capacity!$A$3:$F$532,6,), "0")</f>
        <v>0</v>
      </c>
      <c r="K337" t="str">
        <f>IFERROR(VLOOKUP(J337,Capacity!$A$3:$D$532,4,), "0")</f>
        <v>0</v>
      </c>
      <c r="L337" s="4" t="str">
        <f>IFERROR(VLOOKUP(J337,Capacity!$A$3:$F$532,6,), "0")</f>
        <v>0</v>
      </c>
      <c r="M337" s="5">
        <f t="shared" si="50"/>
        <v>90.477866879999993</v>
      </c>
      <c r="N337" s="5">
        <f t="shared" si="51"/>
        <v>0.6</v>
      </c>
      <c r="O337">
        <v>76</v>
      </c>
      <c r="P337">
        <f>IFERROR(VLOOKUP(O337,Capacity!$A$3:$D$532,4,), "0")</f>
        <v>90.477866879999993</v>
      </c>
      <c r="Q337" s="4">
        <f>IFERROR(VLOOKUP(O337,Capacity!$A$3:$F$532,6,), "0")</f>
        <v>0.6</v>
      </c>
      <c r="R337" s="5">
        <f t="shared" si="55"/>
        <v>90.477866879999993</v>
      </c>
      <c r="S337" s="5">
        <f t="shared" si="56"/>
        <v>0.6</v>
      </c>
      <c r="T337">
        <v>75</v>
      </c>
      <c r="U337">
        <v>1</v>
      </c>
      <c r="V337">
        <v>1</v>
      </c>
      <c r="W337">
        <v>1</v>
      </c>
      <c r="X337">
        <f t="shared" si="52"/>
        <v>1</v>
      </c>
      <c r="Y337">
        <f t="shared" si="53"/>
        <v>1</v>
      </c>
      <c r="Z337">
        <f t="shared" si="57"/>
        <v>1</v>
      </c>
      <c r="AA337">
        <f t="shared" si="58"/>
        <v>1</v>
      </c>
      <c r="AC337">
        <f t="shared" si="59"/>
        <v>0.5</v>
      </c>
      <c r="AD337">
        <f t="shared" si="54"/>
        <v>0.5</v>
      </c>
    </row>
    <row r="338" spans="1:30" x14ac:dyDescent="0.25">
      <c r="A338">
        <v>398</v>
      </c>
      <c r="B338">
        <f>IFERROR(VLOOKUP(A338,Capacity!$A$3:$D$532,4,), "0")</f>
        <v>21.166480142499999</v>
      </c>
      <c r="C338" s="4">
        <f>IFERROR(VLOOKUP(A338,Capacity!$A$3:$F$532,6,), "0")</f>
        <v>0.17499999999999999</v>
      </c>
      <c r="E338" t="str">
        <f>IFERROR(VLOOKUP(D338,Capacity!$A$3:$D$532,4,), "0")</f>
        <v>0</v>
      </c>
      <c r="F338" s="4" t="str">
        <f>IFERROR(VLOOKUP(D338,Capacity!$A$3:$F$532,6,), "0")</f>
        <v>0</v>
      </c>
      <c r="H338" t="str">
        <f>IFERROR(VLOOKUP(G338,Capacity!$A$3:$D$532,4,), "0")</f>
        <v>0</v>
      </c>
      <c r="I338" s="4" t="str">
        <f>IFERROR(VLOOKUP(G338,Capacity!$A$3:$F$532,6,), "0")</f>
        <v>0</v>
      </c>
      <c r="K338" t="str">
        <f>IFERROR(VLOOKUP(J338,Capacity!$A$3:$D$532,4,), "0")</f>
        <v>0</v>
      </c>
      <c r="L338" s="4" t="str">
        <f>IFERROR(VLOOKUP(J338,Capacity!$A$3:$F$532,6,), "0")</f>
        <v>0</v>
      </c>
      <c r="M338" s="5">
        <f t="shared" si="50"/>
        <v>0</v>
      </c>
      <c r="N338" s="5">
        <f t="shared" si="51"/>
        <v>0</v>
      </c>
      <c r="O338">
        <v>198</v>
      </c>
      <c r="P338">
        <f>IFERROR(VLOOKUP(O338,Capacity!$A$3:$D$532,4,), "0")</f>
        <v>17.649467226800002</v>
      </c>
      <c r="Q338" s="4">
        <f>IFERROR(VLOOKUP(O338,Capacity!$A$3:$F$532,6,), "0")</f>
        <v>0.26500000000000001</v>
      </c>
      <c r="R338" s="5">
        <f t="shared" si="55"/>
        <v>17.649467226800002</v>
      </c>
      <c r="S338" s="5">
        <f t="shared" si="56"/>
        <v>0.26500000000000001</v>
      </c>
      <c r="T338">
        <v>398</v>
      </c>
      <c r="U338">
        <v>0</v>
      </c>
      <c r="V338">
        <v>0</v>
      </c>
      <c r="W338">
        <v>1</v>
      </c>
      <c r="X338">
        <f t="shared" si="52"/>
        <v>0</v>
      </c>
      <c r="Y338">
        <f t="shared" si="53"/>
        <v>0</v>
      </c>
      <c r="Z338">
        <f t="shared" si="57"/>
        <v>0</v>
      </c>
      <c r="AA338">
        <f t="shared" si="58"/>
        <v>0</v>
      </c>
      <c r="AC338">
        <f t="shared" si="59"/>
        <v>0</v>
      </c>
      <c r="AD338">
        <f t="shared" si="54"/>
        <v>0</v>
      </c>
    </row>
    <row r="339" spans="1:30" x14ac:dyDescent="0.25">
      <c r="A339">
        <v>199</v>
      </c>
      <c r="B339">
        <f>IFERROR(VLOOKUP(A339,Capacity!$A$3:$D$532,4,), "0")</f>
        <v>17.649467226800002</v>
      </c>
      <c r="C339" s="4">
        <f>IFERROR(VLOOKUP(A339,Capacity!$A$3:$F$532,6,), "0")</f>
        <v>0.26500000000000001</v>
      </c>
      <c r="D339">
        <v>396</v>
      </c>
      <c r="E339">
        <f>IFERROR(VLOOKUP(D339,Capacity!$A$3:$D$532,4,), "0")</f>
        <v>21.166480142499999</v>
      </c>
      <c r="F339" s="4">
        <f>IFERROR(VLOOKUP(D339,Capacity!$A$3:$F$532,6,), "0")</f>
        <v>0.17499999999999999</v>
      </c>
      <c r="G339">
        <v>222</v>
      </c>
      <c r="H339">
        <f>IFERROR(VLOOKUP(G339,Capacity!$A$3:$D$532,4,), "0")</f>
        <v>17.649467226800002</v>
      </c>
      <c r="I339" s="4">
        <f>IFERROR(VLOOKUP(G339,Capacity!$A$3:$F$532,6,), "0")</f>
        <v>0.26500000000000001</v>
      </c>
      <c r="K339" t="str">
        <f>IFERROR(VLOOKUP(J339,Capacity!$A$3:$D$532,4,), "0")</f>
        <v>0</v>
      </c>
      <c r="L339" s="4" t="str">
        <f>IFERROR(VLOOKUP(J339,Capacity!$A$3:$F$532,6,), "0")</f>
        <v>0</v>
      </c>
      <c r="M339" s="5">
        <f t="shared" si="50"/>
        <v>38.815947369300005</v>
      </c>
      <c r="N339" s="5">
        <f t="shared" si="51"/>
        <v>0.44</v>
      </c>
      <c r="O339">
        <v>198</v>
      </c>
      <c r="P339">
        <f>IFERROR(VLOOKUP(O339,Capacity!$A$3:$D$532,4,), "0")</f>
        <v>17.649467226800002</v>
      </c>
      <c r="Q339" s="4">
        <f>IFERROR(VLOOKUP(O339,Capacity!$A$3:$F$532,6,), "0")</f>
        <v>0.26500000000000001</v>
      </c>
      <c r="R339" s="5">
        <f t="shared" si="55"/>
        <v>17.649467226800002</v>
      </c>
      <c r="S339" s="5">
        <f t="shared" si="56"/>
        <v>0.26500000000000001</v>
      </c>
      <c r="T339">
        <v>199</v>
      </c>
      <c r="U339">
        <v>2</v>
      </c>
      <c r="V339">
        <v>2</v>
      </c>
      <c r="W339">
        <v>1</v>
      </c>
      <c r="X339">
        <f t="shared" si="52"/>
        <v>2.1992702029191884</v>
      </c>
      <c r="Y339">
        <f t="shared" si="53"/>
        <v>2.1992702029191884</v>
      </c>
      <c r="Z339">
        <f t="shared" si="57"/>
        <v>1.6603773584905659</v>
      </c>
      <c r="AA339">
        <f t="shared" si="58"/>
        <v>1.6603773584905659</v>
      </c>
      <c r="AC339">
        <f t="shared" si="59"/>
        <v>1.0996351014595942</v>
      </c>
      <c r="AD339">
        <f t="shared" si="54"/>
        <v>2.1992702029191884</v>
      </c>
    </row>
    <row r="340" spans="1:30" x14ac:dyDescent="0.25">
      <c r="A340">
        <v>229</v>
      </c>
      <c r="B340">
        <f>IFERROR(VLOOKUP(A340,Capacity!$A$3:$D$532,4,), "0")</f>
        <v>47.432943172025006</v>
      </c>
      <c r="C340" s="4">
        <f>IFERROR(VLOOKUP(A340,Capacity!$A$3:$F$532,6,), "0")</f>
        <v>0.26500000000000001</v>
      </c>
      <c r="D340">
        <v>228</v>
      </c>
      <c r="E340">
        <f>IFERROR(VLOOKUP(D340,Capacity!$A$3:$D$532,4,), "0")</f>
        <v>16.836972840624998</v>
      </c>
      <c r="F340" s="4">
        <f>IFERROR(VLOOKUP(D340,Capacity!$A$3:$F$532,6,), "0")</f>
        <v>0.17499999999999999</v>
      </c>
      <c r="H340" t="str">
        <f>IFERROR(VLOOKUP(G340,Capacity!$A$3:$D$532,4,), "0")</f>
        <v>0</v>
      </c>
      <c r="I340" s="4" t="str">
        <f>IFERROR(VLOOKUP(G340,Capacity!$A$3:$F$532,6,), "0")</f>
        <v>0</v>
      </c>
      <c r="K340" t="str">
        <f>IFERROR(VLOOKUP(J340,Capacity!$A$3:$D$532,4,), "0")</f>
        <v>0</v>
      </c>
      <c r="L340" s="4" t="str">
        <f>IFERROR(VLOOKUP(J340,Capacity!$A$3:$F$532,6,), "0")</f>
        <v>0</v>
      </c>
      <c r="M340" s="5">
        <f t="shared" si="50"/>
        <v>16.836972840624998</v>
      </c>
      <c r="N340" s="5">
        <f t="shared" si="51"/>
        <v>0.17499999999999999</v>
      </c>
      <c r="O340">
        <v>220</v>
      </c>
      <c r="P340">
        <f>IFERROR(VLOOKUP(O340,Capacity!$A$3:$D$532,4,), "0")</f>
        <v>52.778755680000017</v>
      </c>
      <c r="Q340" s="4">
        <f>IFERROR(VLOOKUP(O340,Capacity!$A$3:$F$532,6,), "0")</f>
        <v>0.4</v>
      </c>
      <c r="R340" s="5">
        <f t="shared" si="55"/>
        <v>52.778755680000017</v>
      </c>
      <c r="S340" s="5">
        <f t="shared" si="56"/>
        <v>0.4</v>
      </c>
      <c r="T340">
        <v>229</v>
      </c>
      <c r="U340">
        <v>1</v>
      </c>
      <c r="V340">
        <v>1</v>
      </c>
      <c r="W340">
        <v>1</v>
      </c>
      <c r="X340">
        <f t="shared" si="52"/>
        <v>0.31901041666666652</v>
      </c>
      <c r="Y340">
        <f t="shared" si="53"/>
        <v>0.35496369642428399</v>
      </c>
      <c r="Z340">
        <f t="shared" si="57"/>
        <v>0.43749999999999994</v>
      </c>
      <c r="AA340">
        <f t="shared" si="58"/>
        <v>0.660377358490566</v>
      </c>
      <c r="AC340">
        <f t="shared" si="59"/>
        <v>0.16801404460258551</v>
      </c>
      <c r="AD340">
        <f t="shared" si="54"/>
        <v>0.16801404460258551</v>
      </c>
    </row>
    <row r="341" spans="1:30" x14ac:dyDescent="0.25">
      <c r="A341">
        <v>221</v>
      </c>
      <c r="B341">
        <f>IFERROR(VLOOKUP(A341,Capacity!$A$3:$D$532,4,), "0")</f>
        <v>20.204367408749999</v>
      </c>
      <c r="C341" s="4">
        <f>IFERROR(VLOOKUP(A341,Capacity!$A$3:$F$532,6,), "0")</f>
        <v>0.17499999999999999</v>
      </c>
      <c r="E341" t="str">
        <f>IFERROR(VLOOKUP(D341,Capacity!$A$3:$D$532,4,), "0")</f>
        <v>0</v>
      </c>
      <c r="F341" s="4" t="str">
        <f>IFERROR(VLOOKUP(D341,Capacity!$A$3:$F$532,6,), "0")</f>
        <v>0</v>
      </c>
      <c r="H341" t="str">
        <f>IFERROR(VLOOKUP(G341,Capacity!$A$3:$D$532,4,), "0")</f>
        <v>0</v>
      </c>
      <c r="I341" s="4" t="str">
        <f>IFERROR(VLOOKUP(G341,Capacity!$A$3:$F$532,6,), "0")</f>
        <v>0</v>
      </c>
      <c r="K341" t="str">
        <f>IFERROR(VLOOKUP(J341,Capacity!$A$3:$D$532,4,), "0")</f>
        <v>0</v>
      </c>
      <c r="L341" s="4" t="str">
        <f>IFERROR(VLOOKUP(J341,Capacity!$A$3:$F$532,6,), "0")</f>
        <v>0</v>
      </c>
      <c r="M341" s="5">
        <f t="shared" si="50"/>
        <v>0</v>
      </c>
      <c r="N341" s="5">
        <f t="shared" si="51"/>
        <v>0</v>
      </c>
      <c r="O341">
        <v>220</v>
      </c>
      <c r="P341">
        <f>IFERROR(VLOOKUP(O341,Capacity!$A$3:$D$532,4,), "0")</f>
        <v>52.778755680000017</v>
      </c>
      <c r="Q341" s="4">
        <f>IFERROR(VLOOKUP(O341,Capacity!$A$3:$F$532,6,), "0")</f>
        <v>0.4</v>
      </c>
      <c r="R341" s="5">
        <f t="shared" si="55"/>
        <v>52.778755680000017</v>
      </c>
      <c r="S341" s="5">
        <f t="shared" si="56"/>
        <v>0.4</v>
      </c>
      <c r="T341">
        <v>221</v>
      </c>
      <c r="U341">
        <v>0</v>
      </c>
      <c r="V341">
        <v>0</v>
      </c>
      <c r="W341">
        <v>1</v>
      </c>
      <c r="X341">
        <f t="shared" si="52"/>
        <v>0</v>
      </c>
      <c r="Y341">
        <f t="shared" si="53"/>
        <v>0</v>
      </c>
      <c r="Z341">
        <f t="shared" si="57"/>
        <v>0</v>
      </c>
      <c r="AA341">
        <f t="shared" si="58"/>
        <v>0</v>
      </c>
      <c r="AC341">
        <f t="shared" si="59"/>
        <v>0</v>
      </c>
      <c r="AD341">
        <f t="shared" si="54"/>
        <v>0</v>
      </c>
    </row>
    <row r="342" spans="1:30" x14ac:dyDescent="0.25">
      <c r="A342">
        <v>238</v>
      </c>
      <c r="B342">
        <f>IFERROR(VLOOKUP(A342,Capacity!$A$3:$D$532,4,), "0")</f>
        <v>11.545352804999998</v>
      </c>
      <c r="C342" s="4">
        <f>IFERROR(VLOOKUP(A342,Capacity!$A$3:$F$532,6,), "0")</f>
        <v>0.17499999999999999</v>
      </c>
      <c r="E342" t="str">
        <f>IFERROR(VLOOKUP(D342,Capacity!$A$3:$D$532,4,), "0")</f>
        <v>0</v>
      </c>
      <c r="F342" s="4" t="str">
        <f>IFERROR(VLOOKUP(D342,Capacity!$A$3:$F$532,6,), "0")</f>
        <v>0</v>
      </c>
      <c r="H342" t="str">
        <f>IFERROR(VLOOKUP(G342,Capacity!$A$3:$D$532,4,), "0")</f>
        <v>0</v>
      </c>
      <c r="I342" s="4" t="str">
        <f>IFERROR(VLOOKUP(G342,Capacity!$A$3:$F$532,6,), "0")</f>
        <v>0</v>
      </c>
      <c r="K342" t="str">
        <f>IFERROR(VLOOKUP(J342,Capacity!$A$3:$D$532,4,), "0")</f>
        <v>0</v>
      </c>
      <c r="L342" s="4" t="str">
        <f>IFERROR(VLOOKUP(J342,Capacity!$A$3:$F$532,6,), "0")</f>
        <v>0</v>
      </c>
      <c r="M342" s="5">
        <f t="shared" si="50"/>
        <v>0</v>
      </c>
      <c r="N342" s="5">
        <f t="shared" si="51"/>
        <v>0</v>
      </c>
      <c r="O342">
        <v>10</v>
      </c>
      <c r="P342">
        <f>IFERROR(VLOOKUP(O342,Capacity!$A$3:$D$532,4,), "0")</f>
        <v>7.2158455031249993</v>
      </c>
      <c r="Q342" s="4">
        <f>IFERROR(VLOOKUP(O342,Capacity!$A$3:$F$532,6,), "0")</f>
        <v>0.17499999999999999</v>
      </c>
      <c r="R342" s="5">
        <f t="shared" si="55"/>
        <v>7.2158455031249993</v>
      </c>
      <c r="S342" s="5">
        <f t="shared" si="56"/>
        <v>0.17499999999999999</v>
      </c>
      <c r="T342">
        <v>238</v>
      </c>
      <c r="U342">
        <v>0</v>
      </c>
      <c r="V342">
        <v>0</v>
      </c>
      <c r="W342">
        <v>1</v>
      </c>
      <c r="X342">
        <f t="shared" si="52"/>
        <v>0</v>
      </c>
      <c r="Y342">
        <f t="shared" si="53"/>
        <v>0</v>
      </c>
      <c r="Z342">
        <f t="shared" si="57"/>
        <v>0</v>
      </c>
      <c r="AA342">
        <f t="shared" si="58"/>
        <v>0</v>
      </c>
      <c r="AC342">
        <f t="shared" si="59"/>
        <v>0</v>
      </c>
      <c r="AD342">
        <f t="shared" si="54"/>
        <v>0</v>
      </c>
    </row>
    <row r="343" spans="1:30" x14ac:dyDescent="0.25">
      <c r="A343">
        <v>354</v>
      </c>
      <c r="B343">
        <f>IFERROR(VLOOKUP(A343,Capacity!$A$3:$D$532,4,), "0")</f>
        <v>8.1779582368749981</v>
      </c>
      <c r="C343" s="4">
        <f>IFERROR(VLOOKUP(A343,Capacity!$A$3:$F$532,6,), "0")</f>
        <v>0.17499999999999999</v>
      </c>
      <c r="E343" t="str">
        <f>IFERROR(VLOOKUP(D343,Capacity!$A$3:$D$532,4,), "0")</f>
        <v>0</v>
      </c>
      <c r="F343" s="4" t="str">
        <f>IFERROR(VLOOKUP(D343,Capacity!$A$3:$F$532,6,), "0")</f>
        <v>0</v>
      </c>
      <c r="H343" t="str">
        <f>IFERROR(VLOOKUP(G343,Capacity!$A$3:$D$532,4,), "0")</f>
        <v>0</v>
      </c>
      <c r="I343" s="4" t="str">
        <f>IFERROR(VLOOKUP(G343,Capacity!$A$3:$F$532,6,), "0")</f>
        <v>0</v>
      </c>
      <c r="K343" t="str">
        <f>IFERROR(VLOOKUP(J343,Capacity!$A$3:$D$532,4,), "0")</f>
        <v>0</v>
      </c>
      <c r="L343" s="4" t="str">
        <f>IFERROR(VLOOKUP(J343,Capacity!$A$3:$F$532,6,), "0")</f>
        <v>0</v>
      </c>
      <c r="M343" s="5">
        <f t="shared" si="50"/>
        <v>0</v>
      </c>
      <c r="N343" s="5">
        <f t="shared" si="51"/>
        <v>0</v>
      </c>
      <c r="O343">
        <v>11</v>
      </c>
      <c r="P343">
        <f>IFERROR(VLOOKUP(O343,Capacity!$A$3:$D$532,4,), "0")</f>
        <v>12.507465538749999</v>
      </c>
      <c r="Q343" s="4">
        <f>IFERROR(VLOOKUP(O343,Capacity!$A$3:$F$532,6,), "0")</f>
        <v>0.17499999999999999</v>
      </c>
      <c r="R343" s="5">
        <f t="shared" si="55"/>
        <v>12.507465538749999</v>
      </c>
      <c r="S343" s="5">
        <f t="shared" si="56"/>
        <v>0.17499999999999999</v>
      </c>
      <c r="T343">
        <v>354</v>
      </c>
      <c r="U343">
        <v>0</v>
      </c>
      <c r="V343">
        <v>0</v>
      </c>
      <c r="W343">
        <v>1</v>
      </c>
      <c r="X343">
        <f t="shared" si="52"/>
        <v>0</v>
      </c>
      <c r="Y343">
        <f t="shared" si="53"/>
        <v>0</v>
      </c>
      <c r="Z343">
        <f t="shared" si="57"/>
        <v>0</v>
      </c>
      <c r="AA343">
        <f t="shared" si="58"/>
        <v>0</v>
      </c>
      <c r="AC343">
        <f t="shared" si="59"/>
        <v>0</v>
      </c>
      <c r="AD343">
        <f t="shared" si="54"/>
        <v>0</v>
      </c>
    </row>
    <row r="344" spans="1:30" x14ac:dyDescent="0.25">
      <c r="A344">
        <v>388</v>
      </c>
      <c r="B344">
        <f>IFERROR(VLOOKUP(A344,Capacity!$A$3:$D$532,4,), "0")</f>
        <v>25.977043811249995</v>
      </c>
      <c r="C344" s="4">
        <f>IFERROR(VLOOKUP(A344,Capacity!$A$3:$F$532,6,), "0")</f>
        <v>0.17499999999999999</v>
      </c>
      <c r="E344" t="str">
        <f>IFERROR(VLOOKUP(D344,Capacity!$A$3:$D$532,4,), "0")</f>
        <v>0</v>
      </c>
      <c r="F344" s="4" t="str">
        <f>IFERROR(VLOOKUP(D344,Capacity!$A$3:$F$532,6,), "0")</f>
        <v>0</v>
      </c>
      <c r="H344" t="str">
        <f>IFERROR(VLOOKUP(G344,Capacity!$A$3:$D$532,4,), "0")</f>
        <v>0</v>
      </c>
      <c r="I344" s="4" t="str">
        <f>IFERROR(VLOOKUP(G344,Capacity!$A$3:$F$532,6,), "0")</f>
        <v>0</v>
      </c>
      <c r="K344" t="str">
        <f>IFERROR(VLOOKUP(J344,Capacity!$A$3:$D$532,4,), "0")</f>
        <v>0</v>
      </c>
      <c r="L344" s="4" t="str">
        <f>IFERROR(VLOOKUP(J344,Capacity!$A$3:$F$532,6,), "0")</f>
        <v>0</v>
      </c>
      <c r="M344" s="5">
        <f t="shared" si="50"/>
        <v>0</v>
      </c>
      <c r="N344" s="5">
        <f t="shared" si="51"/>
        <v>0</v>
      </c>
      <c r="O344">
        <v>61</v>
      </c>
      <c r="P344">
        <f>IFERROR(VLOOKUP(O344,Capacity!$A$3:$D$532,4,), "0")</f>
        <v>7.6969018699999987</v>
      </c>
      <c r="Q344" s="4">
        <f>IFERROR(VLOOKUP(O344,Capacity!$A$3:$F$532,6,), "0")</f>
        <v>0.17499999999999999</v>
      </c>
      <c r="R344" s="5">
        <f t="shared" si="55"/>
        <v>7.6969018699999987</v>
      </c>
      <c r="S344" s="5">
        <f t="shared" si="56"/>
        <v>0.17499999999999999</v>
      </c>
      <c r="T344">
        <v>388</v>
      </c>
      <c r="U344">
        <v>0</v>
      </c>
      <c r="V344">
        <v>0</v>
      </c>
      <c r="W344">
        <v>1</v>
      </c>
      <c r="X344">
        <f t="shared" si="52"/>
        <v>0</v>
      </c>
      <c r="Y344">
        <f t="shared" si="53"/>
        <v>0</v>
      </c>
      <c r="Z344">
        <f t="shared" si="57"/>
        <v>0</v>
      </c>
      <c r="AA344">
        <f t="shared" si="58"/>
        <v>0</v>
      </c>
      <c r="AC344">
        <f t="shared" si="59"/>
        <v>0</v>
      </c>
      <c r="AD344">
        <f t="shared" si="54"/>
        <v>0</v>
      </c>
    </row>
    <row r="345" spans="1:30" x14ac:dyDescent="0.25">
      <c r="A345">
        <v>384</v>
      </c>
      <c r="B345">
        <f>IFERROR(VLOOKUP(A345,Capacity!$A$3:$D$532,4,), "0")</f>
        <v>7.6969018699999987</v>
      </c>
      <c r="C345" s="4">
        <f>IFERROR(VLOOKUP(A345,Capacity!$A$3:$F$532,6,), "0")</f>
        <v>0.17499999999999999</v>
      </c>
      <c r="E345" t="str">
        <f>IFERROR(VLOOKUP(D345,Capacity!$A$3:$D$532,4,), "0")</f>
        <v>0</v>
      </c>
      <c r="F345" s="4" t="str">
        <f>IFERROR(VLOOKUP(D345,Capacity!$A$3:$F$532,6,), "0")</f>
        <v>0</v>
      </c>
      <c r="H345" t="str">
        <f>IFERROR(VLOOKUP(G345,Capacity!$A$3:$D$532,4,), "0")</f>
        <v>0</v>
      </c>
      <c r="I345" s="4" t="str">
        <f>IFERROR(VLOOKUP(G345,Capacity!$A$3:$F$532,6,), "0")</f>
        <v>0</v>
      </c>
      <c r="K345" t="str">
        <f>IFERROR(VLOOKUP(J345,Capacity!$A$3:$D$532,4,), "0")</f>
        <v>0</v>
      </c>
      <c r="L345" s="4" t="str">
        <f>IFERROR(VLOOKUP(J345,Capacity!$A$3:$F$532,6,), "0")</f>
        <v>0</v>
      </c>
      <c r="M345" s="5">
        <f t="shared" si="50"/>
        <v>0</v>
      </c>
      <c r="N345" s="5">
        <f t="shared" si="51"/>
        <v>0</v>
      </c>
      <c r="O345">
        <v>61</v>
      </c>
      <c r="P345">
        <f>IFERROR(VLOOKUP(O345,Capacity!$A$3:$D$532,4,), "0")</f>
        <v>7.6969018699999987</v>
      </c>
      <c r="Q345" s="4">
        <f>IFERROR(VLOOKUP(O345,Capacity!$A$3:$F$532,6,), "0")</f>
        <v>0.17499999999999999</v>
      </c>
      <c r="R345" s="5">
        <f t="shared" si="55"/>
        <v>7.6969018699999987</v>
      </c>
      <c r="S345" s="5">
        <f t="shared" si="56"/>
        <v>0.17499999999999999</v>
      </c>
      <c r="T345">
        <v>384</v>
      </c>
      <c r="U345">
        <v>0</v>
      </c>
      <c r="V345">
        <v>0</v>
      </c>
      <c r="W345">
        <v>1</v>
      </c>
      <c r="X345">
        <f t="shared" si="52"/>
        <v>0</v>
      </c>
      <c r="Y345">
        <f t="shared" si="53"/>
        <v>0</v>
      </c>
      <c r="Z345">
        <f t="shared" si="57"/>
        <v>0</v>
      </c>
      <c r="AA345">
        <f t="shared" si="58"/>
        <v>0</v>
      </c>
      <c r="AC345">
        <f t="shared" si="59"/>
        <v>0</v>
      </c>
      <c r="AD345">
        <f t="shared" si="54"/>
        <v>0</v>
      </c>
    </row>
    <row r="346" spans="1:30" x14ac:dyDescent="0.25">
      <c r="A346">
        <v>356</v>
      </c>
      <c r="B346">
        <f>IFERROR(VLOOKUP(A346,Capacity!$A$3:$D$532,4,), "0")</f>
        <v>7.6969018699999987</v>
      </c>
      <c r="C346" s="4">
        <f>IFERROR(VLOOKUP(A346,Capacity!$A$3:$F$532,6,), "0")</f>
        <v>0.17499999999999999</v>
      </c>
      <c r="E346" t="str">
        <f>IFERROR(VLOOKUP(D346,Capacity!$A$3:$D$532,4,), "0")</f>
        <v>0</v>
      </c>
      <c r="F346" s="4" t="str">
        <f>IFERROR(VLOOKUP(D346,Capacity!$A$3:$F$532,6,), "0")</f>
        <v>0</v>
      </c>
      <c r="H346" t="str">
        <f>IFERROR(VLOOKUP(G346,Capacity!$A$3:$D$532,4,), "0")</f>
        <v>0</v>
      </c>
      <c r="I346" s="4" t="str">
        <f>IFERROR(VLOOKUP(G346,Capacity!$A$3:$F$532,6,), "0")</f>
        <v>0</v>
      </c>
      <c r="K346" t="str">
        <f>IFERROR(VLOOKUP(J346,Capacity!$A$3:$D$532,4,), "0")</f>
        <v>0</v>
      </c>
      <c r="L346" s="4" t="str">
        <f>IFERROR(VLOOKUP(J346,Capacity!$A$3:$F$532,6,), "0")</f>
        <v>0</v>
      </c>
      <c r="M346" s="5">
        <f t="shared" si="50"/>
        <v>0</v>
      </c>
      <c r="N346" s="5">
        <f t="shared" si="51"/>
        <v>0</v>
      </c>
      <c r="O346">
        <v>69</v>
      </c>
      <c r="P346">
        <f>IFERROR(VLOOKUP(O346,Capacity!$A$3:$D$532,4,), "0")</f>
        <v>59.566951890450007</v>
      </c>
      <c r="Q346" s="4">
        <f>IFERROR(VLOOKUP(O346,Capacity!$A$3:$F$532,6,), "0")</f>
        <v>0.26500000000000001</v>
      </c>
      <c r="R346" s="5">
        <f t="shared" si="55"/>
        <v>59.566951890450007</v>
      </c>
      <c r="S346" s="5">
        <f t="shared" si="56"/>
        <v>0.26500000000000001</v>
      </c>
      <c r="T346">
        <v>356</v>
      </c>
      <c r="U346">
        <v>0</v>
      </c>
      <c r="V346">
        <v>0</v>
      </c>
      <c r="W346">
        <v>1</v>
      </c>
      <c r="X346">
        <f t="shared" si="52"/>
        <v>0</v>
      </c>
      <c r="Y346">
        <f t="shared" si="53"/>
        <v>0</v>
      </c>
      <c r="Z346">
        <f t="shared" si="57"/>
        <v>0</v>
      </c>
      <c r="AA346">
        <f t="shared" si="58"/>
        <v>0</v>
      </c>
      <c r="AC346">
        <f t="shared" si="59"/>
        <v>0</v>
      </c>
      <c r="AD346">
        <f t="shared" si="54"/>
        <v>0</v>
      </c>
    </row>
    <row r="347" spans="1:30" x14ac:dyDescent="0.25">
      <c r="A347">
        <v>237</v>
      </c>
      <c r="B347">
        <f>IFERROR(VLOOKUP(A347,Capacity!$A$3:$D$532,4,), "0")</f>
        <v>15.079644480000002</v>
      </c>
      <c r="C347" s="4">
        <f>IFERROR(VLOOKUP(A347,Capacity!$A$3:$F$532,6,), "0")</f>
        <v>0.2</v>
      </c>
      <c r="E347" t="str">
        <f>IFERROR(VLOOKUP(D347,Capacity!$A$3:$D$532,4,), "0")</f>
        <v>0</v>
      </c>
      <c r="F347" s="4" t="str">
        <f>IFERROR(VLOOKUP(D347,Capacity!$A$3:$F$532,6,), "0")</f>
        <v>0</v>
      </c>
      <c r="H347" t="str">
        <f>IFERROR(VLOOKUP(G347,Capacity!$A$3:$D$532,4,), "0")</f>
        <v>0</v>
      </c>
      <c r="I347" s="4" t="str">
        <f>IFERROR(VLOOKUP(G347,Capacity!$A$3:$F$532,6,), "0")</f>
        <v>0</v>
      </c>
      <c r="K347" t="str">
        <f>IFERROR(VLOOKUP(J347,Capacity!$A$3:$D$532,4,), "0")</f>
        <v>0</v>
      </c>
      <c r="L347" s="4" t="str">
        <f>IFERROR(VLOOKUP(J347,Capacity!$A$3:$F$532,6,), "0")</f>
        <v>0</v>
      </c>
      <c r="M347" s="5">
        <f t="shared" si="50"/>
        <v>0</v>
      </c>
      <c r="N347" s="5">
        <f t="shared" si="51"/>
        <v>0</v>
      </c>
      <c r="O347">
        <v>69</v>
      </c>
      <c r="P347">
        <f>IFERROR(VLOOKUP(O347,Capacity!$A$3:$D$532,4,), "0")</f>
        <v>59.566951890450007</v>
      </c>
      <c r="Q347" s="4">
        <f>IFERROR(VLOOKUP(O347,Capacity!$A$3:$F$532,6,), "0")</f>
        <v>0.26500000000000001</v>
      </c>
      <c r="R347" s="5">
        <f t="shared" si="55"/>
        <v>59.566951890450007</v>
      </c>
      <c r="S347" s="5">
        <f t="shared" si="56"/>
        <v>0.26500000000000001</v>
      </c>
      <c r="T347">
        <v>237</v>
      </c>
      <c r="U347">
        <v>0</v>
      </c>
      <c r="V347">
        <v>0</v>
      </c>
      <c r="W347">
        <v>1</v>
      </c>
      <c r="X347">
        <f t="shared" si="52"/>
        <v>0</v>
      </c>
      <c r="Y347">
        <f t="shared" si="53"/>
        <v>0</v>
      </c>
      <c r="Z347">
        <f t="shared" si="57"/>
        <v>0</v>
      </c>
      <c r="AA347">
        <f t="shared" si="58"/>
        <v>0</v>
      </c>
      <c r="AC347">
        <f t="shared" si="59"/>
        <v>0</v>
      </c>
      <c r="AD347">
        <f t="shared" si="54"/>
        <v>0</v>
      </c>
    </row>
    <row r="348" spans="1:30" x14ac:dyDescent="0.25">
      <c r="A348">
        <v>67</v>
      </c>
      <c r="B348">
        <f>IFERROR(VLOOKUP(A348,Capacity!$A$3:$D$532,4,), "0")</f>
        <v>17.649467226800002</v>
      </c>
      <c r="C348" s="4">
        <f>IFERROR(VLOOKUP(A348,Capacity!$A$3:$F$532,6,), "0")</f>
        <v>0.26500000000000001</v>
      </c>
      <c r="D348">
        <v>236</v>
      </c>
      <c r="E348">
        <f>IFERROR(VLOOKUP(D348,Capacity!$A$3:$D$532,4,), "0")</f>
        <v>26.474200840200002</v>
      </c>
      <c r="F348" s="4">
        <f>IFERROR(VLOOKUP(D348,Capacity!$A$3:$F$532,6,), "0")</f>
        <v>0.26500000000000001</v>
      </c>
      <c r="H348" t="str">
        <f>IFERROR(VLOOKUP(G348,Capacity!$A$3:$D$532,4,), "0")</f>
        <v>0</v>
      </c>
      <c r="I348" s="4" t="str">
        <f>IFERROR(VLOOKUP(G348,Capacity!$A$3:$F$532,6,), "0")</f>
        <v>0</v>
      </c>
      <c r="K348" t="str">
        <f>IFERROR(VLOOKUP(J348,Capacity!$A$3:$D$532,4,), "0")</f>
        <v>0</v>
      </c>
      <c r="L348" s="4" t="str">
        <f>IFERROR(VLOOKUP(J348,Capacity!$A$3:$F$532,6,), "0")</f>
        <v>0</v>
      </c>
      <c r="M348" s="5">
        <f t="shared" si="50"/>
        <v>26.474200840200002</v>
      </c>
      <c r="N348" s="5">
        <f t="shared" si="51"/>
        <v>0.26500000000000001</v>
      </c>
      <c r="O348">
        <v>69</v>
      </c>
      <c r="P348">
        <f>IFERROR(VLOOKUP(O348,Capacity!$A$3:$D$532,4,), "0")</f>
        <v>59.566951890450007</v>
      </c>
      <c r="Q348" s="4">
        <f>IFERROR(VLOOKUP(O348,Capacity!$A$3:$F$532,6,), "0")</f>
        <v>0.26500000000000001</v>
      </c>
      <c r="R348" s="5">
        <f t="shared" si="55"/>
        <v>59.566951890450007</v>
      </c>
      <c r="S348" s="5">
        <f t="shared" si="56"/>
        <v>0.26500000000000001</v>
      </c>
      <c r="T348">
        <v>67</v>
      </c>
      <c r="U348">
        <v>1</v>
      </c>
      <c r="V348">
        <v>1</v>
      </c>
      <c r="W348">
        <v>1</v>
      </c>
      <c r="X348">
        <f t="shared" si="52"/>
        <v>0.44444444444444442</v>
      </c>
      <c r="Y348">
        <f t="shared" si="53"/>
        <v>1.5</v>
      </c>
      <c r="Z348">
        <f t="shared" si="57"/>
        <v>1</v>
      </c>
      <c r="AA348">
        <f t="shared" si="58"/>
        <v>1</v>
      </c>
      <c r="AC348">
        <f t="shared" si="59"/>
        <v>0.3428571428571428</v>
      </c>
      <c r="AD348">
        <f t="shared" si="54"/>
        <v>0.3428571428571428</v>
      </c>
    </row>
    <row r="349" spans="1:30" x14ac:dyDescent="0.25">
      <c r="A349">
        <v>431</v>
      </c>
      <c r="B349">
        <f>IFERROR(VLOOKUP(A349,Capacity!$A$3:$D$532,4,), "0")</f>
        <v>20.204367408749999</v>
      </c>
      <c r="C349" s="4">
        <f>IFERROR(VLOOKUP(A349,Capacity!$A$3:$F$532,6,), "0")</f>
        <v>0.17499999999999999</v>
      </c>
      <c r="E349" t="str">
        <f>IFERROR(VLOOKUP(D349,Capacity!$A$3:$D$532,4,), "0")</f>
        <v>0</v>
      </c>
      <c r="F349" s="4" t="str">
        <f>IFERROR(VLOOKUP(D349,Capacity!$A$3:$F$532,6,), "0")</f>
        <v>0</v>
      </c>
      <c r="H349" t="str">
        <f>IFERROR(VLOOKUP(G349,Capacity!$A$3:$D$532,4,), "0")</f>
        <v>0</v>
      </c>
      <c r="I349" s="4" t="str">
        <f>IFERROR(VLOOKUP(G349,Capacity!$A$3:$F$532,6,), "0")</f>
        <v>0</v>
      </c>
      <c r="K349" t="str">
        <f>IFERROR(VLOOKUP(J349,Capacity!$A$3:$D$532,4,), "0")</f>
        <v>0</v>
      </c>
      <c r="L349" s="4" t="str">
        <f>IFERROR(VLOOKUP(J349,Capacity!$A$3:$F$532,6,), "0")</f>
        <v>0</v>
      </c>
      <c r="M349" s="5">
        <f t="shared" si="50"/>
        <v>0</v>
      </c>
      <c r="N349" s="5">
        <f t="shared" si="51"/>
        <v>0</v>
      </c>
      <c r="O349">
        <v>103</v>
      </c>
      <c r="P349">
        <f>IFERROR(VLOOKUP(O349,Capacity!$A$3:$D$532,4,), "0")</f>
        <v>10.102183704374999</v>
      </c>
      <c r="Q349" s="4">
        <f>IFERROR(VLOOKUP(O349,Capacity!$A$3:$F$532,6,), "0")</f>
        <v>0.17499999999999999</v>
      </c>
      <c r="R349" s="5">
        <f t="shared" si="55"/>
        <v>10.102183704374999</v>
      </c>
      <c r="S349" s="5">
        <f t="shared" si="56"/>
        <v>0.17499999999999999</v>
      </c>
      <c r="T349">
        <v>431</v>
      </c>
      <c r="U349">
        <v>0</v>
      </c>
      <c r="V349">
        <v>0</v>
      </c>
      <c r="W349">
        <v>1</v>
      </c>
      <c r="X349">
        <f t="shared" si="52"/>
        <v>0</v>
      </c>
      <c r="Y349">
        <f t="shared" si="53"/>
        <v>0</v>
      </c>
      <c r="Z349">
        <f t="shared" si="57"/>
        <v>0</v>
      </c>
      <c r="AA349">
        <f t="shared" si="58"/>
        <v>0</v>
      </c>
      <c r="AC349">
        <f t="shared" si="59"/>
        <v>0</v>
      </c>
      <c r="AD349">
        <f t="shared" si="54"/>
        <v>0</v>
      </c>
    </row>
    <row r="350" spans="1:30" x14ac:dyDescent="0.25">
      <c r="A350">
        <v>63</v>
      </c>
      <c r="B350">
        <f>IFERROR(VLOOKUP(A350,Capacity!$A$3:$D$532,4,), "0")</f>
        <v>10.102183704374999</v>
      </c>
      <c r="C350" s="4">
        <f>IFERROR(VLOOKUP(A350,Capacity!$A$3:$F$532,6,), "0")</f>
        <v>0.17499999999999999</v>
      </c>
      <c r="D350">
        <v>65</v>
      </c>
      <c r="E350">
        <f>IFERROR(VLOOKUP(D350,Capacity!$A$3:$D$532,4,), "0")</f>
        <v>24.052818343749998</v>
      </c>
      <c r="F350" s="4">
        <f>IFERROR(VLOOKUP(D350,Capacity!$A$3:$F$532,6,), "0")</f>
        <v>0.17499999999999999</v>
      </c>
      <c r="G350">
        <v>64</v>
      </c>
      <c r="H350">
        <f>IFERROR(VLOOKUP(G350,Capacity!$A$3:$D$532,4,), "0")</f>
        <v>15.874860106874999</v>
      </c>
      <c r="I350" s="4">
        <f>IFERROR(VLOOKUP(G350,Capacity!$A$3:$F$532,6,), "0")</f>
        <v>0.17499999999999999</v>
      </c>
      <c r="K350" t="str">
        <f>IFERROR(VLOOKUP(J350,Capacity!$A$3:$D$532,4,), "0")</f>
        <v>0</v>
      </c>
      <c r="L350" s="4" t="str">
        <f>IFERROR(VLOOKUP(J350,Capacity!$A$3:$F$532,6,), "0")</f>
        <v>0</v>
      </c>
      <c r="M350" s="5">
        <f t="shared" si="50"/>
        <v>39.927678450624995</v>
      </c>
      <c r="N350" s="5">
        <f t="shared" si="51"/>
        <v>0.35</v>
      </c>
      <c r="O350">
        <v>103</v>
      </c>
      <c r="P350">
        <f>IFERROR(VLOOKUP(O350,Capacity!$A$3:$D$532,4,), "0")</f>
        <v>10.102183704374999</v>
      </c>
      <c r="Q350" s="4">
        <f>IFERROR(VLOOKUP(O350,Capacity!$A$3:$F$532,6,), "0")</f>
        <v>0.17499999999999999</v>
      </c>
      <c r="R350" s="5">
        <f t="shared" si="55"/>
        <v>10.102183704374999</v>
      </c>
      <c r="S350" s="5">
        <f t="shared" si="56"/>
        <v>0.17499999999999999</v>
      </c>
      <c r="T350">
        <v>63</v>
      </c>
      <c r="U350">
        <v>2</v>
      </c>
      <c r="V350">
        <v>2</v>
      </c>
      <c r="W350">
        <v>1</v>
      </c>
      <c r="X350">
        <f t="shared" si="52"/>
        <v>3.9523809523809521</v>
      </c>
      <c r="Y350">
        <f t="shared" si="53"/>
        <v>3.9523809523809521</v>
      </c>
      <c r="Z350">
        <f t="shared" si="57"/>
        <v>2</v>
      </c>
      <c r="AA350">
        <f t="shared" si="58"/>
        <v>2</v>
      </c>
      <c r="AC350">
        <f t="shared" si="59"/>
        <v>1.9761904761904761</v>
      </c>
      <c r="AD350">
        <f t="shared" si="54"/>
        <v>3.9523809523809521</v>
      </c>
    </row>
    <row r="351" spans="1:30" x14ac:dyDescent="0.25">
      <c r="A351">
        <v>62</v>
      </c>
      <c r="B351">
        <f>IFERROR(VLOOKUP(A351,Capacity!$A$3:$D$532,4,), "0")</f>
        <v>4.8105636687499995</v>
      </c>
      <c r="C351" s="4">
        <f>IFERROR(VLOOKUP(A351,Capacity!$A$3:$F$532,6,), "0")</f>
        <v>0.17499999999999999</v>
      </c>
      <c r="D351">
        <v>66</v>
      </c>
      <c r="E351">
        <f>IFERROR(VLOOKUP(D351,Capacity!$A$3:$D$532,4,), "0")</f>
        <v>25.977043811249995</v>
      </c>
      <c r="F351" s="4">
        <f>IFERROR(VLOOKUP(D351,Capacity!$A$3:$F$532,6,), "0")</f>
        <v>0.17499999999999999</v>
      </c>
      <c r="H351" t="str">
        <f>IFERROR(VLOOKUP(G351,Capacity!$A$3:$D$532,4,), "0")</f>
        <v>0</v>
      </c>
      <c r="I351" s="4" t="str">
        <f>IFERROR(VLOOKUP(G351,Capacity!$A$3:$F$532,6,), "0")</f>
        <v>0</v>
      </c>
      <c r="K351" t="str">
        <f>IFERROR(VLOOKUP(J351,Capacity!$A$3:$D$532,4,), "0")</f>
        <v>0</v>
      </c>
      <c r="L351" s="4" t="str">
        <f>IFERROR(VLOOKUP(J351,Capacity!$A$3:$F$532,6,), "0")</f>
        <v>0</v>
      </c>
      <c r="M351" s="5">
        <f t="shared" si="50"/>
        <v>25.977043811249995</v>
      </c>
      <c r="N351" s="5">
        <f t="shared" si="51"/>
        <v>0.17499999999999999</v>
      </c>
      <c r="O351">
        <v>103</v>
      </c>
      <c r="P351">
        <f>IFERROR(VLOOKUP(O351,Capacity!$A$3:$D$532,4,), "0")</f>
        <v>10.102183704374999</v>
      </c>
      <c r="Q351" s="4">
        <f>IFERROR(VLOOKUP(O351,Capacity!$A$3:$F$532,6,), "0")</f>
        <v>0.17499999999999999</v>
      </c>
      <c r="R351" s="5">
        <f t="shared" si="55"/>
        <v>10.102183704374999</v>
      </c>
      <c r="S351" s="5">
        <f t="shared" si="56"/>
        <v>0.17499999999999999</v>
      </c>
      <c r="T351">
        <v>62</v>
      </c>
      <c r="U351">
        <v>1</v>
      </c>
      <c r="V351">
        <v>1</v>
      </c>
      <c r="W351">
        <v>1</v>
      </c>
      <c r="X351">
        <f t="shared" si="52"/>
        <v>2.5714285714285712</v>
      </c>
      <c r="Y351">
        <f t="shared" si="53"/>
        <v>5.3999999999999995</v>
      </c>
      <c r="Z351">
        <f t="shared" si="57"/>
        <v>1</v>
      </c>
      <c r="AA351">
        <f t="shared" si="58"/>
        <v>1</v>
      </c>
      <c r="AC351">
        <f t="shared" si="59"/>
        <v>1.7419354838709675</v>
      </c>
      <c r="AD351">
        <f t="shared" si="54"/>
        <v>1.7419354838709675</v>
      </c>
    </row>
    <row r="352" spans="1:30" x14ac:dyDescent="0.25">
      <c r="A352">
        <v>521</v>
      </c>
      <c r="B352">
        <f>IFERROR(VLOOKUP(A352,Capacity!$A$3:$D$532,4,), "0")</f>
        <v>13.950634639374998</v>
      </c>
      <c r="C352" s="4">
        <f>IFERROR(VLOOKUP(A352,Capacity!$A$3:$F$532,6,), "0")</f>
        <v>0.17499999999999999</v>
      </c>
      <c r="E352" t="str">
        <f>IFERROR(VLOOKUP(D352,Capacity!$A$3:$D$532,4,), "0")</f>
        <v>0</v>
      </c>
      <c r="F352" s="4" t="str">
        <f>IFERROR(VLOOKUP(D352,Capacity!$A$3:$F$532,6,), "0")</f>
        <v>0</v>
      </c>
      <c r="H352" t="str">
        <f>IFERROR(VLOOKUP(G352,Capacity!$A$3:$D$532,4,), "0")</f>
        <v>0</v>
      </c>
      <c r="I352" s="4" t="str">
        <f>IFERROR(VLOOKUP(G352,Capacity!$A$3:$F$532,6,), "0")</f>
        <v>0</v>
      </c>
      <c r="K352" t="str">
        <f>IFERROR(VLOOKUP(J352,Capacity!$A$3:$D$532,4,), "0")</f>
        <v>0</v>
      </c>
      <c r="L352" s="4" t="str">
        <f>IFERROR(VLOOKUP(J352,Capacity!$A$3:$F$532,6,), "0")</f>
        <v>0</v>
      </c>
      <c r="M352" s="5">
        <f t="shared" si="50"/>
        <v>0</v>
      </c>
      <c r="N352" s="5">
        <f t="shared" si="51"/>
        <v>0</v>
      </c>
      <c r="O352">
        <v>323</v>
      </c>
      <c r="P352">
        <f>IFERROR(VLOOKUP(O352,Capacity!$A$3:$D$532,4,), "0")</f>
        <v>40.212385280000007</v>
      </c>
      <c r="Q352" s="4">
        <f>IFERROR(VLOOKUP(O352,Capacity!$A$3:$F$532,6,), "0")</f>
        <v>0.4</v>
      </c>
      <c r="R352" s="5">
        <f t="shared" si="55"/>
        <v>40.212385280000007</v>
      </c>
      <c r="S352" s="5">
        <f t="shared" si="56"/>
        <v>0.4</v>
      </c>
      <c r="T352">
        <v>521</v>
      </c>
      <c r="U352">
        <v>0</v>
      </c>
      <c r="V352">
        <v>0</v>
      </c>
      <c r="W352">
        <v>1</v>
      </c>
      <c r="X352">
        <f t="shared" si="52"/>
        <v>0</v>
      </c>
      <c r="Y352">
        <f t="shared" si="53"/>
        <v>0</v>
      </c>
      <c r="Z352">
        <f t="shared" si="57"/>
        <v>0</v>
      </c>
      <c r="AA352">
        <f t="shared" si="58"/>
        <v>0</v>
      </c>
      <c r="AC352">
        <f t="shared" si="59"/>
        <v>0</v>
      </c>
      <c r="AD352">
        <f t="shared" si="54"/>
        <v>0</v>
      </c>
    </row>
    <row r="353" spans="1:30" x14ac:dyDescent="0.25">
      <c r="A353">
        <v>503</v>
      </c>
      <c r="B353">
        <f>IFERROR(VLOOKUP(A353,Capacity!$A$3:$D$532,4,), "0")</f>
        <v>14.431691006249999</v>
      </c>
      <c r="C353" s="4">
        <f>IFERROR(VLOOKUP(A353,Capacity!$A$3:$F$532,6,), "0")</f>
        <v>0.17499999999999999</v>
      </c>
      <c r="E353" t="str">
        <f>IFERROR(VLOOKUP(D353,Capacity!$A$3:$D$532,4,), "0")</f>
        <v>0</v>
      </c>
      <c r="F353" s="4" t="str">
        <f>IFERROR(VLOOKUP(D353,Capacity!$A$3:$F$532,6,), "0")</f>
        <v>0</v>
      </c>
      <c r="H353" t="str">
        <f>IFERROR(VLOOKUP(G353,Capacity!$A$3:$D$532,4,), "0")</f>
        <v>0</v>
      </c>
      <c r="I353" s="4" t="str">
        <f>IFERROR(VLOOKUP(G353,Capacity!$A$3:$F$532,6,), "0")</f>
        <v>0</v>
      </c>
      <c r="K353" t="str">
        <f>IFERROR(VLOOKUP(J353,Capacity!$A$3:$D$532,4,), "0")</f>
        <v>0</v>
      </c>
      <c r="L353" s="4" t="str">
        <f>IFERROR(VLOOKUP(J353,Capacity!$A$3:$F$532,6,), "0")</f>
        <v>0</v>
      </c>
      <c r="M353" s="5">
        <f t="shared" si="50"/>
        <v>0</v>
      </c>
      <c r="N353" s="5">
        <f t="shared" si="51"/>
        <v>0</v>
      </c>
      <c r="O353">
        <v>323</v>
      </c>
      <c r="P353">
        <f>IFERROR(VLOOKUP(O353,Capacity!$A$3:$D$532,4,), "0")</f>
        <v>40.212385280000007</v>
      </c>
      <c r="Q353" s="4">
        <f>IFERROR(VLOOKUP(O353,Capacity!$A$3:$F$532,6,), "0")</f>
        <v>0.4</v>
      </c>
      <c r="R353" s="5">
        <f t="shared" si="55"/>
        <v>40.212385280000007</v>
      </c>
      <c r="S353" s="5">
        <f t="shared" si="56"/>
        <v>0.4</v>
      </c>
      <c r="T353">
        <v>503</v>
      </c>
      <c r="U353">
        <v>0</v>
      </c>
      <c r="V353">
        <v>0</v>
      </c>
      <c r="W353">
        <v>1</v>
      </c>
      <c r="X353">
        <f t="shared" si="52"/>
        <v>0</v>
      </c>
      <c r="Y353">
        <f t="shared" si="53"/>
        <v>0</v>
      </c>
      <c r="Z353">
        <f t="shared" si="57"/>
        <v>0</v>
      </c>
      <c r="AA353">
        <f t="shared" si="58"/>
        <v>0</v>
      </c>
      <c r="AC353">
        <f t="shared" si="59"/>
        <v>0</v>
      </c>
      <c r="AD353">
        <f t="shared" si="54"/>
        <v>0</v>
      </c>
    </row>
    <row r="354" spans="1:30" x14ac:dyDescent="0.25">
      <c r="A354">
        <v>324</v>
      </c>
      <c r="B354">
        <f>IFERROR(VLOOKUP(A354,Capacity!$A$3:$D$532,4,), "0")</f>
        <v>75.398222400000023</v>
      </c>
      <c r="C354" s="4">
        <f>IFERROR(VLOOKUP(A354,Capacity!$A$3:$F$532,6,), "0")</f>
        <v>0.4</v>
      </c>
      <c r="D354">
        <v>517</v>
      </c>
      <c r="E354">
        <f>IFERROR(VLOOKUP(D354,Capacity!$A$3:$D$532,4,), "0")</f>
        <v>15.393803739999997</v>
      </c>
      <c r="F354" s="4">
        <f>IFERROR(VLOOKUP(D354,Capacity!$A$3:$F$532,6,), "0")</f>
        <v>0.17499999999999999</v>
      </c>
      <c r="G354">
        <v>325</v>
      </c>
      <c r="H354">
        <f>IFERROR(VLOOKUP(G354,Capacity!$A$3:$D$532,4,), "0")</f>
        <v>37.699111200000011</v>
      </c>
      <c r="I354" s="4">
        <f>IFERROR(VLOOKUP(G354,Capacity!$A$3:$F$532,6,), "0")</f>
        <v>0.4</v>
      </c>
      <c r="K354" t="str">
        <f>IFERROR(VLOOKUP(J354,Capacity!$A$3:$D$532,4,), "0")</f>
        <v>0</v>
      </c>
      <c r="L354" s="4" t="str">
        <f>IFERROR(VLOOKUP(J354,Capacity!$A$3:$F$532,6,), "0")</f>
        <v>0</v>
      </c>
      <c r="M354" s="5">
        <f t="shared" si="50"/>
        <v>53.092914940000007</v>
      </c>
      <c r="N354" s="5">
        <f t="shared" si="51"/>
        <v>0.57499999999999996</v>
      </c>
      <c r="O354">
        <v>323</v>
      </c>
      <c r="P354">
        <f>IFERROR(VLOOKUP(O354,Capacity!$A$3:$D$532,4,), "0")</f>
        <v>40.212385280000007</v>
      </c>
      <c r="Q354" s="4">
        <f>IFERROR(VLOOKUP(O354,Capacity!$A$3:$F$532,6,), "0")</f>
        <v>0.4</v>
      </c>
      <c r="R354" s="5">
        <f t="shared" si="55"/>
        <v>40.212385280000007</v>
      </c>
      <c r="S354" s="5">
        <f t="shared" si="56"/>
        <v>0.4</v>
      </c>
      <c r="T354">
        <v>324</v>
      </c>
      <c r="U354">
        <v>2</v>
      </c>
      <c r="V354">
        <v>2</v>
      </c>
      <c r="W354">
        <v>1</v>
      </c>
      <c r="X354">
        <f t="shared" si="52"/>
        <v>1.3203125</v>
      </c>
      <c r="Y354">
        <f t="shared" si="53"/>
        <v>0.7041666666666665</v>
      </c>
      <c r="Z354">
        <f t="shared" si="57"/>
        <v>1.4374999999999998</v>
      </c>
      <c r="AA354">
        <f t="shared" si="58"/>
        <v>1.4374999999999998</v>
      </c>
      <c r="AC354">
        <f t="shared" si="59"/>
        <v>0.45923913043478254</v>
      </c>
      <c r="AD354">
        <f t="shared" si="54"/>
        <v>0.91847826086956508</v>
      </c>
    </row>
    <row r="355" spans="1:30" x14ac:dyDescent="0.25">
      <c r="A355">
        <v>523</v>
      </c>
      <c r="B355">
        <f>IFERROR(VLOOKUP(A355,Capacity!$A$3:$D$532,4,), "0")</f>
        <v>376.99111199999999</v>
      </c>
      <c r="C355" s="4">
        <f>IFERROR(VLOOKUP(A355,Capacity!$A$3:$F$532,6,), "0")</f>
        <v>1</v>
      </c>
      <c r="E355" t="str">
        <f>IFERROR(VLOOKUP(D355,Capacity!$A$3:$D$532,4,), "0")</f>
        <v>0</v>
      </c>
      <c r="F355" s="4" t="str">
        <f>IFERROR(VLOOKUP(D355,Capacity!$A$3:$F$532,6,), "0")</f>
        <v>0</v>
      </c>
      <c r="H355" t="str">
        <f>IFERROR(VLOOKUP(G355,Capacity!$A$3:$D$532,4,), "0")</f>
        <v>0</v>
      </c>
      <c r="I355" s="4" t="str">
        <f>IFERROR(VLOOKUP(G355,Capacity!$A$3:$F$532,6,), "0")</f>
        <v>0</v>
      </c>
      <c r="K355" t="str">
        <f>IFERROR(VLOOKUP(J355,Capacity!$A$3:$D$532,4,), "0")</f>
        <v>0</v>
      </c>
      <c r="L355" s="4" t="str">
        <f>IFERROR(VLOOKUP(J355,Capacity!$A$3:$F$532,6,), "0")</f>
        <v>0</v>
      </c>
      <c r="M355" s="5">
        <f t="shared" si="50"/>
        <v>0</v>
      </c>
      <c r="N355" s="5">
        <f t="shared" si="51"/>
        <v>0</v>
      </c>
      <c r="O355">
        <v>338</v>
      </c>
      <c r="P355">
        <f>IFERROR(VLOOKUP(O355,Capacity!$A$3:$D$532,4,), "0")</f>
        <v>5.0265481600000008</v>
      </c>
      <c r="Q355" s="4">
        <f>IFERROR(VLOOKUP(O355,Capacity!$A$3:$F$532,6,), "0")</f>
        <v>0.2</v>
      </c>
      <c r="R355" s="5">
        <f t="shared" si="55"/>
        <v>5.0265481600000008</v>
      </c>
      <c r="S355" s="5">
        <f t="shared" si="56"/>
        <v>0.2</v>
      </c>
      <c r="T355">
        <v>523</v>
      </c>
      <c r="U355">
        <v>0</v>
      </c>
      <c r="V355">
        <v>0</v>
      </c>
      <c r="W355">
        <v>1</v>
      </c>
      <c r="X355">
        <f t="shared" si="52"/>
        <v>0</v>
      </c>
      <c r="Y355">
        <f t="shared" si="53"/>
        <v>0</v>
      </c>
      <c r="Z355">
        <f t="shared" si="57"/>
        <v>0</v>
      </c>
      <c r="AA355">
        <f t="shared" si="58"/>
        <v>0</v>
      </c>
      <c r="AC355">
        <f t="shared" si="59"/>
        <v>0</v>
      </c>
      <c r="AD355">
        <f t="shared" si="54"/>
        <v>0</v>
      </c>
    </row>
    <row r="356" spans="1:30" x14ac:dyDescent="0.25">
      <c r="A356">
        <v>506</v>
      </c>
      <c r="B356">
        <f>IFERROR(VLOOKUP(A356,Capacity!$A$3:$D$532,4,), "0")</f>
        <v>14.431691006249999</v>
      </c>
      <c r="C356" s="4">
        <f>IFERROR(VLOOKUP(A356,Capacity!$A$3:$F$532,6,), "0")</f>
        <v>0.17499999999999999</v>
      </c>
      <c r="E356" t="str">
        <f>IFERROR(VLOOKUP(D356,Capacity!$A$3:$D$532,4,), "0")</f>
        <v>0</v>
      </c>
      <c r="F356" s="4" t="str">
        <f>IFERROR(VLOOKUP(D356,Capacity!$A$3:$F$532,6,), "0")</f>
        <v>0</v>
      </c>
      <c r="H356" t="str">
        <f>IFERROR(VLOOKUP(G356,Capacity!$A$3:$D$532,4,), "0")</f>
        <v>0</v>
      </c>
      <c r="I356" s="4" t="str">
        <f>IFERROR(VLOOKUP(G356,Capacity!$A$3:$F$532,6,), "0")</f>
        <v>0</v>
      </c>
      <c r="K356" t="str">
        <f>IFERROR(VLOOKUP(J356,Capacity!$A$3:$D$532,4,), "0")</f>
        <v>0</v>
      </c>
      <c r="L356" s="4" t="str">
        <f>IFERROR(VLOOKUP(J356,Capacity!$A$3:$F$532,6,), "0")</f>
        <v>0</v>
      </c>
      <c r="M356" s="5">
        <f t="shared" si="50"/>
        <v>0</v>
      </c>
      <c r="N356" s="5">
        <f t="shared" si="51"/>
        <v>0</v>
      </c>
      <c r="O356">
        <v>314</v>
      </c>
      <c r="P356">
        <f>IFERROR(VLOOKUP(O356,Capacity!$A$3:$D$532,4,), "0")</f>
        <v>132.53593781250001</v>
      </c>
      <c r="Q356" s="4">
        <f>IFERROR(VLOOKUP(O356,Capacity!$A$3:$F$532,6,), "0")</f>
        <v>0.75</v>
      </c>
      <c r="R356" s="5">
        <f t="shared" si="55"/>
        <v>132.53593781250001</v>
      </c>
      <c r="S356" s="5">
        <f t="shared" si="56"/>
        <v>0.75</v>
      </c>
      <c r="T356">
        <v>506</v>
      </c>
      <c r="U356">
        <v>0</v>
      </c>
      <c r="V356">
        <v>0</v>
      </c>
      <c r="W356">
        <v>1</v>
      </c>
      <c r="X356">
        <f t="shared" si="52"/>
        <v>0</v>
      </c>
      <c r="Y356">
        <f t="shared" si="53"/>
        <v>0</v>
      </c>
      <c r="Z356">
        <f t="shared" si="57"/>
        <v>0</v>
      </c>
      <c r="AA356">
        <f t="shared" si="58"/>
        <v>0</v>
      </c>
      <c r="AC356">
        <f t="shared" si="59"/>
        <v>0</v>
      </c>
      <c r="AD356">
        <f t="shared" si="54"/>
        <v>0</v>
      </c>
    </row>
    <row r="357" spans="1:30" x14ac:dyDescent="0.25">
      <c r="A357">
        <v>312</v>
      </c>
      <c r="B357">
        <f>IFERROR(VLOOKUP(A357,Capacity!$A$3:$D$532,4,), "0")</f>
        <v>132.53593781250001</v>
      </c>
      <c r="C357" s="4">
        <f>IFERROR(VLOOKUP(A357,Capacity!$A$3:$F$532,6,), "0")</f>
        <v>0.75</v>
      </c>
      <c r="D357">
        <v>313</v>
      </c>
      <c r="E357">
        <f>IFERROR(VLOOKUP(D357,Capacity!$A$3:$D$532,4,), "0")</f>
        <v>132.53593781250001</v>
      </c>
      <c r="F357" s="4">
        <f>IFERROR(VLOOKUP(D357,Capacity!$A$3:$F$532,6,), "0")</f>
        <v>0.75</v>
      </c>
      <c r="G357">
        <v>259</v>
      </c>
      <c r="H357">
        <f>IFERROR(VLOOKUP(G357,Capacity!$A$3:$D$532,4,), "0")</f>
        <v>11.545352804999998</v>
      </c>
      <c r="I357" s="4">
        <f>IFERROR(VLOOKUP(G357,Capacity!$A$3:$F$532,6,), "0")</f>
        <v>0.17499999999999999</v>
      </c>
      <c r="K357" t="str">
        <f>IFERROR(VLOOKUP(J357,Capacity!$A$3:$D$532,4,), "0")</f>
        <v>0</v>
      </c>
      <c r="L357" s="4" t="str">
        <f>IFERROR(VLOOKUP(J357,Capacity!$A$3:$F$532,6,), "0")</f>
        <v>0</v>
      </c>
      <c r="M357" s="5">
        <f t="shared" si="50"/>
        <v>144.0812906175</v>
      </c>
      <c r="N357" s="5">
        <f t="shared" si="51"/>
        <v>0.92500000000000004</v>
      </c>
      <c r="O357">
        <v>314</v>
      </c>
      <c r="P357">
        <f>IFERROR(VLOOKUP(O357,Capacity!$A$3:$D$532,4,), "0")</f>
        <v>132.53593781250001</v>
      </c>
      <c r="Q357" s="4">
        <f>IFERROR(VLOOKUP(O357,Capacity!$A$3:$F$532,6,), "0")</f>
        <v>0.75</v>
      </c>
      <c r="R357" s="5">
        <f t="shared" si="55"/>
        <v>132.53593781250001</v>
      </c>
      <c r="S357" s="5">
        <f t="shared" si="56"/>
        <v>0.75</v>
      </c>
      <c r="T357">
        <v>312</v>
      </c>
      <c r="U357">
        <v>2</v>
      </c>
      <c r="V357">
        <v>2</v>
      </c>
      <c r="W357">
        <v>1</v>
      </c>
      <c r="X357">
        <f t="shared" si="52"/>
        <v>1.0871111111111111</v>
      </c>
      <c r="Y357">
        <f t="shared" si="53"/>
        <v>1.0871111111111111</v>
      </c>
      <c r="Z357">
        <f t="shared" si="57"/>
        <v>1.2333333333333334</v>
      </c>
      <c r="AA357">
        <f t="shared" si="58"/>
        <v>1.2333333333333334</v>
      </c>
      <c r="AC357">
        <f t="shared" si="59"/>
        <v>0.54355555555555557</v>
      </c>
      <c r="AD357">
        <f t="shared" si="54"/>
        <v>1.0871111111111111</v>
      </c>
    </row>
    <row r="358" spans="1:30" x14ac:dyDescent="0.25">
      <c r="A358">
        <v>258</v>
      </c>
      <c r="B358">
        <f>IFERROR(VLOOKUP(A358,Capacity!$A$3:$D$532,4,), "0")</f>
        <v>26.474200840200002</v>
      </c>
      <c r="C358" s="4">
        <f>IFERROR(VLOOKUP(A358,Capacity!$A$3:$F$532,6,), "0")</f>
        <v>0.26500000000000001</v>
      </c>
      <c r="E358" t="str">
        <f>IFERROR(VLOOKUP(D358,Capacity!$A$3:$D$532,4,), "0")</f>
        <v>0</v>
      </c>
      <c r="F358" s="4" t="str">
        <f>IFERROR(VLOOKUP(D358,Capacity!$A$3:$F$532,6,), "0")</f>
        <v>0</v>
      </c>
      <c r="H358" t="str">
        <f>IFERROR(VLOOKUP(G358,Capacity!$A$3:$D$532,4,), "0")</f>
        <v>0</v>
      </c>
      <c r="I358" s="4" t="str">
        <f>IFERROR(VLOOKUP(G358,Capacity!$A$3:$F$532,6,), "0")</f>
        <v>0</v>
      </c>
      <c r="K358" t="str">
        <f>IFERROR(VLOOKUP(J358,Capacity!$A$3:$D$532,4,), "0")</f>
        <v>0</v>
      </c>
      <c r="L358" s="4" t="str">
        <f>IFERROR(VLOOKUP(J358,Capacity!$A$3:$F$532,6,), "0")</f>
        <v>0</v>
      </c>
      <c r="M358" s="5">
        <f t="shared" si="50"/>
        <v>0</v>
      </c>
      <c r="N358" s="5">
        <f t="shared" si="51"/>
        <v>0</v>
      </c>
      <c r="O358">
        <v>314</v>
      </c>
      <c r="P358">
        <f>IFERROR(VLOOKUP(O358,Capacity!$A$3:$D$532,4,), "0")</f>
        <v>132.53593781250001</v>
      </c>
      <c r="Q358" s="4">
        <f>IFERROR(VLOOKUP(O358,Capacity!$A$3:$F$532,6,), "0")</f>
        <v>0.75</v>
      </c>
      <c r="R358" s="5">
        <f t="shared" si="55"/>
        <v>132.53593781250001</v>
      </c>
      <c r="S358" s="5">
        <f t="shared" si="56"/>
        <v>0.75</v>
      </c>
      <c r="T358">
        <v>258</v>
      </c>
      <c r="U358">
        <v>0</v>
      </c>
      <c r="V358">
        <v>0</v>
      </c>
      <c r="W358">
        <v>1</v>
      </c>
      <c r="X358">
        <f t="shared" si="52"/>
        <v>0</v>
      </c>
      <c r="Y358">
        <f t="shared" si="53"/>
        <v>0</v>
      </c>
      <c r="Z358">
        <f t="shared" si="57"/>
        <v>0</v>
      </c>
      <c r="AA358">
        <f t="shared" si="58"/>
        <v>0</v>
      </c>
      <c r="AC358">
        <f t="shared" si="59"/>
        <v>0</v>
      </c>
      <c r="AD358">
        <f t="shared" si="54"/>
        <v>0</v>
      </c>
    </row>
    <row r="359" spans="1:30" x14ac:dyDescent="0.25">
      <c r="A359">
        <v>518</v>
      </c>
      <c r="B359">
        <f>IFERROR(VLOOKUP(A359,Capacity!$A$3:$D$532,4,), "0")</f>
        <v>22.128592876249996</v>
      </c>
      <c r="C359" s="4">
        <f>IFERROR(VLOOKUP(A359,Capacity!$A$3:$F$532,6,), "0")</f>
        <v>0.17499999999999999</v>
      </c>
      <c r="E359" t="str">
        <f>IFERROR(VLOOKUP(D359,Capacity!$A$3:$D$532,4,), "0")</f>
        <v>0</v>
      </c>
      <c r="F359" s="4" t="str">
        <f>IFERROR(VLOOKUP(D359,Capacity!$A$3:$F$532,6,), "0")</f>
        <v>0</v>
      </c>
      <c r="H359" t="str">
        <f>IFERROR(VLOOKUP(G359,Capacity!$A$3:$D$532,4,), "0")</f>
        <v>0</v>
      </c>
      <c r="I359" s="4" t="str">
        <f>IFERROR(VLOOKUP(G359,Capacity!$A$3:$F$532,6,), "0")</f>
        <v>0</v>
      </c>
      <c r="K359" t="str">
        <f>IFERROR(VLOOKUP(J359,Capacity!$A$3:$D$532,4,), "0")</f>
        <v>0</v>
      </c>
      <c r="L359" s="4" t="str">
        <f>IFERROR(VLOOKUP(J359,Capacity!$A$3:$F$532,6,), "0")</f>
        <v>0</v>
      </c>
      <c r="M359" s="5">
        <f t="shared" si="50"/>
        <v>0</v>
      </c>
      <c r="N359" s="5">
        <f t="shared" si="51"/>
        <v>0</v>
      </c>
      <c r="O359">
        <v>37</v>
      </c>
      <c r="P359">
        <f>IFERROR(VLOOKUP(O359,Capacity!$A$3:$D$532,4,), "0")</f>
        <v>17.649467226800002</v>
      </c>
      <c r="Q359" s="4">
        <f>IFERROR(VLOOKUP(O359,Capacity!$A$3:$F$532,6,), "0")</f>
        <v>0.26500000000000001</v>
      </c>
      <c r="R359" s="5">
        <f t="shared" si="55"/>
        <v>17.649467226800002</v>
      </c>
      <c r="S359" s="5">
        <f t="shared" si="56"/>
        <v>0.26500000000000001</v>
      </c>
      <c r="T359">
        <v>518</v>
      </c>
      <c r="U359">
        <v>0</v>
      </c>
      <c r="V359">
        <v>0</v>
      </c>
      <c r="W359">
        <v>1</v>
      </c>
      <c r="X359">
        <f t="shared" si="52"/>
        <v>0</v>
      </c>
      <c r="Y359">
        <f t="shared" si="53"/>
        <v>0</v>
      </c>
      <c r="Z359">
        <f t="shared" si="57"/>
        <v>0</v>
      </c>
      <c r="AA359">
        <f t="shared" si="58"/>
        <v>0</v>
      </c>
      <c r="AC359">
        <f t="shared" si="59"/>
        <v>0</v>
      </c>
      <c r="AD359">
        <f t="shared" si="54"/>
        <v>0</v>
      </c>
    </row>
    <row r="360" spans="1:30" x14ac:dyDescent="0.25">
      <c r="A360">
        <v>399</v>
      </c>
      <c r="B360">
        <f>IFERROR(VLOOKUP(A360,Capacity!$A$3:$D$532,4,), "0")</f>
        <v>21.647536509374998</v>
      </c>
      <c r="C360" s="4">
        <f>IFERROR(VLOOKUP(A360,Capacity!$A$3:$F$532,6,), "0")</f>
        <v>0.17499999999999999</v>
      </c>
      <c r="E360" t="str">
        <f>IFERROR(VLOOKUP(D360,Capacity!$A$3:$D$532,4,), "0")</f>
        <v>0</v>
      </c>
      <c r="F360" s="4" t="str">
        <f>IFERROR(VLOOKUP(D360,Capacity!$A$3:$F$532,6,), "0")</f>
        <v>0</v>
      </c>
      <c r="H360" t="str">
        <f>IFERROR(VLOOKUP(G360,Capacity!$A$3:$D$532,4,), "0")</f>
        <v>0</v>
      </c>
      <c r="I360" s="4" t="str">
        <f>IFERROR(VLOOKUP(G360,Capacity!$A$3:$F$532,6,), "0")</f>
        <v>0</v>
      </c>
      <c r="K360" t="str">
        <f>IFERROR(VLOOKUP(J360,Capacity!$A$3:$D$532,4,), "0")</f>
        <v>0</v>
      </c>
      <c r="L360" s="4" t="str">
        <f>IFERROR(VLOOKUP(J360,Capacity!$A$3:$F$532,6,), "0")</f>
        <v>0</v>
      </c>
      <c r="M360" s="5">
        <f t="shared" si="50"/>
        <v>0</v>
      </c>
      <c r="N360" s="5">
        <f t="shared" si="51"/>
        <v>0</v>
      </c>
      <c r="O360">
        <v>37</v>
      </c>
      <c r="P360">
        <f>IFERROR(VLOOKUP(O360,Capacity!$A$3:$D$532,4,), "0")</f>
        <v>17.649467226800002</v>
      </c>
      <c r="Q360" s="4">
        <f>IFERROR(VLOOKUP(O360,Capacity!$A$3:$F$532,6,), "0")</f>
        <v>0.26500000000000001</v>
      </c>
      <c r="R360" s="5">
        <f t="shared" si="55"/>
        <v>17.649467226800002</v>
      </c>
      <c r="S360" s="5">
        <f t="shared" si="56"/>
        <v>0.26500000000000001</v>
      </c>
      <c r="T360">
        <v>399</v>
      </c>
      <c r="U360">
        <v>0</v>
      </c>
      <c r="V360">
        <v>0</v>
      </c>
      <c r="W360">
        <v>1</v>
      </c>
      <c r="X360">
        <f t="shared" si="52"/>
        <v>0</v>
      </c>
      <c r="Y360">
        <f t="shared" si="53"/>
        <v>0</v>
      </c>
      <c r="Z360">
        <f t="shared" si="57"/>
        <v>0</v>
      </c>
      <c r="AA360">
        <f t="shared" si="58"/>
        <v>0</v>
      </c>
      <c r="AC360">
        <f t="shared" si="59"/>
        <v>0</v>
      </c>
      <c r="AD360">
        <f t="shared" si="54"/>
        <v>0</v>
      </c>
    </row>
    <row r="361" spans="1:30" x14ac:dyDescent="0.25">
      <c r="A361">
        <v>36</v>
      </c>
      <c r="B361">
        <f>IFERROR(VLOOKUP(A361,Capacity!$A$3:$D$532,4,), "0")</f>
        <v>17.649467226800002</v>
      </c>
      <c r="C361" s="4">
        <f>IFERROR(VLOOKUP(A361,Capacity!$A$3:$F$532,6,), "0")</f>
        <v>0.26500000000000001</v>
      </c>
      <c r="D361">
        <v>516</v>
      </c>
      <c r="E361">
        <f>IFERROR(VLOOKUP(D361,Capacity!$A$3:$D$532,4,), "0")</f>
        <v>248.81413392000002</v>
      </c>
      <c r="F361" s="4">
        <f>IFERROR(VLOOKUP(D361,Capacity!$A$3:$F$532,6,), "0")</f>
        <v>0.6</v>
      </c>
      <c r="G361">
        <v>397</v>
      </c>
      <c r="H361">
        <f>IFERROR(VLOOKUP(G361,Capacity!$A$3:$D$532,4,), "0")</f>
        <v>254.46900059999999</v>
      </c>
      <c r="I361" s="4">
        <f>IFERROR(VLOOKUP(G361,Capacity!$A$3:$F$532,6,), "0")</f>
        <v>0.6</v>
      </c>
      <c r="J361">
        <v>34</v>
      </c>
      <c r="K361">
        <f>IFERROR(VLOOKUP(J361,Capacity!$A$3:$D$532,4,), "0")</f>
        <v>17.649467226800002</v>
      </c>
      <c r="L361" s="4">
        <f>IFERROR(VLOOKUP(J361,Capacity!$A$3:$F$532,6,), "0")</f>
        <v>0.26500000000000001</v>
      </c>
      <c r="M361" s="5">
        <f t="shared" si="50"/>
        <v>520.93260174679995</v>
      </c>
      <c r="N361" s="5">
        <f t="shared" si="51"/>
        <v>1.4649999999999999</v>
      </c>
      <c r="O361">
        <v>37</v>
      </c>
      <c r="P361">
        <f>IFERROR(VLOOKUP(O361,Capacity!$A$3:$D$532,4,), "0")</f>
        <v>17.649467226800002</v>
      </c>
      <c r="Q361" s="4">
        <f>IFERROR(VLOOKUP(O361,Capacity!$A$3:$F$532,6,), "0")</f>
        <v>0.26500000000000001</v>
      </c>
      <c r="R361" s="5">
        <f t="shared" si="55"/>
        <v>17.649467226800002</v>
      </c>
      <c r="S361" s="5">
        <f t="shared" si="56"/>
        <v>0.26500000000000001</v>
      </c>
      <c r="T361">
        <v>36</v>
      </c>
      <c r="U361">
        <v>3</v>
      </c>
      <c r="V361">
        <v>3</v>
      </c>
      <c r="W361">
        <v>1</v>
      </c>
      <c r="X361">
        <f t="shared" si="52"/>
        <v>29.515485938056241</v>
      </c>
      <c r="Y361">
        <f t="shared" si="53"/>
        <v>29.515485938056241</v>
      </c>
      <c r="Z361">
        <f t="shared" si="57"/>
        <v>5.5283018867924518</v>
      </c>
      <c r="AA361">
        <f t="shared" si="58"/>
        <v>5.5283018867924518</v>
      </c>
      <c r="AC361">
        <f t="shared" si="59"/>
        <v>14.75774296902812</v>
      </c>
      <c r="AD361">
        <f t="shared" si="54"/>
        <v>44.273228907084359</v>
      </c>
    </row>
    <row r="362" spans="1:30" x14ac:dyDescent="0.25">
      <c r="A362">
        <v>335</v>
      </c>
      <c r="B362">
        <f>IFERROR(VLOOKUP(A362,Capacity!$A$3:$D$532,4,), "0")</f>
        <v>5.0265481600000008</v>
      </c>
      <c r="C362" s="4">
        <f>IFERROR(VLOOKUP(A362,Capacity!$A$3:$F$532,6,), "0")</f>
        <v>0.2</v>
      </c>
      <c r="D362">
        <v>334</v>
      </c>
      <c r="E362">
        <f>IFERROR(VLOOKUP(D362,Capacity!$A$3:$D$532,4,), "0")</f>
        <v>345.57518600000003</v>
      </c>
      <c r="F362" s="4">
        <f>IFERROR(VLOOKUP(D362,Capacity!$A$3:$F$532,6,), "0")</f>
        <v>1</v>
      </c>
      <c r="H362" t="str">
        <f>IFERROR(VLOOKUP(G362,Capacity!$A$3:$D$532,4,), "0")</f>
        <v>0</v>
      </c>
      <c r="I362" s="4" t="str">
        <f>IFERROR(VLOOKUP(G362,Capacity!$A$3:$F$532,6,), "0")</f>
        <v>0</v>
      </c>
      <c r="K362" t="str">
        <f>IFERROR(VLOOKUP(J362,Capacity!$A$3:$D$532,4,), "0")</f>
        <v>0</v>
      </c>
      <c r="L362" s="4" t="str">
        <f>IFERROR(VLOOKUP(J362,Capacity!$A$3:$F$532,6,), "0")</f>
        <v>0</v>
      </c>
      <c r="M362" s="5">
        <f t="shared" si="50"/>
        <v>345.57518600000003</v>
      </c>
      <c r="N362" s="5">
        <f t="shared" si="51"/>
        <v>1</v>
      </c>
      <c r="O362">
        <v>336</v>
      </c>
      <c r="P362">
        <f>IFERROR(VLOOKUP(O362,Capacity!$A$3:$D$532,4,), "0")</f>
        <v>22.619466719999998</v>
      </c>
      <c r="Q362" s="4">
        <f>IFERROR(VLOOKUP(O362,Capacity!$A$3:$F$532,6,), "0")</f>
        <v>0.3</v>
      </c>
      <c r="R362" s="5">
        <f t="shared" si="55"/>
        <v>22.619466719999998</v>
      </c>
      <c r="S362" s="5">
        <f t="shared" si="56"/>
        <v>0.3</v>
      </c>
      <c r="T362">
        <v>335</v>
      </c>
      <c r="U362">
        <v>1</v>
      </c>
      <c r="V362">
        <v>1</v>
      </c>
      <c r="W362">
        <v>1</v>
      </c>
      <c r="X362">
        <f t="shared" si="52"/>
        <v>15.27777777777778</v>
      </c>
      <c r="Y362">
        <f t="shared" si="53"/>
        <v>68.75</v>
      </c>
      <c r="Z362">
        <f t="shared" si="57"/>
        <v>3.3333333333333335</v>
      </c>
      <c r="AA362">
        <f t="shared" si="58"/>
        <v>5</v>
      </c>
      <c r="AC362">
        <f t="shared" si="59"/>
        <v>12.500000000000002</v>
      </c>
      <c r="AD362">
        <f t="shared" si="54"/>
        <v>12.500000000000002</v>
      </c>
    </row>
    <row r="363" spans="1:30" x14ac:dyDescent="0.25">
      <c r="A363">
        <v>74</v>
      </c>
      <c r="B363">
        <f>IFERROR(VLOOKUP(A363,Capacity!$A$3:$D$532,4,), "0")</f>
        <v>90.477866879999993</v>
      </c>
      <c r="C363" s="4">
        <f>IFERROR(VLOOKUP(A363,Capacity!$A$3:$F$532,6,), "0")</f>
        <v>0.6</v>
      </c>
      <c r="D363">
        <v>73</v>
      </c>
      <c r="E363">
        <f>IFERROR(VLOOKUP(D363,Capacity!$A$3:$D$532,4,), "0")</f>
        <v>90.477866879999993</v>
      </c>
      <c r="F363" s="4">
        <f>IFERROR(VLOOKUP(D363,Capacity!$A$3:$F$532,6,), "0")</f>
        <v>0.6</v>
      </c>
      <c r="H363" t="str">
        <f>IFERROR(VLOOKUP(G363,Capacity!$A$3:$D$532,4,), "0")</f>
        <v>0</v>
      </c>
      <c r="I363" s="4" t="str">
        <f>IFERROR(VLOOKUP(G363,Capacity!$A$3:$F$532,6,), "0")</f>
        <v>0</v>
      </c>
      <c r="K363" t="str">
        <f>IFERROR(VLOOKUP(J363,Capacity!$A$3:$D$532,4,), "0")</f>
        <v>0</v>
      </c>
      <c r="L363" s="4" t="str">
        <f>IFERROR(VLOOKUP(J363,Capacity!$A$3:$F$532,6,), "0")</f>
        <v>0</v>
      </c>
      <c r="M363" s="5">
        <f t="shared" si="50"/>
        <v>90.477866879999993</v>
      </c>
      <c r="N363" s="5">
        <f t="shared" si="51"/>
        <v>0.6</v>
      </c>
      <c r="O363">
        <v>75</v>
      </c>
      <c r="P363">
        <f>IFERROR(VLOOKUP(O363,Capacity!$A$3:$D$532,4,), "0")</f>
        <v>90.477866879999993</v>
      </c>
      <c r="Q363" s="4">
        <f>IFERROR(VLOOKUP(O363,Capacity!$A$3:$F$532,6,), "0")</f>
        <v>0.6</v>
      </c>
      <c r="R363" s="5">
        <f t="shared" si="55"/>
        <v>90.477866879999993</v>
      </c>
      <c r="S363" s="5">
        <f t="shared" si="56"/>
        <v>0.6</v>
      </c>
      <c r="T363">
        <v>74</v>
      </c>
      <c r="U363">
        <v>1</v>
      </c>
      <c r="V363">
        <v>1</v>
      </c>
      <c r="W363">
        <v>1</v>
      </c>
      <c r="X363">
        <f t="shared" si="52"/>
        <v>1</v>
      </c>
      <c r="Y363">
        <f t="shared" si="53"/>
        <v>1</v>
      </c>
      <c r="Z363">
        <f t="shared" si="57"/>
        <v>1</v>
      </c>
      <c r="AA363">
        <f t="shared" si="58"/>
        <v>1</v>
      </c>
      <c r="AC363">
        <f t="shared" si="59"/>
        <v>0.5</v>
      </c>
      <c r="AD363">
        <f t="shared" si="54"/>
        <v>0.5</v>
      </c>
    </row>
    <row r="364" spans="1:30" x14ac:dyDescent="0.25">
      <c r="A364">
        <v>396</v>
      </c>
      <c r="B364">
        <f>IFERROR(VLOOKUP(A364,Capacity!$A$3:$D$532,4,), "0")</f>
        <v>21.166480142499999</v>
      </c>
      <c r="C364" s="4">
        <f>IFERROR(VLOOKUP(A364,Capacity!$A$3:$F$532,6,), "0")</f>
        <v>0.17499999999999999</v>
      </c>
      <c r="E364" t="str">
        <f>IFERROR(VLOOKUP(D364,Capacity!$A$3:$D$532,4,), "0")</f>
        <v>0</v>
      </c>
      <c r="F364" s="4" t="str">
        <f>IFERROR(VLOOKUP(D364,Capacity!$A$3:$F$532,6,), "0")</f>
        <v>0</v>
      </c>
      <c r="H364" t="str">
        <f>IFERROR(VLOOKUP(G364,Capacity!$A$3:$D$532,4,), "0")</f>
        <v>0</v>
      </c>
      <c r="I364" s="4" t="str">
        <f>IFERROR(VLOOKUP(G364,Capacity!$A$3:$F$532,6,), "0")</f>
        <v>0</v>
      </c>
      <c r="K364" t="str">
        <f>IFERROR(VLOOKUP(J364,Capacity!$A$3:$D$532,4,), "0")</f>
        <v>0</v>
      </c>
      <c r="L364" s="4" t="str">
        <f>IFERROR(VLOOKUP(J364,Capacity!$A$3:$F$532,6,), "0")</f>
        <v>0</v>
      </c>
      <c r="M364" s="5">
        <f t="shared" si="50"/>
        <v>0</v>
      </c>
      <c r="N364" s="5">
        <f t="shared" si="51"/>
        <v>0</v>
      </c>
      <c r="O364">
        <v>199</v>
      </c>
      <c r="P364">
        <f>IFERROR(VLOOKUP(O364,Capacity!$A$3:$D$532,4,), "0")</f>
        <v>17.649467226800002</v>
      </c>
      <c r="Q364" s="4">
        <f>IFERROR(VLOOKUP(O364,Capacity!$A$3:$F$532,6,), "0")</f>
        <v>0.26500000000000001</v>
      </c>
      <c r="R364" s="5">
        <f t="shared" si="55"/>
        <v>17.649467226800002</v>
      </c>
      <c r="S364" s="5">
        <f t="shared" si="56"/>
        <v>0.26500000000000001</v>
      </c>
      <c r="T364">
        <v>396</v>
      </c>
      <c r="U364">
        <v>0</v>
      </c>
      <c r="V364">
        <v>0</v>
      </c>
      <c r="W364">
        <v>1</v>
      </c>
      <c r="X364">
        <f t="shared" si="52"/>
        <v>0</v>
      </c>
      <c r="Y364">
        <f t="shared" si="53"/>
        <v>0</v>
      </c>
      <c r="Z364">
        <f t="shared" si="57"/>
        <v>0</v>
      </c>
      <c r="AA364">
        <f t="shared" si="58"/>
        <v>0</v>
      </c>
      <c r="AC364">
        <f t="shared" si="59"/>
        <v>0</v>
      </c>
      <c r="AD364">
        <f t="shared" si="54"/>
        <v>0</v>
      </c>
    </row>
    <row r="365" spans="1:30" x14ac:dyDescent="0.25">
      <c r="A365">
        <v>222</v>
      </c>
      <c r="B365">
        <f>IFERROR(VLOOKUP(A365,Capacity!$A$3:$D$532,4,), "0")</f>
        <v>17.649467226800002</v>
      </c>
      <c r="C365" s="4">
        <f>IFERROR(VLOOKUP(A365,Capacity!$A$3:$F$532,6,), "0")</f>
        <v>0.26500000000000001</v>
      </c>
      <c r="D365">
        <v>394</v>
      </c>
      <c r="E365">
        <f>IFERROR(VLOOKUP(D365,Capacity!$A$3:$D$532,4,), "0")</f>
        <v>21.166480142499999</v>
      </c>
      <c r="F365" s="4">
        <f>IFERROR(VLOOKUP(D365,Capacity!$A$3:$F$532,6,), "0")</f>
        <v>0.17499999999999999</v>
      </c>
      <c r="G365">
        <v>225</v>
      </c>
      <c r="H365">
        <f>IFERROR(VLOOKUP(G365,Capacity!$A$3:$D$532,4,), "0")</f>
        <v>17.649467226800002</v>
      </c>
      <c r="I365" s="4">
        <f>IFERROR(VLOOKUP(G365,Capacity!$A$3:$F$532,6,), "0")</f>
        <v>0.26500000000000001</v>
      </c>
      <c r="K365" t="str">
        <f>IFERROR(VLOOKUP(J365,Capacity!$A$3:$D$532,4,), "0")</f>
        <v>0</v>
      </c>
      <c r="L365" s="4" t="str">
        <f>IFERROR(VLOOKUP(J365,Capacity!$A$3:$F$532,6,), "0")</f>
        <v>0</v>
      </c>
      <c r="M365" s="5">
        <f t="shared" si="50"/>
        <v>38.815947369300005</v>
      </c>
      <c r="N365" s="5">
        <f t="shared" si="51"/>
        <v>0.44</v>
      </c>
      <c r="O365">
        <v>199</v>
      </c>
      <c r="P365">
        <f>IFERROR(VLOOKUP(O365,Capacity!$A$3:$D$532,4,), "0")</f>
        <v>17.649467226800002</v>
      </c>
      <c r="Q365" s="4">
        <f>IFERROR(VLOOKUP(O365,Capacity!$A$3:$F$532,6,), "0")</f>
        <v>0.26500000000000001</v>
      </c>
      <c r="R365" s="5">
        <f t="shared" si="55"/>
        <v>17.649467226800002</v>
      </c>
      <c r="S365" s="5">
        <f t="shared" si="56"/>
        <v>0.26500000000000001</v>
      </c>
      <c r="T365">
        <v>222</v>
      </c>
      <c r="U365">
        <v>2</v>
      </c>
      <c r="V365">
        <v>2</v>
      </c>
      <c r="W365">
        <v>1</v>
      </c>
      <c r="X365">
        <f t="shared" si="52"/>
        <v>2.1992702029191884</v>
      </c>
      <c r="Y365">
        <f t="shared" si="53"/>
        <v>2.1992702029191884</v>
      </c>
      <c r="Z365">
        <f t="shared" si="57"/>
        <v>1.6603773584905659</v>
      </c>
      <c r="AA365">
        <f t="shared" si="58"/>
        <v>1.6603773584905659</v>
      </c>
      <c r="AC365">
        <f t="shared" si="59"/>
        <v>1.0996351014595942</v>
      </c>
      <c r="AD365">
        <f t="shared" si="54"/>
        <v>2.1992702029191884</v>
      </c>
    </row>
    <row r="366" spans="1:30" x14ac:dyDescent="0.25">
      <c r="A366">
        <v>228</v>
      </c>
      <c r="B366">
        <f>IFERROR(VLOOKUP(A366,Capacity!$A$3:$D$532,4,), "0")</f>
        <v>16.836972840624998</v>
      </c>
      <c r="C366" s="4">
        <f>IFERROR(VLOOKUP(A366,Capacity!$A$3:$F$532,6,), "0")</f>
        <v>0.17499999999999999</v>
      </c>
      <c r="D366">
        <v>480</v>
      </c>
      <c r="E366">
        <f>IFERROR(VLOOKUP(D366,Capacity!$A$3:$D$532,4,), "0")</f>
        <v>16.836972840624998</v>
      </c>
      <c r="F366" s="4">
        <f>IFERROR(VLOOKUP(D366,Capacity!$A$3:$F$532,6,), "0")</f>
        <v>0.17499999999999999</v>
      </c>
      <c r="H366" t="str">
        <f>IFERROR(VLOOKUP(G366,Capacity!$A$3:$D$532,4,), "0")</f>
        <v>0</v>
      </c>
      <c r="I366" s="4" t="str">
        <f>IFERROR(VLOOKUP(G366,Capacity!$A$3:$F$532,6,), "0")</f>
        <v>0</v>
      </c>
      <c r="K366" t="str">
        <f>IFERROR(VLOOKUP(J366,Capacity!$A$3:$D$532,4,), "0")</f>
        <v>0</v>
      </c>
      <c r="L366" s="4" t="str">
        <f>IFERROR(VLOOKUP(J366,Capacity!$A$3:$F$532,6,), "0")</f>
        <v>0</v>
      </c>
      <c r="M366" s="5">
        <f t="shared" si="50"/>
        <v>16.836972840624998</v>
      </c>
      <c r="N366" s="5">
        <f t="shared" si="51"/>
        <v>0.17499999999999999</v>
      </c>
      <c r="O366">
        <v>229</v>
      </c>
      <c r="P366">
        <f>IFERROR(VLOOKUP(O366,Capacity!$A$3:$D$532,4,), "0")</f>
        <v>47.432943172025006</v>
      </c>
      <c r="Q366" s="4">
        <f>IFERROR(VLOOKUP(O366,Capacity!$A$3:$F$532,6,), "0")</f>
        <v>0.26500000000000001</v>
      </c>
      <c r="R366" s="5">
        <f t="shared" si="55"/>
        <v>47.432943172025006</v>
      </c>
      <c r="S366" s="5">
        <f t="shared" si="56"/>
        <v>0.26500000000000001</v>
      </c>
      <c r="T366">
        <v>228</v>
      </c>
      <c r="U366">
        <v>1</v>
      </c>
      <c r="V366">
        <v>1</v>
      </c>
      <c r="W366">
        <v>1</v>
      </c>
      <c r="X366">
        <f t="shared" si="52"/>
        <v>0.35496369642428399</v>
      </c>
      <c r="Y366">
        <f t="shared" si="53"/>
        <v>1</v>
      </c>
      <c r="Z366">
        <f t="shared" si="57"/>
        <v>0.660377358490566</v>
      </c>
      <c r="AA366">
        <f t="shared" si="58"/>
        <v>1</v>
      </c>
      <c r="AC366">
        <f t="shared" si="59"/>
        <v>0.26197284647627422</v>
      </c>
      <c r="AD366">
        <f t="shared" si="54"/>
        <v>0.26197284647627422</v>
      </c>
    </row>
    <row r="367" spans="1:30" x14ac:dyDescent="0.25">
      <c r="A367">
        <v>236</v>
      </c>
      <c r="B367">
        <f>IFERROR(VLOOKUP(A367,Capacity!$A$3:$D$532,4,), "0")</f>
        <v>26.474200840200002</v>
      </c>
      <c r="C367" s="4">
        <f>IFERROR(VLOOKUP(A367,Capacity!$A$3:$F$532,6,), "0")</f>
        <v>0.26500000000000001</v>
      </c>
      <c r="E367" t="str">
        <f>IFERROR(VLOOKUP(D367,Capacity!$A$3:$D$532,4,), "0")</f>
        <v>0</v>
      </c>
      <c r="F367" s="4" t="str">
        <f>IFERROR(VLOOKUP(D367,Capacity!$A$3:$F$532,6,), "0")</f>
        <v>0</v>
      </c>
      <c r="H367" t="str">
        <f>IFERROR(VLOOKUP(G367,Capacity!$A$3:$D$532,4,), "0")</f>
        <v>0</v>
      </c>
      <c r="I367" s="4" t="str">
        <f>IFERROR(VLOOKUP(G367,Capacity!$A$3:$F$532,6,), "0")</f>
        <v>0</v>
      </c>
      <c r="K367" t="str">
        <f>IFERROR(VLOOKUP(J367,Capacity!$A$3:$D$532,4,), "0")</f>
        <v>0</v>
      </c>
      <c r="L367" s="4" t="str">
        <f>IFERROR(VLOOKUP(J367,Capacity!$A$3:$F$532,6,), "0")</f>
        <v>0</v>
      </c>
      <c r="M367" s="5">
        <f t="shared" si="50"/>
        <v>0</v>
      </c>
      <c r="N367" s="5">
        <f t="shared" si="51"/>
        <v>0</v>
      </c>
      <c r="O367">
        <v>67</v>
      </c>
      <c r="P367">
        <f>IFERROR(VLOOKUP(O367,Capacity!$A$3:$D$532,4,), "0")</f>
        <v>17.649467226800002</v>
      </c>
      <c r="Q367" s="4">
        <f>IFERROR(VLOOKUP(O367,Capacity!$A$3:$F$532,6,), "0")</f>
        <v>0.26500000000000001</v>
      </c>
      <c r="R367" s="5">
        <f t="shared" si="55"/>
        <v>17.649467226800002</v>
      </c>
      <c r="S367" s="5">
        <f t="shared" si="56"/>
        <v>0.26500000000000001</v>
      </c>
      <c r="T367">
        <v>236</v>
      </c>
      <c r="U367">
        <v>0</v>
      </c>
      <c r="V367">
        <v>0</v>
      </c>
      <c r="W367">
        <v>1</v>
      </c>
      <c r="X367">
        <f t="shared" si="52"/>
        <v>0</v>
      </c>
      <c r="Y367">
        <f t="shared" si="53"/>
        <v>0</v>
      </c>
      <c r="Z367">
        <f t="shared" si="57"/>
        <v>0</v>
      </c>
      <c r="AA367">
        <f t="shared" si="58"/>
        <v>0</v>
      </c>
      <c r="AC367">
        <f t="shared" si="59"/>
        <v>0</v>
      </c>
      <c r="AD367">
        <f t="shared" si="54"/>
        <v>0</v>
      </c>
    </row>
    <row r="368" spans="1:30" x14ac:dyDescent="0.25">
      <c r="A368">
        <v>66</v>
      </c>
      <c r="B368">
        <f>IFERROR(VLOOKUP(A368,Capacity!$A$3:$D$532,4,), "0")</f>
        <v>25.977043811249995</v>
      </c>
      <c r="C368" s="4">
        <f>IFERROR(VLOOKUP(A368,Capacity!$A$3:$F$532,6,), "0")</f>
        <v>0.17499999999999999</v>
      </c>
      <c r="D368">
        <v>389</v>
      </c>
      <c r="E368">
        <f>IFERROR(VLOOKUP(D368,Capacity!$A$3:$D$532,4,), "0")</f>
        <v>7.6969018699999987</v>
      </c>
      <c r="F368" s="4">
        <f>IFERROR(VLOOKUP(D368,Capacity!$A$3:$F$532,6,), "0")</f>
        <v>0.17499999999999999</v>
      </c>
      <c r="G368">
        <v>234</v>
      </c>
      <c r="H368">
        <f>IFERROR(VLOOKUP(G368,Capacity!$A$3:$D$532,4,), "0")</f>
        <v>11.545352804999998</v>
      </c>
      <c r="I368" s="4">
        <f>IFERROR(VLOOKUP(G368,Capacity!$A$3:$F$532,6,), "0")</f>
        <v>0.17499999999999999</v>
      </c>
      <c r="K368" t="str">
        <f>IFERROR(VLOOKUP(J368,Capacity!$A$3:$D$532,4,), "0")</f>
        <v>0</v>
      </c>
      <c r="L368" s="4" t="str">
        <f>IFERROR(VLOOKUP(J368,Capacity!$A$3:$F$532,6,), "0")</f>
        <v>0</v>
      </c>
      <c r="M368" s="5">
        <f t="shared" si="50"/>
        <v>19.242254674999998</v>
      </c>
      <c r="N368" s="5">
        <f t="shared" si="51"/>
        <v>0.35</v>
      </c>
      <c r="O368">
        <v>62</v>
      </c>
      <c r="P368">
        <f>IFERROR(VLOOKUP(O368,Capacity!$A$3:$D$532,4,), "0")</f>
        <v>4.8105636687499995</v>
      </c>
      <c r="Q368" s="4">
        <f>IFERROR(VLOOKUP(O368,Capacity!$A$3:$F$532,6,), "0")</f>
        <v>0.17499999999999999</v>
      </c>
      <c r="R368" s="5">
        <f t="shared" si="55"/>
        <v>4.8105636687499995</v>
      </c>
      <c r="S368" s="5">
        <f t="shared" si="56"/>
        <v>0.17499999999999999</v>
      </c>
      <c r="T368">
        <v>66</v>
      </c>
      <c r="U368">
        <v>2</v>
      </c>
      <c r="V368">
        <v>2</v>
      </c>
      <c r="W368">
        <v>1</v>
      </c>
      <c r="X368">
        <f t="shared" si="52"/>
        <v>4</v>
      </c>
      <c r="Y368">
        <f t="shared" si="53"/>
        <v>0.74074074074074081</v>
      </c>
      <c r="Z368">
        <f t="shared" si="57"/>
        <v>2</v>
      </c>
      <c r="AA368">
        <f t="shared" si="58"/>
        <v>2</v>
      </c>
      <c r="AC368">
        <f t="shared" si="59"/>
        <v>0.625</v>
      </c>
      <c r="AD368">
        <f t="shared" si="54"/>
        <v>1.25</v>
      </c>
    </row>
    <row r="369" spans="1:30" x14ac:dyDescent="0.25">
      <c r="A369">
        <v>65</v>
      </c>
      <c r="B369">
        <f>IFERROR(VLOOKUP(A369,Capacity!$A$3:$D$532,4,), "0")</f>
        <v>24.052818343749998</v>
      </c>
      <c r="C369" s="4">
        <f>IFERROR(VLOOKUP(A369,Capacity!$A$3:$F$532,6,), "0")</f>
        <v>0.17499999999999999</v>
      </c>
      <c r="D369">
        <v>387</v>
      </c>
      <c r="E369">
        <f>IFERROR(VLOOKUP(D369,Capacity!$A$3:$D$532,4,), "0")</f>
        <v>7.6969018699999987</v>
      </c>
      <c r="F369" s="4">
        <f>IFERROR(VLOOKUP(D369,Capacity!$A$3:$F$532,6,), "0")</f>
        <v>0.17499999999999999</v>
      </c>
      <c r="H369" t="str">
        <f>IFERROR(VLOOKUP(G369,Capacity!$A$3:$D$532,4,), "0")</f>
        <v>0</v>
      </c>
      <c r="I369" s="4" t="str">
        <f>IFERROR(VLOOKUP(G369,Capacity!$A$3:$F$532,6,), "0")</f>
        <v>0</v>
      </c>
      <c r="K369" t="str">
        <f>IFERROR(VLOOKUP(J369,Capacity!$A$3:$D$532,4,), "0")</f>
        <v>0</v>
      </c>
      <c r="L369" s="4" t="str">
        <f>IFERROR(VLOOKUP(J369,Capacity!$A$3:$F$532,6,), "0")</f>
        <v>0</v>
      </c>
      <c r="M369" s="5">
        <f t="shared" si="50"/>
        <v>7.6969018699999987</v>
      </c>
      <c r="N369" s="5">
        <f t="shared" si="51"/>
        <v>0.17499999999999999</v>
      </c>
      <c r="O369">
        <v>63</v>
      </c>
      <c r="P369">
        <f>IFERROR(VLOOKUP(O369,Capacity!$A$3:$D$532,4,), "0")</f>
        <v>10.102183704374999</v>
      </c>
      <c r="Q369" s="4">
        <f>IFERROR(VLOOKUP(O369,Capacity!$A$3:$F$532,6,), "0")</f>
        <v>0.17499999999999999</v>
      </c>
      <c r="R369" s="5">
        <f t="shared" si="55"/>
        <v>10.102183704374999</v>
      </c>
      <c r="S369" s="5">
        <f t="shared" si="56"/>
        <v>0.17499999999999999</v>
      </c>
      <c r="T369">
        <v>65</v>
      </c>
      <c r="U369">
        <v>1</v>
      </c>
      <c r="V369">
        <v>1</v>
      </c>
      <c r="W369">
        <v>1</v>
      </c>
      <c r="X369">
        <f t="shared" si="52"/>
        <v>0.76190476190476186</v>
      </c>
      <c r="Y369">
        <f t="shared" si="53"/>
        <v>0.31999999999999995</v>
      </c>
      <c r="Z369">
        <f t="shared" si="57"/>
        <v>1</v>
      </c>
      <c r="AA369">
        <f t="shared" si="58"/>
        <v>1</v>
      </c>
      <c r="AC369">
        <f t="shared" si="59"/>
        <v>0.22535211267605632</v>
      </c>
      <c r="AD369">
        <f t="shared" si="54"/>
        <v>0.22535211267605632</v>
      </c>
    </row>
    <row r="370" spans="1:30" x14ac:dyDescent="0.25">
      <c r="A370">
        <v>64</v>
      </c>
      <c r="B370">
        <f>IFERROR(VLOOKUP(A370,Capacity!$A$3:$D$532,4,), "0")</f>
        <v>15.874860106874999</v>
      </c>
      <c r="C370" s="4">
        <f>IFERROR(VLOOKUP(A370,Capacity!$A$3:$F$532,6,), "0")</f>
        <v>0.17499999999999999</v>
      </c>
      <c r="D370">
        <v>386</v>
      </c>
      <c r="E370">
        <f>IFERROR(VLOOKUP(D370,Capacity!$A$3:$D$532,4,), "0")</f>
        <v>19.242254674999998</v>
      </c>
      <c r="F370" s="4">
        <f>IFERROR(VLOOKUP(D370,Capacity!$A$3:$F$532,6,), "0")</f>
        <v>0.17499999999999999</v>
      </c>
      <c r="G370">
        <v>1</v>
      </c>
      <c r="H370">
        <f>IFERROR(VLOOKUP(G370,Capacity!$A$3:$D$532,4,), "0")</f>
        <v>11.545352804999998</v>
      </c>
      <c r="I370" s="4">
        <f>IFERROR(VLOOKUP(G370,Capacity!$A$3:$F$532,6,), "0")</f>
        <v>0.17499999999999999</v>
      </c>
      <c r="K370" t="str">
        <f>IFERROR(VLOOKUP(J370,Capacity!$A$3:$D$532,4,), "0")</f>
        <v>0</v>
      </c>
      <c r="L370" s="4" t="str">
        <f>IFERROR(VLOOKUP(J370,Capacity!$A$3:$F$532,6,), "0")</f>
        <v>0</v>
      </c>
      <c r="M370" s="5">
        <f t="shared" si="50"/>
        <v>30.787607479999998</v>
      </c>
      <c r="N370" s="5">
        <f t="shared" si="51"/>
        <v>0.35</v>
      </c>
      <c r="O370">
        <v>63</v>
      </c>
      <c r="P370">
        <f>IFERROR(VLOOKUP(O370,Capacity!$A$3:$D$532,4,), "0")</f>
        <v>10.102183704374999</v>
      </c>
      <c r="Q370" s="4">
        <f>IFERROR(VLOOKUP(O370,Capacity!$A$3:$F$532,6,), "0")</f>
        <v>0.17499999999999999</v>
      </c>
      <c r="R370" s="5">
        <f t="shared" si="55"/>
        <v>10.102183704374999</v>
      </c>
      <c r="S370" s="5">
        <f t="shared" si="56"/>
        <v>0.17499999999999999</v>
      </c>
      <c r="T370">
        <v>64</v>
      </c>
      <c r="U370">
        <v>2</v>
      </c>
      <c r="V370">
        <v>2</v>
      </c>
      <c r="W370">
        <v>1</v>
      </c>
      <c r="X370">
        <f t="shared" si="52"/>
        <v>3.0476190476190474</v>
      </c>
      <c r="Y370">
        <f t="shared" si="53"/>
        <v>1.9393939393939394</v>
      </c>
      <c r="Z370">
        <f t="shared" si="57"/>
        <v>2</v>
      </c>
      <c r="AA370">
        <f t="shared" si="58"/>
        <v>2</v>
      </c>
      <c r="AC370">
        <f t="shared" si="59"/>
        <v>1.1851851851851851</v>
      </c>
      <c r="AD370">
        <f t="shared" si="54"/>
        <v>2.3703703703703702</v>
      </c>
    </row>
    <row r="371" spans="1:30" x14ac:dyDescent="0.25">
      <c r="A371">
        <v>517</v>
      </c>
      <c r="B371">
        <f>IFERROR(VLOOKUP(A371,Capacity!$A$3:$D$532,4,), "0")</f>
        <v>15.393803739999997</v>
      </c>
      <c r="C371" s="4">
        <f>IFERROR(VLOOKUP(A371,Capacity!$A$3:$F$532,6,), "0")</f>
        <v>0.17499999999999999</v>
      </c>
      <c r="E371" t="str">
        <f>IFERROR(VLOOKUP(D371,Capacity!$A$3:$D$532,4,), "0")</f>
        <v>0</v>
      </c>
      <c r="F371" s="4" t="str">
        <f>IFERROR(VLOOKUP(D371,Capacity!$A$3:$F$532,6,), "0")</f>
        <v>0</v>
      </c>
      <c r="H371" t="str">
        <f>IFERROR(VLOOKUP(G371,Capacity!$A$3:$D$532,4,), "0")</f>
        <v>0</v>
      </c>
      <c r="I371" s="4" t="str">
        <f>IFERROR(VLOOKUP(G371,Capacity!$A$3:$F$532,6,), "0")</f>
        <v>0</v>
      </c>
      <c r="K371" t="str">
        <f>IFERROR(VLOOKUP(J371,Capacity!$A$3:$D$532,4,), "0")</f>
        <v>0</v>
      </c>
      <c r="L371" s="4" t="str">
        <f>IFERROR(VLOOKUP(J371,Capacity!$A$3:$F$532,6,), "0")</f>
        <v>0</v>
      </c>
      <c r="M371" s="5">
        <f t="shared" si="50"/>
        <v>0</v>
      </c>
      <c r="N371" s="5">
        <f t="shared" si="51"/>
        <v>0</v>
      </c>
      <c r="O371">
        <v>324</v>
      </c>
      <c r="P371">
        <f>IFERROR(VLOOKUP(O371,Capacity!$A$3:$D$532,4,), "0")</f>
        <v>75.398222400000023</v>
      </c>
      <c r="Q371" s="4">
        <f>IFERROR(VLOOKUP(O371,Capacity!$A$3:$F$532,6,), "0")</f>
        <v>0.4</v>
      </c>
      <c r="R371" s="5">
        <f t="shared" si="55"/>
        <v>75.398222400000023</v>
      </c>
      <c r="S371" s="5">
        <f t="shared" si="56"/>
        <v>0.4</v>
      </c>
      <c r="T371">
        <v>517</v>
      </c>
      <c r="U371">
        <v>0</v>
      </c>
      <c r="V371">
        <v>0</v>
      </c>
      <c r="W371">
        <v>1</v>
      </c>
      <c r="X371">
        <f t="shared" si="52"/>
        <v>0</v>
      </c>
      <c r="Y371">
        <f t="shared" si="53"/>
        <v>0</v>
      </c>
      <c r="Z371">
        <f t="shared" si="57"/>
        <v>0</v>
      </c>
      <c r="AA371">
        <f t="shared" si="58"/>
        <v>0</v>
      </c>
      <c r="AC371">
        <f t="shared" si="59"/>
        <v>0</v>
      </c>
      <c r="AD371">
        <f t="shared" si="54"/>
        <v>0</v>
      </c>
    </row>
    <row r="372" spans="1:30" x14ac:dyDescent="0.25">
      <c r="A372">
        <v>325</v>
      </c>
      <c r="B372">
        <f>IFERROR(VLOOKUP(A372,Capacity!$A$3:$D$532,4,), "0")</f>
        <v>37.699111200000011</v>
      </c>
      <c r="C372" s="4">
        <f>IFERROR(VLOOKUP(A372,Capacity!$A$3:$F$532,6,), "0")</f>
        <v>0.4</v>
      </c>
      <c r="D372">
        <v>515</v>
      </c>
      <c r="E372">
        <f>IFERROR(VLOOKUP(D372,Capacity!$A$3:$D$532,4,), "0")</f>
        <v>16.355916473749996</v>
      </c>
      <c r="F372" s="4">
        <f>IFERROR(VLOOKUP(D372,Capacity!$A$3:$F$532,6,), "0")</f>
        <v>0.17499999999999999</v>
      </c>
      <c r="G372">
        <v>502</v>
      </c>
      <c r="H372">
        <f>IFERROR(VLOOKUP(G372,Capacity!$A$3:$D$532,4,), "0")</f>
        <v>14.431691006249999</v>
      </c>
      <c r="I372" s="4">
        <f>IFERROR(VLOOKUP(G372,Capacity!$A$3:$F$532,6,), "0")</f>
        <v>0.17499999999999999</v>
      </c>
      <c r="J372">
        <v>326</v>
      </c>
      <c r="K372">
        <f>IFERROR(VLOOKUP(J372,Capacity!$A$3:$D$532,4,), "0")</f>
        <v>37.699111200000011</v>
      </c>
      <c r="L372" s="4">
        <f>IFERROR(VLOOKUP(J372,Capacity!$A$3:$F$532,6,), "0")</f>
        <v>0.4</v>
      </c>
      <c r="M372" s="5">
        <f t="shared" si="50"/>
        <v>68.48671868000001</v>
      </c>
      <c r="N372" s="5">
        <f t="shared" si="51"/>
        <v>0.75</v>
      </c>
      <c r="O372">
        <v>324</v>
      </c>
      <c r="P372">
        <f>IFERROR(VLOOKUP(O372,Capacity!$A$3:$D$532,4,), "0")</f>
        <v>75.398222400000023</v>
      </c>
      <c r="Q372" s="4">
        <f>IFERROR(VLOOKUP(O372,Capacity!$A$3:$F$532,6,), "0")</f>
        <v>0.4</v>
      </c>
      <c r="R372" s="5">
        <f t="shared" si="55"/>
        <v>75.398222400000023</v>
      </c>
      <c r="S372" s="5">
        <f t="shared" si="56"/>
        <v>0.4</v>
      </c>
      <c r="T372">
        <v>325</v>
      </c>
      <c r="U372">
        <v>3</v>
      </c>
      <c r="V372">
        <v>3</v>
      </c>
      <c r="W372">
        <v>1</v>
      </c>
      <c r="X372">
        <f t="shared" si="52"/>
        <v>0.90833333333333321</v>
      </c>
      <c r="Y372">
        <f t="shared" si="53"/>
        <v>1.8166666666666664</v>
      </c>
      <c r="Z372">
        <f t="shared" si="57"/>
        <v>1.875</v>
      </c>
      <c r="AA372">
        <f t="shared" si="58"/>
        <v>1.875</v>
      </c>
      <c r="AC372">
        <f t="shared" si="59"/>
        <v>0.6055555555555554</v>
      </c>
      <c r="AD372">
        <f t="shared" si="54"/>
        <v>1.8166666666666662</v>
      </c>
    </row>
    <row r="373" spans="1:30" x14ac:dyDescent="0.25">
      <c r="A373">
        <v>313</v>
      </c>
      <c r="B373">
        <f>IFERROR(VLOOKUP(A373,Capacity!$A$3:$D$532,4,), "0")</f>
        <v>132.53593781250001</v>
      </c>
      <c r="C373" s="4">
        <f>IFERROR(VLOOKUP(A373,Capacity!$A$3:$F$532,6,), "0")</f>
        <v>0.75</v>
      </c>
      <c r="D373">
        <v>311</v>
      </c>
      <c r="E373">
        <f>IFERROR(VLOOKUP(D373,Capacity!$A$3:$D$532,4,), "0")</f>
        <v>132.53593781250001</v>
      </c>
      <c r="F373" s="4">
        <f>IFERROR(VLOOKUP(D373,Capacity!$A$3:$F$532,6,), "0")</f>
        <v>0.75</v>
      </c>
      <c r="G373">
        <v>260</v>
      </c>
      <c r="H373">
        <f>IFERROR(VLOOKUP(G373,Capacity!$A$3:$D$532,4,), "0")</f>
        <v>15.079644480000002</v>
      </c>
      <c r="I373" s="4">
        <f>IFERROR(VLOOKUP(G373,Capacity!$A$3:$F$532,6,), "0")</f>
        <v>0.2</v>
      </c>
      <c r="K373" t="str">
        <f>IFERROR(VLOOKUP(J373,Capacity!$A$3:$D$532,4,), "0")</f>
        <v>0</v>
      </c>
      <c r="L373" s="4" t="str">
        <f>IFERROR(VLOOKUP(J373,Capacity!$A$3:$F$532,6,), "0")</f>
        <v>0</v>
      </c>
      <c r="M373" s="5">
        <f t="shared" si="50"/>
        <v>147.61558229250002</v>
      </c>
      <c r="N373" s="5">
        <f t="shared" si="51"/>
        <v>0.95</v>
      </c>
      <c r="O373">
        <v>312</v>
      </c>
      <c r="P373">
        <f>IFERROR(VLOOKUP(O373,Capacity!$A$3:$D$532,4,), "0")</f>
        <v>132.53593781250001</v>
      </c>
      <c r="Q373" s="4">
        <f>IFERROR(VLOOKUP(O373,Capacity!$A$3:$F$532,6,), "0")</f>
        <v>0.75</v>
      </c>
      <c r="R373" s="5">
        <f t="shared" si="55"/>
        <v>132.53593781250001</v>
      </c>
      <c r="S373" s="5">
        <f t="shared" si="56"/>
        <v>0.75</v>
      </c>
      <c r="T373">
        <v>313</v>
      </c>
      <c r="U373">
        <v>2</v>
      </c>
      <c r="V373">
        <v>2</v>
      </c>
      <c r="W373">
        <v>1</v>
      </c>
      <c r="X373">
        <f t="shared" si="52"/>
        <v>1.113777777777778</v>
      </c>
      <c r="Y373">
        <f t="shared" si="53"/>
        <v>1.113777777777778</v>
      </c>
      <c r="Z373">
        <f t="shared" si="57"/>
        <v>1.2666666666666666</v>
      </c>
      <c r="AA373">
        <f t="shared" si="58"/>
        <v>1.2666666666666666</v>
      </c>
      <c r="AC373">
        <f t="shared" si="59"/>
        <v>0.55688888888888899</v>
      </c>
      <c r="AD373">
        <f t="shared" si="54"/>
        <v>1.113777777777778</v>
      </c>
    </row>
    <row r="374" spans="1:30" x14ac:dyDescent="0.25">
      <c r="A374">
        <v>259</v>
      </c>
      <c r="B374">
        <f>IFERROR(VLOOKUP(A374,Capacity!$A$3:$D$532,4,), "0")</f>
        <v>11.545352804999998</v>
      </c>
      <c r="C374" s="4">
        <f>IFERROR(VLOOKUP(A374,Capacity!$A$3:$F$532,6,), "0")</f>
        <v>0.17499999999999999</v>
      </c>
      <c r="E374" t="str">
        <f>IFERROR(VLOOKUP(D374,Capacity!$A$3:$D$532,4,), "0")</f>
        <v>0</v>
      </c>
      <c r="F374" s="4" t="str">
        <f>IFERROR(VLOOKUP(D374,Capacity!$A$3:$F$532,6,), "0")</f>
        <v>0</v>
      </c>
      <c r="H374" t="str">
        <f>IFERROR(VLOOKUP(G374,Capacity!$A$3:$D$532,4,), "0")</f>
        <v>0</v>
      </c>
      <c r="I374" s="4" t="str">
        <f>IFERROR(VLOOKUP(G374,Capacity!$A$3:$F$532,6,), "0")</f>
        <v>0</v>
      </c>
      <c r="K374" t="str">
        <f>IFERROR(VLOOKUP(J374,Capacity!$A$3:$D$532,4,), "0")</f>
        <v>0</v>
      </c>
      <c r="L374" s="4" t="str">
        <f>IFERROR(VLOOKUP(J374,Capacity!$A$3:$F$532,6,), "0")</f>
        <v>0</v>
      </c>
      <c r="M374" s="5">
        <f t="shared" si="50"/>
        <v>0</v>
      </c>
      <c r="N374" s="5">
        <f t="shared" si="51"/>
        <v>0</v>
      </c>
      <c r="O374">
        <v>312</v>
      </c>
      <c r="P374">
        <f>IFERROR(VLOOKUP(O374,Capacity!$A$3:$D$532,4,), "0")</f>
        <v>132.53593781250001</v>
      </c>
      <c r="Q374" s="4">
        <f>IFERROR(VLOOKUP(O374,Capacity!$A$3:$F$532,6,), "0")</f>
        <v>0.75</v>
      </c>
      <c r="R374" s="5">
        <f t="shared" si="55"/>
        <v>132.53593781250001</v>
      </c>
      <c r="S374" s="5">
        <f t="shared" si="56"/>
        <v>0.75</v>
      </c>
      <c r="T374">
        <v>259</v>
      </c>
      <c r="U374">
        <v>0</v>
      </c>
      <c r="V374">
        <v>0</v>
      </c>
      <c r="W374">
        <v>1</v>
      </c>
      <c r="X374">
        <f t="shared" si="52"/>
        <v>0</v>
      </c>
      <c r="Y374">
        <f t="shared" si="53"/>
        <v>0</v>
      </c>
      <c r="Z374">
        <f t="shared" si="57"/>
        <v>0</v>
      </c>
      <c r="AA374">
        <f t="shared" si="58"/>
        <v>0</v>
      </c>
      <c r="AC374">
        <f t="shared" si="59"/>
        <v>0</v>
      </c>
      <c r="AD374">
        <f t="shared" si="54"/>
        <v>0</v>
      </c>
    </row>
    <row r="375" spans="1:30" x14ac:dyDescent="0.25">
      <c r="A375">
        <v>516</v>
      </c>
      <c r="B375">
        <f>IFERROR(VLOOKUP(A375,Capacity!$A$3:$D$532,4,), "0")</f>
        <v>248.81413392000002</v>
      </c>
      <c r="C375" s="4">
        <f>IFERROR(VLOOKUP(A375,Capacity!$A$3:$F$532,6,), "0")</f>
        <v>0.6</v>
      </c>
      <c r="E375" t="str">
        <f>IFERROR(VLOOKUP(D375,Capacity!$A$3:$D$532,4,), "0")</f>
        <v>0</v>
      </c>
      <c r="F375" s="4" t="str">
        <f>IFERROR(VLOOKUP(D375,Capacity!$A$3:$F$532,6,), "0")</f>
        <v>0</v>
      </c>
      <c r="H375" t="str">
        <f>IFERROR(VLOOKUP(G375,Capacity!$A$3:$D$532,4,), "0")</f>
        <v>0</v>
      </c>
      <c r="I375" s="4" t="str">
        <f>IFERROR(VLOOKUP(G375,Capacity!$A$3:$F$532,6,), "0")</f>
        <v>0</v>
      </c>
      <c r="K375" t="str">
        <f>IFERROR(VLOOKUP(J375,Capacity!$A$3:$D$532,4,), "0")</f>
        <v>0</v>
      </c>
      <c r="L375" s="4" t="str">
        <f>IFERROR(VLOOKUP(J375,Capacity!$A$3:$F$532,6,), "0")</f>
        <v>0</v>
      </c>
      <c r="M375" s="5">
        <f t="shared" si="50"/>
        <v>0</v>
      </c>
      <c r="N375" s="5">
        <f t="shared" si="51"/>
        <v>0</v>
      </c>
      <c r="O375">
        <v>36</v>
      </c>
      <c r="P375">
        <f>IFERROR(VLOOKUP(O375,Capacity!$A$3:$D$532,4,), "0")</f>
        <v>17.649467226800002</v>
      </c>
      <c r="Q375" s="4">
        <f>IFERROR(VLOOKUP(O375,Capacity!$A$3:$F$532,6,), "0")</f>
        <v>0.26500000000000001</v>
      </c>
      <c r="R375" s="5">
        <f t="shared" si="55"/>
        <v>17.649467226800002</v>
      </c>
      <c r="S375" s="5">
        <f t="shared" si="56"/>
        <v>0.26500000000000001</v>
      </c>
      <c r="T375">
        <v>516</v>
      </c>
      <c r="U375">
        <v>0</v>
      </c>
      <c r="V375">
        <v>0</v>
      </c>
      <c r="W375">
        <v>1</v>
      </c>
      <c r="X375">
        <f t="shared" si="52"/>
        <v>0</v>
      </c>
      <c r="Y375">
        <f t="shared" si="53"/>
        <v>0</v>
      </c>
      <c r="Z375">
        <f t="shared" si="57"/>
        <v>0</v>
      </c>
      <c r="AA375">
        <f t="shared" si="58"/>
        <v>0</v>
      </c>
      <c r="AC375">
        <f t="shared" si="59"/>
        <v>0</v>
      </c>
      <c r="AD375">
        <f t="shared" si="54"/>
        <v>0</v>
      </c>
    </row>
    <row r="376" spans="1:30" x14ac:dyDescent="0.25">
      <c r="A376">
        <v>397</v>
      </c>
      <c r="B376">
        <f>IFERROR(VLOOKUP(A376,Capacity!$A$3:$D$532,4,), "0")</f>
        <v>254.46900059999999</v>
      </c>
      <c r="C376" s="4">
        <f>IFERROR(VLOOKUP(A376,Capacity!$A$3:$F$532,6,), "0")</f>
        <v>0.6</v>
      </c>
      <c r="E376" t="str">
        <f>IFERROR(VLOOKUP(D376,Capacity!$A$3:$D$532,4,), "0")</f>
        <v>0</v>
      </c>
      <c r="F376" s="4" t="str">
        <f>IFERROR(VLOOKUP(D376,Capacity!$A$3:$F$532,6,), "0")</f>
        <v>0</v>
      </c>
      <c r="H376" t="str">
        <f>IFERROR(VLOOKUP(G376,Capacity!$A$3:$D$532,4,), "0")</f>
        <v>0</v>
      </c>
      <c r="I376" s="4" t="str">
        <f>IFERROR(VLOOKUP(G376,Capacity!$A$3:$F$532,6,), "0")</f>
        <v>0</v>
      </c>
      <c r="K376" t="str">
        <f>IFERROR(VLOOKUP(J376,Capacity!$A$3:$D$532,4,), "0")</f>
        <v>0</v>
      </c>
      <c r="L376" s="4" t="str">
        <f>IFERROR(VLOOKUP(J376,Capacity!$A$3:$F$532,6,), "0")</f>
        <v>0</v>
      </c>
      <c r="M376" s="5">
        <f t="shared" si="50"/>
        <v>0</v>
      </c>
      <c r="N376" s="5">
        <f t="shared" si="51"/>
        <v>0</v>
      </c>
      <c r="O376">
        <v>36</v>
      </c>
      <c r="P376">
        <f>IFERROR(VLOOKUP(O376,Capacity!$A$3:$D$532,4,), "0")</f>
        <v>17.649467226800002</v>
      </c>
      <c r="Q376" s="4">
        <f>IFERROR(VLOOKUP(O376,Capacity!$A$3:$F$532,6,), "0")</f>
        <v>0.26500000000000001</v>
      </c>
      <c r="R376" s="5">
        <f t="shared" si="55"/>
        <v>17.649467226800002</v>
      </c>
      <c r="S376" s="5">
        <f t="shared" si="56"/>
        <v>0.26500000000000001</v>
      </c>
      <c r="T376">
        <v>397</v>
      </c>
      <c r="U376">
        <v>0</v>
      </c>
      <c r="V376">
        <v>0</v>
      </c>
      <c r="W376">
        <v>1</v>
      </c>
      <c r="X376">
        <f t="shared" si="52"/>
        <v>0</v>
      </c>
      <c r="Y376">
        <f t="shared" si="53"/>
        <v>0</v>
      </c>
      <c r="Z376">
        <f t="shared" si="57"/>
        <v>0</v>
      </c>
      <c r="AA376">
        <f t="shared" si="58"/>
        <v>0</v>
      </c>
      <c r="AC376">
        <f t="shared" si="59"/>
        <v>0</v>
      </c>
      <c r="AD376">
        <f t="shared" si="54"/>
        <v>0</v>
      </c>
    </row>
    <row r="377" spans="1:30" x14ac:dyDescent="0.25">
      <c r="A377">
        <v>34</v>
      </c>
      <c r="B377">
        <f>IFERROR(VLOOKUP(A377,Capacity!$A$3:$D$532,4,), "0")</f>
        <v>17.649467226800002</v>
      </c>
      <c r="C377" s="4">
        <f>IFERROR(VLOOKUP(A377,Capacity!$A$3:$F$532,6,), "0")</f>
        <v>0.26500000000000001</v>
      </c>
      <c r="D377">
        <v>514</v>
      </c>
      <c r="E377">
        <f>IFERROR(VLOOKUP(D377,Capacity!$A$3:$D$532,4,), "0")</f>
        <v>248.81413392000002</v>
      </c>
      <c r="F377" s="4">
        <f>IFERROR(VLOOKUP(D377,Capacity!$A$3:$F$532,6,), "0")</f>
        <v>0.6</v>
      </c>
      <c r="G377">
        <v>395</v>
      </c>
      <c r="H377">
        <f>IFERROR(VLOOKUP(G377,Capacity!$A$3:$D$532,4,), "0")</f>
        <v>254.46900059999999</v>
      </c>
      <c r="I377" s="4">
        <f>IFERROR(VLOOKUP(G377,Capacity!$A$3:$F$532,6,), "0")</f>
        <v>0.6</v>
      </c>
      <c r="J377">
        <v>33</v>
      </c>
      <c r="K377">
        <f>IFERROR(VLOOKUP(J377,Capacity!$A$3:$D$532,4,), "0")</f>
        <v>17.649467226800002</v>
      </c>
      <c r="L377" s="4">
        <f>IFERROR(VLOOKUP(J377,Capacity!$A$3:$F$532,6,), "0")</f>
        <v>0.26500000000000001</v>
      </c>
      <c r="M377" s="5">
        <f t="shared" si="50"/>
        <v>520.93260174679995</v>
      </c>
      <c r="N377" s="5">
        <f t="shared" si="51"/>
        <v>1.4649999999999999</v>
      </c>
      <c r="O377">
        <v>36</v>
      </c>
      <c r="P377">
        <f>IFERROR(VLOOKUP(O377,Capacity!$A$3:$D$532,4,), "0")</f>
        <v>17.649467226800002</v>
      </c>
      <c r="Q377" s="4">
        <f>IFERROR(VLOOKUP(O377,Capacity!$A$3:$F$532,6,), "0")</f>
        <v>0.26500000000000001</v>
      </c>
      <c r="R377" s="5">
        <f t="shared" si="55"/>
        <v>17.649467226800002</v>
      </c>
      <c r="S377" s="5">
        <f t="shared" si="56"/>
        <v>0.26500000000000001</v>
      </c>
      <c r="T377">
        <v>34</v>
      </c>
      <c r="U377">
        <v>3</v>
      </c>
      <c r="V377">
        <v>3</v>
      </c>
      <c r="W377">
        <v>1</v>
      </c>
      <c r="X377">
        <f t="shared" si="52"/>
        <v>29.515485938056241</v>
      </c>
      <c r="Y377">
        <f t="shared" si="53"/>
        <v>29.515485938056241</v>
      </c>
      <c r="Z377">
        <f t="shared" si="57"/>
        <v>5.5283018867924518</v>
      </c>
      <c r="AA377">
        <f t="shared" si="58"/>
        <v>5.5283018867924518</v>
      </c>
      <c r="AC377">
        <f t="shared" si="59"/>
        <v>14.75774296902812</v>
      </c>
      <c r="AD377">
        <f t="shared" si="54"/>
        <v>44.273228907084359</v>
      </c>
    </row>
    <row r="378" spans="1:30" x14ac:dyDescent="0.25">
      <c r="A378">
        <v>334</v>
      </c>
      <c r="B378">
        <f>IFERROR(VLOOKUP(A378,Capacity!$A$3:$D$532,4,), "0")</f>
        <v>345.57518600000003</v>
      </c>
      <c r="C378" s="4">
        <f>IFERROR(VLOOKUP(A378,Capacity!$A$3:$F$532,6,), "0")</f>
        <v>1</v>
      </c>
      <c r="D378">
        <v>333</v>
      </c>
      <c r="E378">
        <f>IFERROR(VLOOKUP(D378,Capacity!$A$3:$D$532,4,), "0")</f>
        <v>10.053096320000002</v>
      </c>
      <c r="F378" s="4">
        <f>IFERROR(VLOOKUP(D378,Capacity!$A$3:$F$532,6,), "0")</f>
        <v>0.2</v>
      </c>
      <c r="H378" t="str">
        <f>IFERROR(VLOOKUP(G378,Capacity!$A$3:$D$532,4,), "0")</f>
        <v>0</v>
      </c>
      <c r="I378" s="4" t="str">
        <f>IFERROR(VLOOKUP(G378,Capacity!$A$3:$F$532,6,), "0")</f>
        <v>0</v>
      </c>
      <c r="K378" t="str">
        <f>IFERROR(VLOOKUP(J378,Capacity!$A$3:$D$532,4,), "0")</f>
        <v>0</v>
      </c>
      <c r="L378" s="4" t="str">
        <f>IFERROR(VLOOKUP(J378,Capacity!$A$3:$F$532,6,), "0")</f>
        <v>0</v>
      </c>
      <c r="M378" s="5">
        <f t="shared" si="50"/>
        <v>10.053096320000002</v>
      </c>
      <c r="N378" s="5">
        <f t="shared" si="51"/>
        <v>0.2</v>
      </c>
      <c r="O378">
        <v>335</v>
      </c>
      <c r="P378">
        <f>IFERROR(VLOOKUP(O378,Capacity!$A$3:$D$532,4,), "0")</f>
        <v>5.0265481600000008</v>
      </c>
      <c r="Q378" s="4">
        <f>IFERROR(VLOOKUP(O378,Capacity!$A$3:$F$532,6,), "0")</f>
        <v>0.2</v>
      </c>
      <c r="R378" s="5">
        <f t="shared" si="55"/>
        <v>5.0265481600000008</v>
      </c>
      <c r="S378" s="5">
        <f t="shared" si="56"/>
        <v>0.2</v>
      </c>
      <c r="T378">
        <v>334</v>
      </c>
      <c r="U378">
        <v>1</v>
      </c>
      <c r="V378">
        <v>1</v>
      </c>
      <c r="W378">
        <v>1</v>
      </c>
      <c r="X378">
        <f t="shared" si="52"/>
        <v>2</v>
      </c>
      <c r="Y378">
        <f t="shared" si="53"/>
        <v>2.9090909090909094E-2</v>
      </c>
      <c r="Z378">
        <f t="shared" si="57"/>
        <v>1</v>
      </c>
      <c r="AA378">
        <f t="shared" si="58"/>
        <v>0.2</v>
      </c>
      <c r="AC378">
        <f t="shared" si="59"/>
        <v>2.8673835125448032E-2</v>
      </c>
      <c r="AD378">
        <f t="shared" si="54"/>
        <v>2.8673835125448032E-2</v>
      </c>
    </row>
    <row r="379" spans="1:30" x14ac:dyDescent="0.25">
      <c r="A379">
        <v>73</v>
      </c>
      <c r="B379">
        <f>IFERROR(VLOOKUP(A379,Capacity!$A$3:$D$532,4,), "0")</f>
        <v>90.477866879999993</v>
      </c>
      <c r="C379" s="4">
        <f>IFERROR(VLOOKUP(A379,Capacity!$A$3:$F$532,6,), "0")</f>
        <v>0.6</v>
      </c>
      <c r="D379">
        <v>72</v>
      </c>
      <c r="E379">
        <f>IFERROR(VLOOKUP(D379,Capacity!$A$3:$D$532,4,), "0")</f>
        <v>90.477866879999993</v>
      </c>
      <c r="F379" s="4">
        <f>IFERROR(VLOOKUP(D379,Capacity!$A$3:$F$532,6,), "0")</f>
        <v>0.6</v>
      </c>
      <c r="H379" t="str">
        <f>IFERROR(VLOOKUP(G379,Capacity!$A$3:$D$532,4,), "0")</f>
        <v>0</v>
      </c>
      <c r="I379" s="4" t="str">
        <f>IFERROR(VLOOKUP(G379,Capacity!$A$3:$F$532,6,), "0")</f>
        <v>0</v>
      </c>
      <c r="K379" t="str">
        <f>IFERROR(VLOOKUP(J379,Capacity!$A$3:$D$532,4,), "0")</f>
        <v>0</v>
      </c>
      <c r="L379" s="4" t="str">
        <f>IFERROR(VLOOKUP(J379,Capacity!$A$3:$F$532,6,), "0")</f>
        <v>0</v>
      </c>
      <c r="M379" s="5">
        <f t="shared" si="50"/>
        <v>90.477866879999993</v>
      </c>
      <c r="N379" s="5">
        <f t="shared" si="51"/>
        <v>0.6</v>
      </c>
      <c r="O379">
        <v>74</v>
      </c>
      <c r="P379">
        <f>IFERROR(VLOOKUP(O379,Capacity!$A$3:$D$532,4,), "0")</f>
        <v>90.477866879999993</v>
      </c>
      <c r="Q379" s="4">
        <f>IFERROR(VLOOKUP(O379,Capacity!$A$3:$F$532,6,), "0")</f>
        <v>0.6</v>
      </c>
      <c r="R379" s="5">
        <f t="shared" si="55"/>
        <v>90.477866879999993</v>
      </c>
      <c r="S379" s="5">
        <f t="shared" si="56"/>
        <v>0.6</v>
      </c>
      <c r="T379">
        <v>73</v>
      </c>
      <c r="U379">
        <v>1</v>
      </c>
      <c r="V379">
        <v>1</v>
      </c>
      <c r="W379">
        <v>1</v>
      </c>
      <c r="X379">
        <f t="shared" si="52"/>
        <v>1</v>
      </c>
      <c r="Y379">
        <f t="shared" si="53"/>
        <v>1</v>
      </c>
      <c r="Z379">
        <f t="shared" si="57"/>
        <v>1</v>
      </c>
      <c r="AA379">
        <f t="shared" si="58"/>
        <v>1</v>
      </c>
      <c r="AC379">
        <f t="shared" si="59"/>
        <v>0.5</v>
      </c>
      <c r="AD379">
        <f t="shared" si="54"/>
        <v>0.5</v>
      </c>
    </row>
    <row r="380" spans="1:30" x14ac:dyDescent="0.25">
      <c r="A380">
        <v>394</v>
      </c>
      <c r="B380">
        <f>IFERROR(VLOOKUP(A380,Capacity!$A$3:$D$532,4,), "0")</f>
        <v>21.166480142499999</v>
      </c>
      <c r="C380" s="4">
        <f>IFERROR(VLOOKUP(A380,Capacity!$A$3:$F$532,6,), "0")</f>
        <v>0.17499999999999999</v>
      </c>
      <c r="E380" t="str">
        <f>IFERROR(VLOOKUP(D380,Capacity!$A$3:$D$532,4,), "0")</f>
        <v>0</v>
      </c>
      <c r="F380" s="4" t="str">
        <f>IFERROR(VLOOKUP(D380,Capacity!$A$3:$F$532,6,), "0")</f>
        <v>0</v>
      </c>
      <c r="H380" t="str">
        <f>IFERROR(VLOOKUP(G380,Capacity!$A$3:$D$532,4,), "0")</f>
        <v>0</v>
      </c>
      <c r="I380" s="4" t="str">
        <f>IFERROR(VLOOKUP(G380,Capacity!$A$3:$F$532,6,), "0")</f>
        <v>0</v>
      </c>
      <c r="K380" t="str">
        <f>IFERROR(VLOOKUP(J380,Capacity!$A$3:$D$532,4,), "0")</f>
        <v>0</v>
      </c>
      <c r="L380" s="4" t="str">
        <f>IFERROR(VLOOKUP(J380,Capacity!$A$3:$F$532,6,), "0")</f>
        <v>0</v>
      </c>
      <c r="M380" s="5">
        <f t="shared" si="50"/>
        <v>0</v>
      </c>
      <c r="N380" s="5">
        <f t="shared" si="51"/>
        <v>0</v>
      </c>
      <c r="O380">
        <v>222</v>
      </c>
      <c r="P380">
        <f>IFERROR(VLOOKUP(O380,Capacity!$A$3:$D$532,4,), "0")</f>
        <v>17.649467226800002</v>
      </c>
      <c r="Q380" s="4">
        <f>IFERROR(VLOOKUP(O380,Capacity!$A$3:$F$532,6,), "0")</f>
        <v>0.26500000000000001</v>
      </c>
      <c r="R380" s="5">
        <f t="shared" si="55"/>
        <v>17.649467226800002</v>
      </c>
      <c r="S380" s="5">
        <f t="shared" si="56"/>
        <v>0.26500000000000001</v>
      </c>
      <c r="T380">
        <v>394</v>
      </c>
      <c r="U380">
        <v>0</v>
      </c>
      <c r="V380">
        <v>0</v>
      </c>
      <c r="W380">
        <v>1</v>
      </c>
      <c r="X380">
        <f t="shared" si="52"/>
        <v>0</v>
      </c>
      <c r="Y380">
        <f t="shared" si="53"/>
        <v>0</v>
      </c>
      <c r="Z380">
        <f t="shared" si="57"/>
        <v>0</v>
      </c>
      <c r="AA380">
        <f t="shared" si="58"/>
        <v>0</v>
      </c>
      <c r="AC380">
        <f t="shared" si="59"/>
        <v>0</v>
      </c>
      <c r="AD380">
        <f t="shared" si="54"/>
        <v>0</v>
      </c>
    </row>
    <row r="381" spans="1:30" x14ac:dyDescent="0.25">
      <c r="A381">
        <v>225</v>
      </c>
      <c r="B381">
        <f>IFERROR(VLOOKUP(A381,Capacity!$A$3:$D$532,4,), "0")</f>
        <v>17.649467226800002</v>
      </c>
      <c r="C381" s="4">
        <f>IFERROR(VLOOKUP(A381,Capacity!$A$3:$F$532,6,), "0")</f>
        <v>0.26500000000000001</v>
      </c>
      <c r="D381">
        <v>478</v>
      </c>
      <c r="E381">
        <f>IFERROR(VLOOKUP(D381,Capacity!$A$3:$D$532,4,), "0")</f>
        <v>20.204367408749999</v>
      </c>
      <c r="F381" s="4">
        <f>IFERROR(VLOOKUP(D381,Capacity!$A$3:$F$532,6,), "0")</f>
        <v>0.17499999999999999</v>
      </c>
      <c r="G381">
        <v>392</v>
      </c>
      <c r="H381">
        <f>IFERROR(VLOOKUP(G381,Capacity!$A$3:$D$532,4,), "0")</f>
        <v>21.166480142499999</v>
      </c>
      <c r="I381" s="4">
        <f>IFERROR(VLOOKUP(G381,Capacity!$A$3:$F$532,6,), "0")</f>
        <v>0.17499999999999999</v>
      </c>
      <c r="J381">
        <v>226</v>
      </c>
      <c r="K381">
        <f>IFERROR(VLOOKUP(J381,Capacity!$A$3:$D$532,4,), "0")</f>
        <v>17.649467226800002</v>
      </c>
      <c r="L381" s="4">
        <f>IFERROR(VLOOKUP(J381,Capacity!$A$3:$F$532,6,), "0")</f>
        <v>0.26500000000000001</v>
      </c>
      <c r="M381" s="5">
        <f t="shared" si="50"/>
        <v>59.020314778049993</v>
      </c>
      <c r="N381" s="5">
        <f t="shared" si="51"/>
        <v>0.61499999999999999</v>
      </c>
      <c r="O381">
        <v>222</v>
      </c>
      <c r="P381">
        <f>IFERROR(VLOOKUP(O381,Capacity!$A$3:$D$532,4,), "0")</f>
        <v>17.649467226800002</v>
      </c>
      <c r="Q381" s="4">
        <f>IFERROR(VLOOKUP(O381,Capacity!$A$3:$F$532,6,), "0")</f>
        <v>0.26500000000000001</v>
      </c>
      <c r="R381" s="5">
        <f t="shared" si="55"/>
        <v>17.649467226800002</v>
      </c>
      <c r="S381" s="5">
        <f t="shared" si="56"/>
        <v>0.26500000000000001</v>
      </c>
      <c r="T381">
        <v>225</v>
      </c>
      <c r="U381">
        <v>3</v>
      </c>
      <c r="V381">
        <v>3</v>
      </c>
      <c r="W381">
        <v>1</v>
      </c>
      <c r="X381">
        <f t="shared" si="52"/>
        <v>3.3440281238875036</v>
      </c>
      <c r="Y381">
        <f t="shared" si="53"/>
        <v>3.3440281238875036</v>
      </c>
      <c r="Z381">
        <f t="shared" si="57"/>
        <v>2.3207547169811318</v>
      </c>
      <c r="AA381">
        <f t="shared" si="58"/>
        <v>2.3207547169811318</v>
      </c>
      <c r="AC381">
        <f t="shared" si="59"/>
        <v>1.6720140619437518</v>
      </c>
      <c r="AD381">
        <f t="shared" si="54"/>
        <v>5.0160421858312549</v>
      </c>
    </row>
    <row r="382" spans="1:30" x14ac:dyDescent="0.25">
      <c r="A382">
        <v>480</v>
      </c>
      <c r="B382">
        <f>IFERROR(VLOOKUP(A382,Capacity!$A$3:$D$532,4,), "0")</f>
        <v>16.836972840624998</v>
      </c>
      <c r="C382" s="4">
        <f>IFERROR(VLOOKUP(A382,Capacity!$A$3:$F$532,6,), "0")</f>
        <v>0.17499999999999999</v>
      </c>
      <c r="E382" t="str">
        <f>IFERROR(VLOOKUP(D382,Capacity!$A$3:$D$532,4,), "0")</f>
        <v>0</v>
      </c>
      <c r="F382" s="4" t="str">
        <f>IFERROR(VLOOKUP(D382,Capacity!$A$3:$F$532,6,), "0")</f>
        <v>0</v>
      </c>
      <c r="H382" t="str">
        <f>IFERROR(VLOOKUP(G382,Capacity!$A$3:$D$532,4,), "0")</f>
        <v>0</v>
      </c>
      <c r="I382" s="4" t="str">
        <f>IFERROR(VLOOKUP(G382,Capacity!$A$3:$F$532,6,), "0")</f>
        <v>0</v>
      </c>
      <c r="K382" t="str">
        <f>IFERROR(VLOOKUP(J382,Capacity!$A$3:$D$532,4,), "0")</f>
        <v>0</v>
      </c>
      <c r="L382" s="4" t="str">
        <f>IFERROR(VLOOKUP(J382,Capacity!$A$3:$F$532,6,), "0")</f>
        <v>0</v>
      </c>
      <c r="M382" s="5">
        <f t="shared" si="50"/>
        <v>0</v>
      </c>
      <c r="N382" s="5">
        <f t="shared" si="51"/>
        <v>0</v>
      </c>
      <c r="O382">
        <v>228</v>
      </c>
      <c r="P382">
        <f>IFERROR(VLOOKUP(O382,Capacity!$A$3:$D$532,4,), "0")</f>
        <v>16.836972840624998</v>
      </c>
      <c r="Q382" s="4">
        <f>IFERROR(VLOOKUP(O382,Capacity!$A$3:$F$532,6,), "0")</f>
        <v>0.17499999999999999</v>
      </c>
      <c r="R382" s="5">
        <f t="shared" si="55"/>
        <v>16.836972840624998</v>
      </c>
      <c r="S382" s="5">
        <f t="shared" si="56"/>
        <v>0.17499999999999999</v>
      </c>
      <c r="T382">
        <v>480</v>
      </c>
      <c r="U382">
        <v>0</v>
      </c>
      <c r="V382">
        <v>0</v>
      </c>
      <c r="W382">
        <v>1</v>
      </c>
      <c r="X382">
        <f t="shared" si="52"/>
        <v>0</v>
      </c>
      <c r="Y382">
        <f t="shared" si="53"/>
        <v>0</v>
      </c>
      <c r="Z382">
        <f t="shared" si="57"/>
        <v>0</v>
      </c>
      <c r="AA382">
        <f t="shared" si="58"/>
        <v>0</v>
      </c>
      <c r="AC382">
        <f t="shared" si="59"/>
        <v>0</v>
      </c>
      <c r="AD382">
        <f t="shared" si="54"/>
        <v>0</v>
      </c>
    </row>
    <row r="383" spans="1:30" x14ac:dyDescent="0.25">
      <c r="A383">
        <v>389</v>
      </c>
      <c r="B383">
        <f>IFERROR(VLOOKUP(A383,Capacity!$A$3:$D$532,4,), "0")</f>
        <v>7.6969018699999987</v>
      </c>
      <c r="C383" s="4">
        <f>IFERROR(VLOOKUP(A383,Capacity!$A$3:$F$532,6,), "0")</f>
        <v>0.17499999999999999</v>
      </c>
      <c r="E383" t="str">
        <f>IFERROR(VLOOKUP(D383,Capacity!$A$3:$D$532,4,), "0")</f>
        <v>0</v>
      </c>
      <c r="F383" s="4" t="str">
        <f>IFERROR(VLOOKUP(D383,Capacity!$A$3:$F$532,6,), "0")</f>
        <v>0</v>
      </c>
      <c r="H383" t="str">
        <f>IFERROR(VLOOKUP(G383,Capacity!$A$3:$D$532,4,), "0")</f>
        <v>0</v>
      </c>
      <c r="I383" s="4" t="str">
        <f>IFERROR(VLOOKUP(G383,Capacity!$A$3:$F$532,6,), "0")</f>
        <v>0</v>
      </c>
      <c r="K383" t="str">
        <f>IFERROR(VLOOKUP(J383,Capacity!$A$3:$D$532,4,), "0")</f>
        <v>0</v>
      </c>
      <c r="L383" s="4" t="str">
        <f>IFERROR(VLOOKUP(J383,Capacity!$A$3:$F$532,6,), "0")</f>
        <v>0</v>
      </c>
      <c r="M383" s="5">
        <f t="shared" si="50"/>
        <v>0</v>
      </c>
      <c r="N383" s="5">
        <f t="shared" si="51"/>
        <v>0</v>
      </c>
      <c r="O383">
        <v>66</v>
      </c>
      <c r="P383">
        <f>IFERROR(VLOOKUP(O383,Capacity!$A$3:$D$532,4,), "0")</f>
        <v>25.977043811249995</v>
      </c>
      <c r="Q383" s="4">
        <f>IFERROR(VLOOKUP(O383,Capacity!$A$3:$F$532,6,), "0")</f>
        <v>0.17499999999999999</v>
      </c>
      <c r="R383" s="5">
        <f t="shared" si="55"/>
        <v>25.977043811249995</v>
      </c>
      <c r="S383" s="5">
        <f t="shared" si="56"/>
        <v>0.17499999999999999</v>
      </c>
      <c r="T383">
        <v>389</v>
      </c>
      <c r="U383">
        <v>0</v>
      </c>
      <c r="V383">
        <v>0</v>
      </c>
      <c r="W383">
        <v>1</v>
      </c>
      <c r="X383">
        <f t="shared" si="52"/>
        <v>0</v>
      </c>
      <c r="Y383">
        <f t="shared" si="53"/>
        <v>0</v>
      </c>
      <c r="Z383">
        <f t="shared" si="57"/>
        <v>0</v>
      </c>
      <c r="AA383">
        <f t="shared" si="58"/>
        <v>0</v>
      </c>
      <c r="AC383">
        <f t="shared" si="59"/>
        <v>0</v>
      </c>
      <c r="AD383">
        <f t="shared" si="54"/>
        <v>0</v>
      </c>
    </row>
    <row r="384" spans="1:30" x14ac:dyDescent="0.25">
      <c r="A384">
        <v>234</v>
      </c>
      <c r="B384">
        <f>IFERROR(VLOOKUP(A384,Capacity!$A$3:$D$532,4,), "0")</f>
        <v>11.545352804999998</v>
      </c>
      <c r="C384" s="4">
        <f>IFERROR(VLOOKUP(A384,Capacity!$A$3:$F$532,6,), "0")</f>
        <v>0.17499999999999999</v>
      </c>
      <c r="E384" t="str">
        <f>IFERROR(VLOOKUP(D384,Capacity!$A$3:$D$532,4,), "0")</f>
        <v>0</v>
      </c>
      <c r="F384" s="4" t="str">
        <f>IFERROR(VLOOKUP(D384,Capacity!$A$3:$F$532,6,), "0")</f>
        <v>0</v>
      </c>
      <c r="H384" t="str">
        <f>IFERROR(VLOOKUP(G384,Capacity!$A$3:$D$532,4,), "0")</f>
        <v>0</v>
      </c>
      <c r="I384" s="4" t="str">
        <f>IFERROR(VLOOKUP(G384,Capacity!$A$3:$F$532,6,), "0")</f>
        <v>0</v>
      </c>
      <c r="K384" t="str">
        <f>IFERROR(VLOOKUP(J384,Capacity!$A$3:$D$532,4,), "0")</f>
        <v>0</v>
      </c>
      <c r="L384" s="4" t="str">
        <f>IFERROR(VLOOKUP(J384,Capacity!$A$3:$F$532,6,), "0")</f>
        <v>0</v>
      </c>
      <c r="M384" s="5">
        <f t="shared" si="50"/>
        <v>0</v>
      </c>
      <c r="N384" s="5">
        <f t="shared" si="51"/>
        <v>0</v>
      </c>
      <c r="O384">
        <v>66</v>
      </c>
      <c r="P384">
        <f>IFERROR(VLOOKUP(O384,Capacity!$A$3:$D$532,4,), "0")</f>
        <v>25.977043811249995</v>
      </c>
      <c r="Q384" s="4">
        <f>IFERROR(VLOOKUP(O384,Capacity!$A$3:$F$532,6,), "0")</f>
        <v>0.17499999999999999</v>
      </c>
      <c r="R384" s="5">
        <f t="shared" si="55"/>
        <v>25.977043811249995</v>
      </c>
      <c r="S384" s="5">
        <f t="shared" si="56"/>
        <v>0.17499999999999999</v>
      </c>
      <c r="T384">
        <v>234</v>
      </c>
      <c r="U384">
        <v>0</v>
      </c>
      <c r="V384">
        <v>0</v>
      </c>
      <c r="W384">
        <v>1</v>
      </c>
      <c r="X384">
        <f t="shared" si="52"/>
        <v>0</v>
      </c>
      <c r="Y384">
        <f t="shared" si="53"/>
        <v>0</v>
      </c>
      <c r="Z384">
        <f t="shared" si="57"/>
        <v>0</v>
      </c>
      <c r="AA384">
        <f t="shared" si="58"/>
        <v>0</v>
      </c>
      <c r="AC384">
        <f t="shared" si="59"/>
        <v>0</v>
      </c>
      <c r="AD384">
        <f t="shared" si="54"/>
        <v>0</v>
      </c>
    </row>
    <row r="385" spans="1:30" x14ac:dyDescent="0.25">
      <c r="A385">
        <v>386</v>
      </c>
      <c r="B385">
        <f>IFERROR(VLOOKUP(A385,Capacity!$A$3:$D$532,4,), "0")</f>
        <v>19.242254674999998</v>
      </c>
      <c r="C385" s="4">
        <f>IFERROR(VLOOKUP(A385,Capacity!$A$3:$F$532,6,), "0")</f>
        <v>0.17499999999999999</v>
      </c>
      <c r="E385" t="str">
        <f>IFERROR(VLOOKUP(D385,Capacity!$A$3:$D$532,4,), "0")</f>
        <v>0</v>
      </c>
      <c r="F385" s="4" t="str">
        <f>IFERROR(VLOOKUP(D385,Capacity!$A$3:$F$532,6,), "0")</f>
        <v>0</v>
      </c>
      <c r="H385" t="str">
        <f>IFERROR(VLOOKUP(G385,Capacity!$A$3:$D$532,4,), "0")</f>
        <v>0</v>
      </c>
      <c r="I385" s="4" t="str">
        <f>IFERROR(VLOOKUP(G385,Capacity!$A$3:$F$532,6,), "0")</f>
        <v>0</v>
      </c>
      <c r="K385" t="str">
        <f>IFERROR(VLOOKUP(J385,Capacity!$A$3:$D$532,4,), "0")</f>
        <v>0</v>
      </c>
      <c r="L385" s="4" t="str">
        <f>IFERROR(VLOOKUP(J385,Capacity!$A$3:$F$532,6,), "0")</f>
        <v>0</v>
      </c>
      <c r="M385" s="5">
        <f t="shared" si="50"/>
        <v>0</v>
      </c>
      <c r="N385" s="5">
        <f t="shared" si="51"/>
        <v>0</v>
      </c>
      <c r="O385">
        <v>64</v>
      </c>
      <c r="P385">
        <f>IFERROR(VLOOKUP(O385,Capacity!$A$3:$D$532,4,), "0")</f>
        <v>15.874860106874999</v>
      </c>
      <c r="Q385" s="4">
        <f>IFERROR(VLOOKUP(O385,Capacity!$A$3:$F$532,6,), "0")</f>
        <v>0.17499999999999999</v>
      </c>
      <c r="R385" s="5">
        <f t="shared" si="55"/>
        <v>15.874860106874999</v>
      </c>
      <c r="S385" s="5">
        <f t="shared" si="56"/>
        <v>0.17499999999999999</v>
      </c>
      <c r="T385">
        <v>386</v>
      </c>
      <c r="U385">
        <v>0</v>
      </c>
      <c r="V385">
        <v>0</v>
      </c>
      <c r="W385">
        <v>1</v>
      </c>
      <c r="X385">
        <f t="shared" si="52"/>
        <v>0</v>
      </c>
      <c r="Y385">
        <f t="shared" si="53"/>
        <v>0</v>
      </c>
      <c r="Z385">
        <f t="shared" si="57"/>
        <v>0</v>
      </c>
      <c r="AA385">
        <f t="shared" si="58"/>
        <v>0</v>
      </c>
      <c r="AC385">
        <f t="shared" si="59"/>
        <v>0</v>
      </c>
      <c r="AD385">
        <f t="shared" si="54"/>
        <v>0</v>
      </c>
    </row>
    <row r="386" spans="1:30" x14ac:dyDescent="0.25">
      <c r="A386">
        <v>1</v>
      </c>
      <c r="B386">
        <f>IFERROR(VLOOKUP(A386,Capacity!$A$3:$D$532,4,), "0")</f>
        <v>11.545352804999998</v>
      </c>
      <c r="C386" s="4">
        <f>IFERROR(VLOOKUP(A386,Capacity!$A$3:$F$532,6,), "0")</f>
        <v>0.17499999999999999</v>
      </c>
      <c r="E386" t="str">
        <f>IFERROR(VLOOKUP(D386,Capacity!$A$3:$D$532,4,), "0")</f>
        <v>0</v>
      </c>
      <c r="F386" s="4" t="str">
        <f>IFERROR(VLOOKUP(D386,Capacity!$A$3:$F$532,6,), "0")</f>
        <v>0</v>
      </c>
      <c r="H386" t="str">
        <f>IFERROR(VLOOKUP(G386,Capacity!$A$3:$D$532,4,), "0")</f>
        <v>0</v>
      </c>
      <c r="I386" s="4" t="str">
        <f>IFERROR(VLOOKUP(G386,Capacity!$A$3:$F$532,6,), "0")</f>
        <v>0</v>
      </c>
      <c r="K386" t="str">
        <f>IFERROR(VLOOKUP(J386,Capacity!$A$3:$D$532,4,), "0")</f>
        <v>0</v>
      </c>
      <c r="L386" s="4" t="str">
        <f>IFERROR(VLOOKUP(J386,Capacity!$A$3:$F$532,6,), "0")</f>
        <v>0</v>
      </c>
      <c r="M386" s="5">
        <f t="shared" ref="M386:M449" si="60">$E386+$H386+$K386</f>
        <v>0</v>
      </c>
      <c r="N386" s="5">
        <f t="shared" si="51"/>
        <v>0</v>
      </c>
      <c r="O386">
        <v>64</v>
      </c>
      <c r="P386">
        <f>IFERROR(VLOOKUP(O386,Capacity!$A$3:$D$532,4,), "0")</f>
        <v>15.874860106874999</v>
      </c>
      <c r="Q386" s="4">
        <f>IFERROR(VLOOKUP(O386,Capacity!$A$3:$F$532,6,), "0")</f>
        <v>0.17499999999999999</v>
      </c>
      <c r="R386" s="5">
        <f t="shared" si="55"/>
        <v>15.874860106874999</v>
      </c>
      <c r="S386" s="5">
        <f t="shared" si="56"/>
        <v>0.17499999999999999</v>
      </c>
      <c r="T386">
        <v>1</v>
      </c>
      <c r="U386">
        <v>0</v>
      </c>
      <c r="V386">
        <v>0</v>
      </c>
      <c r="W386">
        <v>1</v>
      </c>
      <c r="X386">
        <f t="shared" si="52"/>
        <v>0</v>
      </c>
      <c r="Y386">
        <f t="shared" si="53"/>
        <v>0</v>
      </c>
      <c r="Z386">
        <f t="shared" si="57"/>
        <v>0</v>
      </c>
      <c r="AA386">
        <f t="shared" si="58"/>
        <v>0</v>
      </c>
      <c r="AC386">
        <f t="shared" si="59"/>
        <v>0</v>
      </c>
      <c r="AD386">
        <f t="shared" si="54"/>
        <v>0</v>
      </c>
    </row>
    <row r="387" spans="1:30" x14ac:dyDescent="0.25">
      <c r="A387">
        <v>387</v>
      </c>
      <c r="B387">
        <f>IFERROR(VLOOKUP(A387,Capacity!$A$3:$D$532,4,), "0")</f>
        <v>7.6969018699999987</v>
      </c>
      <c r="C387" s="4">
        <f>IFERROR(VLOOKUP(A387,Capacity!$A$3:$F$532,6,), "0")</f>
        <v>0.17499999999999999</v>
      </c>
      <c r="E387" t="str">
        <f>IFERROR(VLOOKUP(D387,Capacity!$A$3:$D$532,4,), "0")</f>
        <v>0</v>
      </c>
      <c r="F387" s="4" t="str">
        <f>IFERROR(VLOOKUP(D387,Capacity!$A$3:$F$532,6,), "0")</f>
        <v>0</v>
      </c>
      <c r="H387" t="str">
        <f>IFERROR(VLOOKUP(G387,Capacity!$A$3:$D$532,4,), "0")</f>
        <v>0</v>
      </c>
      <c r="I387" s="4" t="str">
        <f>IFERROR(VLOOKUP(G387,Capacity!$A$3:$F$532,6,), "0")</f>
        <v>0</v>
      </c>
      <c r="K387" t="str">
        <f>IFERROR(VLOOKUP(J387,Capacity!$A$3:$D$532,4,), "0")</f>
        <v>0</v>
      </c>
      <c r="L387" s="4" t="str">
        <f>IFERROR(VLOOKUP(J387,Capacity!$A$3:$F$532,6,), "0")</f>
        <v>0</v>
      </c>
      <c r="M387" s="5">
        <f t="shared" si="60"/>
        <v>0</v>
      </c>
      <c r="N387" s="5">
        <f t="shared" ref="N387:N450" si="61">$F387+$I387+$L387</f>
        <v>0</v>
      </c>
      <c r="O387">
        <v>65</v>
      </c>
      <c r="P387">
        <f>IFERROR(VLOOKUP(O387,Capacity!$A$3:$D$532,4,), "0")</f>
        <v>24.052818343749998</v>
      </c>
      <c r="Q387" s="4">
        <f>IFERROR(VLOOKUP(O387,Capacity!$A$3:$F$532,6,), "0")</f>
        <v>0.17499999999999999</v>
      </c>
      <c r="R387" s="5">
        <f t="shared" si="55"/>
        <v>24.052818343749998</v>
      </c>
      <c r="S387" s="5">
        <f t="shared" si="56"/>
        <v>0.17499999999999999</v>
      </c>
      <c r="T387">
        <v>387</v>
      </c>
      <c r="U387">
        <v>0</v>
      </c>
      <c r="V387">
        <v>0</v>
      </c>
      <c r="W387">
        <v>1</v>
      </c>
      <c r="X387">
        <f t="shared" ref="X387:X450" si="62">($M387/$R387)</f>
        <v>0</v>
      </c>
      <c r="Y387">
        <f t="shared" ref="Y387:Y450" si="63">($M387/$B387)</f>
        <v>0</v>
      </c>
      <c r="Z387">
        <f t="shared" si="57"/>
        <v>0</v>
      </c>
      <c r="AA387">
        <f t="shared" si="58"/>
        <v>0</v>
      </c>
      <c r="AC387">
        <f t="shared" si="59"/>
        <v>0</v>
      </c>
      <c r="AD387">
        <f t="shared" ref="AD387:AD450" si="64">U387*AC387</f>
        <v>0</v>
      </c>
    </row>
    <row r="388" spans="1:30" x14ac:dyDescent="0.25">
      <c r="A388">
        <v>515</v>
      </c>
      <c r="B388">
        <f>IFERROR(VLOOKUP(A388,Capacity!$A$3:$D$532,4,), "0")</f>
        <v>16.355916473749996</v>
      </c>
      <c r="C388" s="4">
        <f>IFERROR(VLOOKUP(A388,Capacity!$A$3:$F$532,6,), "0")</f>
        <v>0.17499999999999999</v>
      </c>
      <c r="E388" t="str">
        <f>IFERROR(VLOOKUP(D388,Capacity!$A$3:$D$532,4,), "0")</f>
        <v>0</v>
      </c>
      <c r="F388" s="4" t="str">
        <f>IFERROR(VLOOKUP(D388,Capacity!$A$3:$F$532,6,), "0")</f>
        <v>0</v>
      </c>
      <c r="H388" t="str">
        <f>IFERROR(VLOOKUP(G388,Capacity!$A$3:$D$532,4,), "0")</f>
        <v>0</v>
      </c>
      <c r="I388" s="4" t="str">
        <f>IFERROR(VLOOKUP(G388,Capacity!$A$3:$F$532,6,), "0")</f>
        <v>0</v>
      </c>
      <c r="K388" t="str">
        <f>IFERROR(VLOOKUP(J388,Capacity!$A$3:$D$532,4,), "0")</f>
        <v>0</v>
      </c>
      <c r="L388" s="4" t="str">
        <f>IFERROR(VLOOKUP(J388,Capacity!$A$3:$F$532,6,), "0")</f>
        <v>0</v>
      </c>
      <c r="M388" s="5">
        <f t="shared" si="60"/>
        <v>0</v>
      </c>
      <c r="N388" s="5">
        <f t="shared" si="61"/>
        <v>0</v>
      </c>
      <c r="O388">
        <v>325</v>
      </c>
      <c r="P388">
        <f>IFERROR(VLOOKUP(O388,Capacity!$A$3:$D$532,4,), "0")</f>
        <v>37.699111200000011</v>
      </c>
      <c r="Q388" s="4">
        <f>IFERROR(VLOOKUP(O388,Capacity!$A$3:$F$532,6,), "0")</f>
        <v>0.4</v>
      </c>
      <c r="R388" s="5">
        <f t="shared" ref="R388:R451" si="65">$P388</f>
        <v>37.699111200000011</v>
      </c>
      <c r="S388" s="5">
        <f t="shared" ref="S388:S451" si="66">$Q388</f>
        <v>0.4</v>
      </c>
      <c r="T388">
        <v>515</v>
      </c>
      <c r="U388">
        <v>0</v>
      </c>
      <c r="V388">
        <v>0</v>
      </c>
      <c r="W388">
        <v>1</v>
      </c>
      <c r="X388">
        <f t="shared" si="62"/>
        <v>0</v>
      </c>
      <c r="Y388">
        <f t="shared" si="63"/>
        <v>0</v>
      </c>
      <c r="Z388">
        <f t="shared" ref="Z388:Z451" si="67">($N388/$S388)</f>
        <v>0</v>
      </c>
      <c r="AA388">
        <f t="shared" ref="AA388:AA451" si="68">($N388/$C388)</f>
        <v>0</v>
      </c>
      <c r="AC388">
        <f t="shared" ref="AC388:AC451" si="69">$M388/($R388+$B388)</f>
        <v>0</v>
      </c>
      <c r="AD388">
        <f t="shared" si="64"/>
        <v>0</v>
      </c>
    </row>
    <row r="389" spans="1:30" x14ac:dyDescent="0.25">
      <c r="A389">
        <v>502</v>
      </c>
      <c r="B389">
        <f>IFERROR(VLOOKUP(A389,Capacity!$A$3:$D$532,4,), "0")</f>
        <v>14.431691006249999</v>
      </c>
      <c r="C389" s="4">
        <f>IFERROR(VLOOKUP(A389,Capacity!$A$3:$F$532,6,), "0")</f>
        <v>0.17499999999999999</v>
      </c>
      <c r="E389" t="str">
        <f>IFERROR(VLOOKUP(D389,Capacity!$A$3:$D$532,4,), "0")</f>
        <v>0</v>
      </c>
      <c r="F389" s="4" t="str">
        <f>IFERROR(VLOOKUP(D389,Capacity!$A$3:$F$532,6,), "0")</f>
        <v>0</v>
      </c>
      <c r="H389" t="str">
        <f>IFERROR(VLOOKUP(G389,Capacity!$A$3:$D$532,4,), "0")</f>
        <v>0</v>
      </c>
      <c r="I389" s="4" t="str">
        <f>IFERROR(VLOOKUP(G389,Capacity!$A$3:$F$532,6,), "0")</f>
        <v>0</v>
      </c>
      <c r="K389" t="str">
        <f>IFERROR(VLOOKUP(J389,Capacity!$A$3:$D$532,4,), "0")</f>
        <v>0</v>
      </c>
      <c r="L389" s="4" t="str">
        <f>IFERROR(VLOOKUP(J389,Capacity!$A$3:$F$532,6,), "0")</f>
        <v>0</v>
      </c>
      <c r="M389" s="5">
        <f t="shared" si="60"/>
        <v>0</v>
      </c>
      <c r="N389" s="5">
        <f t="shared" si="61"/>
        <v>0</v>
      </c>
      <c r="O389">
        <v>325</v>
      </c>
      <c r="P389">
        <f>IFERROR(VLOOKUP(O389,Capacity!$A$3:$D$532,4,), "0")</f>
        <v>37.699111200000011</v>
      </c>
      <c r="Q389" s="4">
        <f>IFERROR(VLOOKUP(O389,Capacity!$A$3:$F$532,6,), "0")</f>
        <v>0.4</v>
      </c>
      <c r="R389" s="5">
        <f t="shared" si="65"/>
        <v>37.699111200000011</v>
      </c>
      <c r="S389" s="5">
        <f t="shared" si="66"/>
        <v>0.4</v>
      </c>
      <c r="T389">
        <v>502</v>
      </c>
      <c r="U389">
        <v>0</v>
      </c>
      <c r="V389">
        <v>0</v>
      </c>
      <c r="W389">
        <v>1</v>
      </c>
      <c r="X389">
        <f t="shared" si="62"/>
        <v>0</v>
      </c>
      <c r="Y389">
        <f t="shared" si="63"/>
        <v>0</v>
      </c>
      <c r="Z389">
        <f t="shared" si="67"/>
        <v>0</v>
      </c>
      <c r="AA389">
        <f t="shared" si="68"/>
        <v>0</v>
      </c>
      <c r="AC389">
        <f t="shared" si="69"/>
        <v>0</v>
      </c>
      <c r="AD389">
        <f t="shared" si="64"/>
        <v>0</v>
      </c>
    </row>
    <row r="390" spans="1:30" x14ac:dyDescent="0.25">
      <c r="A390">
        <v>326</v>
      </c>
      <c r="B390">
        <f>IFERROR(VLOOKUP(A390,Capacity!$A$3:$D$532,4,), "0")</f>
        <v>37.699111200000011</v>
      </c>
      <c r="C390" s="4">
        <f>IFERROR(VLOOKUP(A390,Capacity!$A$3:$F$532,6,), "0")</f>
        <v>0.4</v>
      </c>
      <c r="D390">
        <v>513</v>
      </c>
      <c r="E390">
        <f>IFERROR(VLOOKUP(D390,Capacity!$A$3:$D$532,4,), "0")</f>
        <v>17.318029207499997</v>
      </c>
      <c r="F390" s="4">
        <f>IFERROR(VLOOKUP(D390,Capacity!$A$3:$F$532,6,), "0")</f>
        <v>0.17499999999999999</v>
      </c>
      <c r="G390">
        <v>327</v>
      </c>
      <c r="H390">
        <f>IFERROR(VLOOKUP(G390,Capacity!$A$3:$D$532,4,), "0")</f>
        <v>37.699111200000011</v>
      </c>
      <c r="I390" s="4">
        <f>IFERROR(VLOOKUP(G390,Capacity!$A$3:$F$532,6,), "0")</f>
        <v>0.4</v>
      </c>
      <c r="K390" t="str">
        <f>IFERROR(VLOOKUP(J390,Capacity!$A$3:$D$532,4,), "0")</f>
        <v>0</v>
      </c>
      <c r="L390" s="4" t="str">
        <f>IFERROR(VLOOKUP(J390,Capacity!$A$3:$F$532,6,), "0")</f>
        <v>0</v>
      </c>
      <c r="M390" s="5">
        <f t="shared" si="60"/>
        <v>55.017140407500008</v>
      </c>
      <c r="N390" s="5">
        <f t="shared" si="61"/>
        <v>0.57499999999999996</v>
      </c>
      <c r="O390">
        <v>325</v>
      </c>
      <c r="P390">
        <f>IFERROR(VLOOKUP(O390,Capacity!$A$3:$D$532,4,), "0")</f>
        <v>37.699111200000011</v>
      </c>
      <c r="Q390" s="4">
        <f>IFERROR(VLOOKUP(O390,Capacity!$A$3:$F$532,6,), "0")</f>
        <v>0.4</v>
      </c>
      <c r="R390" s="5">
        <f t="shared" si="65"/>
        <v>37.699111200000011</v>
      </c>
      <c r="S390" s="5">
        <f t="shared" si="66"/>
        <v>0.4</v>
      </c>
      <c r="T390">
        <v>326</v>
      </c>
      <c r="U390">
        <v>2</v>
      </c>
      <c r="V390">
        <v>2</v>
      </c>
      <c r="W390">
        <v>1</v>
      </c>
      <c r="X390">
        <f t="shared" si="62"/>
        <v>1.4593749999999999</v>
      </c>
      <c r="Y390">
        <f t="shared" si="63"/>
        <v>1.4593749999999999</v>
      </c>
      <c r="Z390">
        <f t="shared" si="67"/>
        <v>1.4374999999999998</v>
      </c>
      <c r="AA390">
        <f t="shared" si="68"/>
        <v>1.4374999999999998</v>
      </c>
      <c r="AC390">
        <f t="shared" si="69"/>
        <v>0.72968749999999993</v>
      </c>
      <c r="AD390">
        <f t="shared" si="64"/>
        <v>1.4593749999999999</v>
      </c>
    </row>
    <row r="391" spans="1:30" x14ac:dyDescent="0.25">
      <c r="A391">
        <v>311</v>
      </c>
      <c r="B391">
        <f>IFERROR(VLOOKUP(A391,Capacity!$A$3:$D$532,4,), "0")</f>
        <v>132.53593781250001</v>
      </c>
      <c r="C391" s="4">
        <f>IFERROR(VLOOKUP(A391,Capacity!$A$3:$F$532,6,), "0")</f>
        <v>0.75</v>
      </c>
      <c r="D391">
        <v>507</v>
      </c>
      <c r="E391">
        <f>IFERROR(VLOOKUP(D391,Capacity!$A$3:$D$532,4,), "0")</f>
        <v>14.431691006249999</v>
      </c>
      <c r="F391" s="4">
        <f>IFERROR(VLOOKUP(D391,Capacity!$A$3:$F$532,6,), "0")</f>
        <v>0.17499999999999999</v>
      </c>
      <c r="G391">
        <v>310</v>
      </c>
      <c r="H391">
        <f>IFERROR(VLOOKUP(G391,Capacity!$A$3:$D$532,4,), "0")</f>
        <v>132.53593781250001</v>
      </c>
      <c r="I391" s="4">
        <f>IFERROR(VLOOKUP(G391,Capacity!$A$3:$F$532,6,), "0")</f>
        <v>0.75</v>
      </c>
      <c r="J391">
        <v>261</v>
      </c>
      <c r="K391">
        <f>IFERROR(VLOOKUP(J391,Capacity!$A$3:$D$532,4,), "0")</f>
        <v>11.545352804999998</v>
      </c>
      <c r="L391" s="4">
        <f>IFERROR(VLOOKUP(J391,Capacity!$A$3:$F$532,6,), "0")</f>
        <v>0.17499999999999999</v>
      </c>
      <c r="M391" s="5">
        <f t="shared" si="60"/>
        <v>158.51298162374999</v>
      </c>
      <c r="N391" s="5">
        <f t="shared" si="61"/>
        <v>1.1000000000000001</v>
      </c>
      <c r="O391">
        <v>313</v>
      </c>
      <c r="P391">
        <f>IFERROR(VLOOKUP(O391,Capacity!$A$3:$D$532,4,), "0")</f>
        <v>132.53593781250001</v>
      </c>
      <c r="Q391" s="4">
        <f>IFERROR(VLOOKUP(O391,Capacity!$A$3:$F$532,6,), "0")</f>
        <v>0.75</v>
      </c>
      <c r="R391" s="5">
        <f t="shared" si="65"/>
        <v>132.53593781250001</v>
      </c>
      <c r="S391" s="5">
        <f t="shared" si="66"/>
        <v>0.75</v>
      </c>
      <c r="T391">
        <v>311</v>
      </c>
      <c r="U391">
        <v>3</v>
      </c>
      <c r="V391">
        <v>3</v>
      </c>
      <c r="W391">
        <v>1</v>
      </c>
      <c r="X391">
        <f t="shared" si="62"/>
        <v>1.196</v>
      </c>
      <c r="Y391">
        <f t="shared" si="63"/>
        <v>1.196</v>
      </c>
      <c r="Z391">
        <f t="shared" si="67"/>
        <v>1.4666666666666668</v>
      </c>
      <c r="AA391">
        <f t="shared" si="68"/>
        <v>1.4666666666666668</v>
      </c>
      <c r="AC391">
        <f t="shared" si="69"/>
        <v>0.59799999999999998</v>
      </c>
      <c r="AD391">
        <f t="shared" si="64"/>
        <v>1.794</v>
      </c>
    </row>
    <row r="392" spans="1:30" x14ac:dyDescent="0.25">
      <c r="A392">
        <v>260</v>
      </c>
      <c r="B392">
        <f>IFERROR(VLOOKUP(A392,Capacity!$A$3:$D$532,4,), "0")</f>
        <v>15.079644480000002</v>
      </c>
      <c r="C392" s="4">
        <f>IFERROR(VLOOKUP(A392,Capacity!$A$3:$F$532,6,), "0")</f>
        <v>0.2</v>
      </c>
      <c r="E392" t="str">
        <f>IFERROR(VLOOKUP(D392,Capacity!$A$3:$D$532,4,), "0")</f>
        <v>0</v>
      </c>
      <c r="F392" s="4" t="str">
        <f>IFERROR(VLOOKUP(D392,Capacity!$A$3:$F$532,6,), "0")</f>
        <v>0</v>
      </c>
      <c r="H392" t="str">
        <f>IFERROR(VLOOKUP(G392,Capacity!$A$3:$D$532,4,), "0")</f>
        <v>0</v>
      </c>
      <c r="I392" s="4" t="str">
        <f>IFERROR(VLOOKUP(G392,Capacity!$A$3:$F$532,6,), "0")</f>
        <v>0</v>
      </c>
      <c r="K392" t="str">
        <f>IFERROR(VLOOKUP(J392,Capacity!$A$3:$D$532,4,), "0")</f>
        <v>0</v>
      </c>
      <c r="L392" s="4" t="str">
        <f>IFERROR(VLOOKUP(J392,Capacity!$A$3:$F$532,6,), "0")</f>
        <v>0</v>
      </c>
      <c r="M392" s="5">
        <f t="shared" si="60"/>
        <v>0</v>
      </c>
      <c r="N392" s="5">
        <f t="shared" si="61"/>
        <v>0</v>
      </c>
      <c r="O392">
        <v>313</v>
      </c>
      <c r="P392">
        <f>IFERROR(VLOOKUP(O392,Capacity!$A$3:$D$532,4,), "0")</f>
        <v>132.53593781250001</v>
      </c>
      <c r="Q392" s="4">
        <f>IFERROR(VLOOKUP(O392,Capacity!$A$3:$F$532,6,), "0")</f>
        <v>0.75</v>
      </c>
      <c r="R392" s="5">
        <f t="shared" si="65"/>
        <v>132.53593781250001</v>
      </c>
      <c r="S392" s="5">
        <f t="shared" si="66"/>
        <v>0.75</v>
      </c>
      <c r="T392">
        <v>260</v>
      </c>
      <c r="U392">
        <v>0</v>
      </c>
      <c r="V392">
        <v>0</v>
      </c>
      <c r="W392">
        <v>1</v>
      </c>
      <c r="X392">
        <f t="shared" si="62"/>
        <v>0</v>
      </c>
      <c r="Y392">
        <f t="shared" si="63"/>
        <v>0</v>
      </c>
      <c r="Z392">
        <f t="shared" si="67"/>
        <v>0</v>
      </c>
      <c r="AA392">
        <f t="shared" si="68"/>
        <v>0</v>
      </c>
      <c r="AC392">
        <f t="shared" si="69"/>
        <v>0</v>
      </c>
      <c r="AD392">
        <f t="shared" si="64"/>
        <v>0</v>
      </c>
    </row>
    <row r="393" spans="1:30" x14ac:dyDescent="0.25">
      <c r="A393">
        <v>514</v>
      </c>
      <c r="B393">
        <f>IFERROR(VLOOKUP(A393,Capacity!$A$3:$D$532,4,), "0")</f>
        <v>248.81413392000002</v>
      </c>
      <c r="C393" s="4">
        <f>IFERROR(VLOOKUP(A393,Capacity!$A$3:$F$532,6,), "0")</f>
        <v>0.6</v>
      </c>
      <c r="E393" t="str">
        <f>IFERROR(VLOOKUP(D393,Capacity!$A$3:$D$532,4,), "0")</f>
        <v>0</v>
      </c>
      <c r="F393" s="4" t="str">
        <f>IFERROR(VLOOKUP(D393,Capacity!$A$3:$F$532,6,), "0")</f>
        <v>0</v>
      </c>
      <c r="H393" t="str">
        <f>IFERROR(VLOOKUP(G393,Capacity!$A$3:$D$532,4,), "0")</f>
        <v>0</v>
      </c>
      <c r="I393" s="4" t="str">
        <f>IFERROR(VLOOKUP(G393,Capacity!$A$3:$F$532,6,), "0")</f>
        <v>0</v>
      </c>
      <c r="K393" t="str">
        <f>IFERROR(VLOOKUP(J393,Capacity!$A$3:$D$532,4,), "0")</f>
        <v>0</v>
      </c>
      <c r="L393" s="4" t="str">
        <f>IFERROR(VLOOKUP(J393,Capacity!$A$3:$F$532,6,), "0")</f>
        <v>0</v>
      </c>
      <c r="M393" s="5">
        <f t="shared" si="60"/>
        <v>0</v>
      </c>
      <c r="N393" s="5">
        <f t="shared" si="61"/>
        <v>0</v>
      </c>
      <c r="O393">
        <v>34</v>
      </c>
      <c r="P393">
        <f>IFERROR(VLOOKUP(O393,Capacity!$A$3:$D$532,4,), "0")</f>
        <v>17.649467226800002</v>
      </c>
      <c r="Q393" s="4">
        <f>IFERROR(VLOOKUP(O393,Capacity!$A$3:$F$532,6,), "0")</f>
        <v>0.26500000000000001</v>
      </c>
      <c r="R393" s="5">
        <f t="shared" si="65"/>
        <v>17.649467226800002</v>
      </c>
      <c r="S393" s="5">
        <f t="shared" si="66"/>
        <v>0.26500000000000001</v>
      </c>
      <c r="T393">
        <v>514</v>
      </c>
      <c r="U393">
        <v>0</v>
      </c>
      <c r="V393">
        <v>0</v>
      </c>
      <c r="W393">
        <v>1</v>
      </c>
      <c r="X393">
        <f t="shared" si="62"/>
        <v>0</v>
      </c>
      <c r="Y393">
        <f t="shared" si="63"/>
        <v>0</v>
      </c>
      <c r="Z393">
        <f t="shared" si="67"/>
        <v>0</v>
      </c>
      <c r="AA393">
        <f t="shared" si="68"/>
        <v>0</v>
      </c>
      <c r="AC393">
        <f t="shared" si="69"/>
        <v>0</v>
      </c>
      <c r="AD393">
        <f t="shared" si="64"/>
        <v>0</v>
      </c>
    </row>
    <row r="394" spans="1:30" x14ac:dyDescent="0.25">
      <c r="A394">
        <v>395</v>
      </c>
      <c r="B394">
        <f>IFERROR(VLOOKUP(A394,Capacity!$A$3:$D$532,4,), "0")</f>
        <v>254.46900059999999</v>
      </c>
      <c r="C394" s="4">
        <f>IFERROR(VLOOKUP(A394,Capacity!$A$3:$F$532,6,), "0")</f>
        <v>0.6</v>
      </c>
      <c r="E394" t="str">
        <f>IFERROR(VLOOKUP(D394,Capacity!$A$3:$D$532,4,), "0")</f>
        <v>0</v>
      </c>
      <c r="F394" s="4" t="str">
        <f>IFERROR(VLOOKUP(D394,Capacity!$A$3:$F$532,6,), "0")</f>
        <v>0</v>
      </c>
      <c r="H394" t="str">
        <f>IFERROR(VLOOKUP(G394,Capacity!$A$3:$D$532,4,), "0")</f>
        <v>0</v>
      </c>
      <c r="I394" s="4" t="str">
        <f>IFERROR(VLOOKUP(G394,Capacity!$A$3:$F$532,6,), "0")</f>
        <v>0</v>
      </c>
      <c r="K394" t="str">
        <f>IFERROR(VLOOKUP(J394,Capacity!$A$3:$D$532,4,), "0")</f>
        <v>0</v>
      </c>
      <c r="L394" s="4" t="str">
        <f>IFERROR(VLOOKUP(J394,Capacity!$A$3:$F$532,6,), "0")</f>
        <v>0</v>
      </c>
      <c r="M394" s="5">
        <f t="shared" si="60"/>
        <v>0</v>
      </c>
      <c r="N394" s="5">
        <f t="shared" si="61"/>
        <v>0</v>
      </c>
      <c r="O394">
        <v>34</v>
      </c>
      <c r="P394">
        <f>IFERROR(VLOOKUP(O394,Capacity!$A$3:$D$532,4,), "0")</f>
        <v>17.649467226800002</v>
      </c>
      <c r="Q394" s="4">
        <f>IFERROR(VLOOKUP(O394,Capacity!$A$3:$F$532,6,), "0")</f>
        <v>0.26500000000000001</v>
      </c>
      <c r="R394" s="5">
        <f t="shared" si="65"/>
        <v>17.649467226800002</v>
      </c>
      <c r="S394" s="5">
        <f t="shared" si="66"/>
        <v>0.26500000000000001</v>
      </c>
      <c r="T394">
        <v>395</v>
      </c>
      <c r="U394">
        <v>0</v>
      </c>
      <c r="V394">
        <v>0</v>
      </c>
      <c r="W394">
        <v>1</v>
      </c>
      <c r="X394">
        <f t="shared" si="62"/>
        <v>0</v>
      </c>
      <c r="Y394">
        <f t="shared" si="63"/>
        <v>0</v>
      </c>
      <c r="Z394">
        <f t="shared" si="67"/>
        <v>0</v>
      </c>
      <c r="AA394">
        <f t="shared" si="68"/>
        <v>0</v>
      </c>
      <c r="AC394">
        <f t="shared" si="69"/>
        <v>0</v>
      </c>
      <c r="AD394">
        <f t="shared" si="64"/>
        <v>0</v>
      </c>
    </row>
    <row r="395" spans="1:30" x14ac:dyDescent="0.25">
      <c r="A395">
        <v>33</v>
      </c>
      <c r="B395">
        <f>IFERROR(VLOOKUP(A395,Capacity!$A$3:$D$532,4,), "0")</f>
        <v>17.649467226800002</v>
      </c>
      <c r="C395" s="4">
        <f>IFERROR(VLOOKUP(A395,Capacity!$A$3:$F$532,6,), "0")</f>
        <v>0.26500000000000001</v>
      </c>
      <c r="D395">
        <v>512</v>
      </c>
      <c r="E395">
        <f>IFERROR(VLOOKUP(D395,Capacity!$A$3:$D$532,4,), "0")</f>
        <v>21.166480142499999</v>
      </c>
      <c r="F395" s="4">
        <f>IFERROR(VLOOKUP(D395,Capacity!$A$3:$F$532,6,), "0")</f>
        <v>0.17499999999999999</v>
      </c>
      <c r="G395">
        <v>393</v>
      </c>
      <c r="H395">
        <f>IFERROR(VLOOKUP(G395,Capacity!$A$3:$D$532,4,), "0")</f>
        <v>21.647536509374998</v>
      </c>
      <c r="I395" s="4">
        <f>IFERROR(VLOOKUP(G395,Capacity!$A$3:$F$532,6,), "0")</f>
        <v>0.17499999999999999</v>
      </c>
      <c r="J395">
        <v>32</v>
      </c>
      <c r="K395">
        <f>IFERROR(VLOOKUP(J395,Capacity!$A$3:$D$532,4,), "0")</f>
        <v>26.474200840200002</v>
      </c>
      <c r="L395" s="4">
        <f>IFERROR(VLOOKUP(J395,Capacity!$A$3:$F$532,6,), "0")</f>
        <v>0.26500000000000001</v>
      </c>
      <c r="M395" s="5">
        <f t="shared" si="60"/>
        <v>69.288217492074992</v>
      </c>
      <c r="N395" s="5">
        <f t="shared" si="61"/>
        <v>0.61499999999999999</v>
      </c>
      <c r="O395">
        <v>34</v>
      </c>
      <c r="P395">
        <f>IFERROR(VLOOKUP(O395,Capacity!$A$3:$D$532,4,), "0")</f>
        <v>17.649467226800002</v>
      </c>
      <c r="Q395" s="4">
        <f>IFERROR(VLOOKUP(O395,Capacity!$A$3:$F$532,6,), "0")</f>
        <v>0.26500000000000001</v>
      </c>
      <c r="R395" s="5">
        <f t="shared" si="65"/>
        <v>17.649467226800002</v>
      </c>
      <c r="S395" s="5">
        <f t="shared" si="66"/>
        <v>0.26500000000000001</v>
      </c>
      <c r="T395">
        <v>33</v>
      </c>
      <c r="U395">
        <v>3</v>
      </c>
      <c r="V395">
        <v>3</v>
      </c>
      <c r="W395">
        <v>1</v>
      </c>
      <c r="X395">
        <f t="shared" si="62"/>
        <v>3.9257965468138116</v>
      </c>
      <c r="Y395">
        <f t="shared" si="63"/>
        <v>3.9257965468138116</v>
      </c>
      <c r="Z395">
        <f t="shared" si="67"/>
        <v>2.3207547169811318</v>
      </c>
      <c r="AA395">
        <f t="shared" si="68"/>
        <v>2.3207547169811318</v>
      </c>
      <c r="AC395">
        <f t="shared" si="69"/>
        <v>1.9628982734069058</v>
      </c>
      <c r="AD395">
        <f t="shared" si="64"/>
        <v>5.8886948202207172</v>
      </c>
    </row>
    <row r="396" spans="1:30" x14ac:dyDescent="0.25">
      <c r="A396">
        <v>333</v>
      </c>
      <c r="B396">
        <f>IFERROR(VLOOKUP(A396,Capacity!$A$3:$D$532,4,), "0")</f>
        <v>10.053096320000002</v>
      </c>
      <c r="C396" s="4">
        <f>IFERROR(VLOOKUP(A396,Capacity!$A$3:$F$532,6,), "0")</f>
        <v>0.2</v>
      </c>
      <c r="D396">
        <v>332</v>
      </c>
      <c r="E396">
        <f>IFERROR(VLOOKUP(D396,Capacity!$A$3:$D$532,4,), "0")</f>
        <v>7.6969018699999987</v>
      </c>
      <c r="F396" s="4">
        <f>IFERROR(VLOOKUP(D396,Capacity!$A$3:$F$532,6,), "0")</f>
        <v>0.17499999999999999</v>
      </c>
      <c r="H396" t="str">
        <f>IFERROR(VLOOKUP(G396,Capacity!$A$3:$D$532,4,), "0")</f>
        <v>0</v>
      </c>
      <c r="I396" s="4" t="str">
        <f>IFERROR(VLOOKUP(G396,Capacity!$A$3:$F$532,6,), "0")</f>
        <v>0</v>
      </c>
      <c r="K396" t="str">
        <f>IFERROR(VLOOKUP(J396,Capacity!$A$3:$D$532,4,), "0")</f>
        <v>0</v>
      </c>
      <c r="L396" s="4" t="str">
        <f>IFERROR(VLOOKUP(J396,Capacity!$A$3:$F$532,6,), "0")</f>
        <v>0</v>
      </c>
      <c r="M396" s="5">
        <f t="shared" si="60"/>
        <v>7.6969018699999987</v>
      </c>
      <c r="N396" s="5">
        <f t="shared" si="61"/>
        <v>0.17499999999999999</v>
      </c>
      <c r="O396">
        <v>334</v>
      </c>
      <c r="P396">
        <f>IFERROR(VLOOKUP(O396,Capacity!$A$3:$D$532,4,), "0")</f>
        <v>345.57518600000003</v>
      </c>
      <c r="Q396" s="4">
        <f>IFERROR(VLOOKUP(O396,Capacity!$A$3:$F$532,6,), "0")</f>
        <v>1</v>
      </c>
      <c r="R396" s="5">
        <f t="shared" si="65"/>
        <v>345.57518600000003</v>
      </c>
      <c r="S396" s="5">
        <f t="shared" si="66"/>
        <v>1</v>
      </c>
      <c r="T396">
        <v>333</v>
      </c>
      <c r="U396">
        <v>1</v>
      </c>
      <c r="V396">
        <v>1</v>
      </c>
      <c r="W396">
        <v>1</v>
      </c>
      <c r="X396">
        <f t="shared" si="62"/>
        <v>2.2272727272727267E-2</v>
      </c>
      <c r="Y396">
        <f t="shared" si="63"/>
        <v>0.76562499999999978</v>
      </c>
      <c r="Z396">
        <f t="shared" si="67"/>
        <v>0.17499999999999999</v>
      </c>
      <c r="AA396">
        <f t="shared" si="68"/>
        <v>0.87499999999999989</v>
      </c>
      <c r="AC396">
        <f t="shared" si="69"/>
        <v>2.1643109540636037E-2</v>
      </c>
      <c r="AD396">
        <f t="shared" si="64"/>
        <v>2.1643109540636037E-2</v>
      </c>
    </row>
    <row r="397" spans="1:30" x14ac:dyDescent="0.25">
      <c r="A397">
        <v>72</v>
      </c>
      <c r="B397">
        <f>IFERROR(VLOOKUP(A397,Capacity!$A$3:$D$532,4,), "0")</f>
        <v>90.477866879999993</v>
      </c>
      <c r="C397" s="4">
        <f>IFERROR(VLOOKUP(A397,Capacity!$A$3:$F$532,6,), "0")</f>
        <v>0.6</v>
      </c>
      <c r="D397">
        <v>71</v>
      </c>
      <c r="E397">
        <f>IFERROR(VLOOKUP(D397,Capacity!$A$3:$D$532,4,), "0")</f>
        <v>90.477866879999993</v>
      </c>
      <c r="F397" s="4">
        <f>IFERROR(VLOOKUP(D397,Capacity!$A$3:$F$532,6,), "0")</f>
        <v>0.6</v>
      </c>
      <c r="H397" t="str">
        <f>IFERROR(VLOOKUP(G397,Capacity!$A$3:$D$532,4,), "0")</f>
        <v>0</v>
      </c>
      <c r="I397" s="4" t="str">
        <f>IFERROR(VLOOKUP(G397,Capacity!$A$3:$F$532,6,), "0")</f>
        <v>0</v>
      </c>
      <c r="K397" t="str">
        <f>IFERROR(VLOOKUP(J397,Capacity!$A$3:$D$532,4,), "0")</f>
        <v>0</v>
      </c>
      <c r="L397" s="4" t="str">
        <f>IFERROR(VLOOKUP(J397,Capacity!$A$3:$F$532,6,), "0")</f>
        <v>0</v>
      </c>
      <c r="M397" s="5">
        <f t="shared" si="60"/>
        <v>90.477866879999993</v>
      </c>
      <c r="N397" s="5">
        <f t="shared" si="61"/>
        <v>0.6</v>
      </c>
      <c r="O397">
        <v>73</v>
      </c>
      <c r="P397">
        <f>IFERROR(VLOOKUP(O397,Capacity!$A$3:$D$532,4,), "0")</f>
        <v>90.477866879999993</v>
      </c>
      <c r="Q397" s="4">
        <f>IFERROR(VLOOKUP(O397,Capacity!$A$3:$F$532,6,), "0")</f>
        <v>0.6</v>
      </c>
      <c r="R397" s="5">
        <f t="shared" si="65"/>
        <v>90.477866879999993</v>
      </c>
      <c r="S397" s="5">
        <f t="shared" si="66"/>
        <v>0.6</v>
      </c>
      <c r="T397">
        <v>72</v>
      </c>
      <c r="U397">
        <v>1</v>
      </c>
      <c r="V397">
        <v>1</v>
      </c>
      <c r="W397">
        <v>1</v>
      </c>
      <c r="X397">
        <f t="shared" si="62"/>
        <v>1</v>
      </c>
      <c r="Y397">
        <f t="shared" si="63"/>
        <v>1</v>
      </c>
      <c r="Z397">
        <f t="shared" si="67"/>
        <v>1</v>
      </c>
      <c r="AA397">
        <f t="shared" si="68"/>
        <v>1</v>
      </c>
      <c r="AC397">
        <f t="shared" si="69"/>
        <v>0.5</v>
      </c>
      <c r="AD397">
        <f t="shared" si="64"/>
        <v>0.5</v>
      </c>
    </row>
    <row r="398" spans="1:30" x14ac:dyDescent="0.25">
      <c r="A398">
        <v>478</v>
      </c>
      <c r="B398">
        <f>IFERROR(VLOOKUP(A398,Capacity!$A$3:$D$532,4,), "0")</f>
        <v>20.204367408749999</v>
      </c>
      <c r="C398" s="4">
        <f>IFERROR(VLOOKUP(A398,Capacity!$A$3:$F$532,6,), "0")</f>
        <v>0.17499999999999999</v>
      </c>
      <c r="E398" t="str">
        <f>IFERROR(VLOOKUP(D398,Capacity!$A$3:$D$532,4,), "0")</f>
        <v>0</v>
      </c>
      <c r="F398" s="4" t="str">
        <f>IFERROR(VLOOKUP(D398,Capacity!$A$3:$F$532,6,), "0")</f>
        <v>0</v>
      </c>
      <c r="H398" t="str">
        <f>IFERROR(VLOOKUP(G398,Capacity!$A$3:$D$532,4,), "0")</f>
        <v>0</v>
      </c>
      <c r="I398" s="4" t="str">
        <f>IFERROR(VLOOKUP(G398,Capacity!$A$3:$F$532,6,), "0")</f>
        <v>0</v>
      </c>
      <c r="K398" t="str">
        <f>IFERROR(VLOOKUP(J398,Capacity!$A$3:$D$532,4,), "0")</f>
        <v>0</v>
      </c>
      <c r="L398" s="4" t="str">
        <f>IFERROR(VLOOKUP(J398,Capacity!$A$3:$F$532,6,), "0")</f>
        <v>0</v>
      </c>
      <c r="M398" s="5">
        <f t="shared" si="60"/>
        <v>0</v>
      </c>
      <c r="N398" s="5">
        <f t="shared" si="61"/>
        <v>0</v>
      </c>
      <c r="O398">
        <v>225</v>
      </c>
      <c r="P398">
        <f>IFERROR(VLOOKUP(O398,Capacity!$A$3:$D$532,4,), "0")</f>
        <v>17.649467226800002</v>
      </c>
      <c r="Q398" s="4">
        <f>IFERROR(VLOOKUP(O398,Capacity!$A$3:$F$532,6,), "0")</f>
        <v>0.26500000000000001</v>
      </c>
      <c r="R398" s="5">
        <f t="shared" si="65"/>
        <v>17.649467226800002</v>
      </c>
      <c r="S398" s="5">
        <f t="shared" si="66"/>
        <v>0.26500000000000001</v>
      </c>
      <c r="T398">
        <v>478</v>
      </c>
      <c r="U398">
        <v>0</v>
      </c>
      <c r="V398">
        <v>0</v>
      </c>
      <c r="W398">
        <v>1</v>
      </c>
      <c r="X398">
        <f t="shared" si="62"/>
        <v>0</v>
      </c>
      <c r="Y398">
        <f t="shared" si="63"/>
        <v>0</v>
      </c>
      <c r="Z398">
        <f t="shared" si="67"/>
        <v>0</v>
      </c>
      <c r="AA398">
        <f t="shared" si="68"/>
        <v>0</v>
      </c>
      <c r="AC398">
        <f t="shared" si="69"/>
        <v>0</v>
      </c>
      <c r="AD398">
        <f t="shared" si="64"/>
        <v>0</v>
      </c>
    </row>
    <row r="399" spans="1:30" x14ac:dyDescent="0.25">
      <c r="A399">
        <v>392</v>
      </c>
      <c r="B399">
        <f>IFERROR(VLOOKUP(A399,Capacity!$A$3:$D$532,4,), "0")</f>
        <v>21.166480142499999</v>
      </c>
      <c r="C399" s="4">
        <f>IFERROR(VLOOKUP(A399,Capacity!$A$3:$F$532,6,), "0")</f>
        <v>0.17499999999999999</v>
      </c>
      <c r="E399" t="str">
        <f>IFERROR(VLOOKUP(D399,Capacity!$A$3:$D$532,4,), "0")</f>
        <v>0</v>
      </c>
      <c r="F399" s="4" t="str">
        <f>IFERROR(VLOOKUP(D399,Capacity!$A$3:$F$532,6,), "0")</f>
        <v>0</v>
      </c>
      <c r="H399" t="str">
        <f>IFERROR(VLOOKUP(G399,Capacity!$A$3:$D$532,4,), "0")</f>
        <v>0</v>
      </c>
      <c r="I399" s="4" t="str">
        <f>IFERROR(VLOOKUP(G399,Capacity!$A$3:$F$532,6,), "0")</f>
        <v>0</v>
      </c>
      <c r="K399" t="str">
        <f>IFERROR(VLOOKUP(J399,Capacity!$A$3:$D$532,4,), "0")</f>
        <v>0</v>
      </c>
      <c r="L399" s="4" t="str">
        <f>IFERROR(VLOOKUP(J399,Capacity!$A$3:$F$532,6,), "0")</f>
        <v>0</v>
      </c>
      <c r="M399" s="5">
        <f t="shared" si="60"/>
        <v>0</v>
      </c>
      <c r="N399" s="5">
        <f t="shared" si="61"/>
        <v>0</v>
      </c>
      <c r="O399">
        <v>225</v>
      </c>
      <c r="P399">
        <f>IFERROR(VLOOKUP(O399,Capacity!$A$3:$D$532,4,), "0")</f>
        <v>17.649467226800002</v>
      </c>
      <c r="Q399" s="4">
        <f>IFERROR(VLOOKUP(O399,Capacity!$A$3:$F$532,6,), "0")</f>
        <v>0.26500000000000001</v>
      </c>
      <c r="R399" s="5">
        <f t="shared" si="65"/>
        <v>17.649467226800002</v>
      </c>
      <c r="S399" s="5">
        <f t="shared" si="66"/>
        <v>0.26500000000000001</v>
      </c>
      <c r="T399">
        <v>392</v>
      </c>
      <c r="U399">
        <v>0</v>
      </c>
      <c r="V399">
        <v>0</v>
      </c>
      <c r="W399">
        <v>1</v>
      </c>
      <c r="X399">
        <f t="shared" si="62"/>
        <v>0</v>
      </c>
      <c r="Y399">
        <f t="shared" si="63"/>
        <v>0</v>
      </c>
      <c r="Z399">
        <f t="shared" si="67"/>
        <v>0</v>
      </c>
      <c r="AA399">
        <f t="shared" si="68"/>
        <v>0</v>
      </c>
      <c r="AC399">
        <f t="shared" si="69"/>
        <v>0</v>
      </c>
      <c r="AD399">
        <f t="shared" si="64"/>
        <v>0</v>
      </c>
    </row>
    <row r="400" spans="1:30" x14ac:dyDescent="0.25">
      <c r="A400">
        <v>226</v>
      </c>
      <c r="B400">
        <f>IFERROR(VLOOKUP(A400,Capacity!$A$3:$D$532,4,), "0")</f>
        <v>17.649467226800002</v>
      </c>
      <c r="C400" s="4">
        <f>IFERROR(VLOOKUP(A400,Capacity!$A$3:$F$532,6,), "0")</f>
        <v>0.26500000000000001</v>
      </c>
      <c r="D400">
        <v>227</v>
      </c>
      <c r="E400">
        <f>IFERROR(VLOOKUP(D400,Capacity!$A$3:$D$532,4,), "0")</f>
        <v>33.092751050250008</v>
      </c>
      <c r="F400" s="4">
        <f>IFERROR(VLOOKUP(D400,Capacity!$A$3:$F$532,6,), "0")</f>
        <v>0.26500000000000001</v>
      </c>
      <c r="H400" t="str">
        <f>IFERROR(VLOOKUP(G400,Capacity!$A$3:$D$532,4,), "0")</f>
        <v>0</v>
      </c>
      <c r="I400" s="4" t="str">
        <f>IFERROR(VLOOKUP(G400,Capacity!$A$3:$F$532,6,), "0")</f>
        <v>0</v>
      </c>
      <c r="K400" t="str">
        <f>IFERROR(VLOOKUP(J400,Capacity!$A$3:$D$532,4,), "0")</f>
        <v>0</v>
      </c>
      <c r="L400" s="4" t="str">
        <f>IFERROR(VLOOKUP(J400,Capacity!$A$3:$F$532,6,), "0")</f>
        <v>0</v>
      </c>
      <c r="M400" s="5">
        <f t="shared" si="60"/>
        <v>33.092751050250008</v>
      </c>
      <c r="N400" s="5">
        <f t="shared" si="61"/>
        <v>0.26500000000000001</v>
      </c>
      <c r="O400">
        <v>225</v>
      </c>
      <c r="P400">
        <f>IFERROR(VLOOKUP(O400,Capacity!$A$3:$D$532,4,), "0")</f>
        <v>17.649467226800002</v>
      </c>
      <c r="Q400" s="4">
        <f>IFERROR(VLOOKUP(O400,Capacity!$A$3:$F$532,6,), "0")</f>
        <v>0.26500000000000001</v>
      </c>
      <c r="R400" s="5">
        <f t="shared" si="65"/>
        <v>17.649467226800002</v>
      </c>
      <c r="S400" s="5">
        <f t="shared" si="66"/>
        <v>0.26500000000000001</v>
      </c>
      <c r="T400">
        <v>226</v>
      </c>
      <c r="U400">
        <v>1</v>
      </c>
      <c r="V400">
        <v>1</v>
      </c>
      <c r="W400">
        <v>1</v>
      </c>
      <c r="X400">
        <f t="shared" si="62"/>
        <v>1.8750000000000002</v>
      </c>
      <c r="Y400">
        <f t="shared" si="63"/>
        <v>1.8750000000000002</v>
      </c>
      <c r="Z400">
        <f t="shared" si="67"/>
        <v>1</v>
      </c>
      <c r="AA400">
        <f t="shared" si="68"/>
        <v>1</v>
      </c>
      <c r="AC400">
        <f t="shared" si="69"/>
        <v>0.93750000000000011</v>
      </c>
      <c r="AD400">
        <f t="shared" si="64"/>
        <v>0.93750000000000011</v>
      </c>
    </row>
    <row r="401" spans="1:30" x14ac:dyDescent="0.25">
      <c r="A401">
        <v>513</v>
      </c>
      <c r="B401">
        <f>IFERROR(VLOOKUP(A401,Capacity!$A$3:$D$532,4,), "0")</f>
        <v>17.318029207499997</v>
      </c>
      <c r="C401" s="4">
        <f>IFERROR(VLOOKUP(A401,Capacity!$A$3:$F$532,6,), "0")</f>
        <v>0.17499999999999999</v>
      </c>
      <c r="E401" t="str">
        <f>IFERROR(VLOOKUP(D401,Capacity!$A$3:$D$532,4,), "0")</f>
        <v>0</v>
      </c>
      <c r="F401" s="4" t="str">
        <f>IFERROR(VLOOKUP(D401,Capacity!$A$3:$F$532,6,), "0")</f>
        <v>0</v>
      </c>
      <c r="H401" t="str">
        <f>IFERROR(VLOOKUP(G401,Capacity!$A$3:$D$532,4,), "0")</f>
        <v>0</v>
      </c>
      <c r="I401" s="4" t="str">
        <f>IFERROR(VLOOKUP(G401,Capacity!$A$3:$F$532,6,), "0")</f>
        <v>0</v>
      </c>
      <c r="K401" t="str">
        <f>IFERROR(VLOOKUP(J401,Capacity!$A$3:$D$532,4,), "0")</f>
        <v>0</v>
      </c>
      <c r="L401" s="4" t="str">
        <f>IFERROR(VLOOKUP(J401,Capacity!$A$3:$F$532,6,), "0")</f>
        <v>0</v>
      </c>
      <c r="M401" s="5">
        <f t="shared" si="60"/>
        <v>0</v>
      </c>
      <c r="N401" s="5">
        <f t="shared" si="61"/>
        <v>0</v>
      </c>
      <c r="O401">
        <v>326</v>
      </c>
      <c r="P401">
        <f>IFERROR(VLOOKUP(O401,Capacity!$A$3:$D$532,4,), "0")</f>
        <v>37.699111200000011</v>
      </c>
      <c r="Q401" s="4">
        <f>IFERROR(VLOOKUP(O401,Capacity!$A$3:$F$532,6,), "0")</f>
        <v>0.4</v>
      </c>
      <c r="R401" s="5">
        <f t="shared" si="65"/>
        <v>37.699111200000011</v>
      </c>
      <c r="S401" s="5">
        <f t="shared" si="66"/>
        <v>0.4</v>
      </c>
      <c r="T401">
        <v>513</v>
      </c>
      <c r="U401">
        <v>0</v>
      </c>
      <c r="V401">
        <v>0</v>
      </c>
      <c r="W401">
        <v>1</v>
      </c>
      <c r="X401">
        <f t="shared" si="62"/>
        <v>0</v>
      </c>
      <c r="Y401">
        <f t="shared" si="63"/>
        <v>0</v>
      </c>
      <c r="Z401">
        <f t="shared" si="67"/>
        <v>0</v>
      </c>
      <c r="AA401">
        <f t="shared" si="68"/>
        <v>0</v>
      </c>
      <c r="AC401">
        <f t="shared" si="69"/>
        <v>0</v>
      </c>
      <c r="AD401">
        <f t="shared" si="64"/>
        <v>0</v>
      </c>
    </row>
    <row r="402" spans="1:30" x14ac:dyDescent="0.25">
      <c r="A402">
        <v>327</v>
      </c>
      <c r="B402">
        <f>IFERROR(VLOOKUP(A402,Capacity!$A$3:$D$532,4,), "0")</f>
        <v>37.699111200000011</v>
      </c>
      <c r="C402" s="4">
        <f>IFERROR(VLOOKUP(A402,Capacity!$A$3:$F$532,6,), "0")</f>
        <v>0.4</v>
      </c>
      <c r="D402">
        <v>511</v>
      </c>
      <c r="E402">
        <f>IFERROR(VLOOKUP(D402,Capacity!$A$3:$D$532,4,), "0")</f>
        <v>18.280141941249997</v>
      </c>
      <c r="F402" s="4">
        <f>IFERROR(VLOOKUP(D402,Capacity!$A$3:$F$532,6,), "0")</f>
        <v>0.17499999999999999</v>
      </c>
      <c r="G402">
        <v>501</v>
      </c>
      <c r="H402">
        <f>IFERROR(VLOOKUP(G402,Capacity!$A$3:$D$532,4,), "0")</f>
        <v>14.431691006249999</v>
      </c>
      <c r="I402" s="4">
        <f>IFERROR(VLOOKUP(G402,Capacity!$A$3:$F$532,6,), "0")</f>
        <v>0.17499999999999999</v>
      </c>
      <c r="J402">
        <v>329</v>
      </c>
      <c r="K402">
        <f>IFERROR(VLOOKUP(J402,Capacity!$A$3:$D$532,4,), "0")</f>
        <v>37.699111200000011</v>
      </c>
      <c r="L402" s="4">
        <f>IFERROR(VLOOKUP(J402,Capacity!$A$3:$F$532,6,), "0")</f>
        <v>0.4</v>
      </c>
      <c r="M402" s="5">
        <f t="shared" si="60"/>
        <v>70.410944147500004</v>
      </c>
      <c r="N402" s="5">
        <f t="shared" si="61"/>
        <v>0.75</v>
      </c>
      <c r="O402">
        <v>326</v>
      </c>
      <c r="P402">
        <f>IFERROR(VLOOKUP(O402,Capacity!$A$3:$D$532,4,), "0")</f>
        <v>37.699111200000011</v>
      </c>
      <c r="Q402" s="4">
        <f>IFERROR(VLOOKUP(O402,Capacity!$A$3:$F$532,6,), "0")</f>
        <v>0.4</v>
      </c>
      <c r="R402" s="5">
        <f t="shared" si="65"/>
        <v>37.699111200000011</v>
      </c>
      <c r="S402" s="5">
        <f t="shared" si="66"/>
        <v>0.4</v>
      </c>
      <c r="T402">
        <v>327</v>
      </c>
      <c r="U402">
        <v>3</v>
      </c>
      <c r="V402">
        <v>3</v>
      </c>
      <c r="W402">
        <v>1</v>
      </c>
      <c r="X402">
        <f t="shared" si="62"/>
        <v>1.8677083333333329</v>
      </c>
      <c r="Y402">
        <f t="shared" si="63"/>
        <v>1.8677083333333329</v>
      </c>
      <c r="Z402">
        <f t="shared" si="67"/>
        <v>1.875</v>
      </c>
      <c r="AA402">
        <f t="shared" si="68"/>
        <v>1.875</v>
      </c>
      <c r="AC402">
        <f t="shared" si="69"/>
        <v>0.93385416666666643</v>
      </c>
      <c r="AD402">
        <f t="shared" si="64"/>
        <v>2.8015624999999993</v>
      </c>
    </row>
    <row r="403" spans="1:30" x14ac:dyDescent="0.25">
      <c r="A403">
        <v>507</v>
      </c>
      <c r="B403">
        <f>IFERROR(VLOOKUP(A403,Capacity!$A$3:$D$532,4,), "0")</f>
        <v>14.431691006249999</v>
      </c>
      <c r="C403" s="4">
        <f>IFERROR(VLOOKUP(A403,Capacity!$A$3:$F$532,6,), "0")</f>
        <v>0.17499999999999999</v>
      </c>
      <c r="E403" t="str">
        <f>IFERROR(VLOOKUP(D403,Capacity!$A$3:$D$532,4,), "0")</f>
        <v>0</v>
      </c>
      <c r="F403" s="4" t="str">
        <f>IFERROR(VLOOKUP(D403,Capacity!$A$3:$F$532,6,), "0")</f>
        <v>0</v>
      </c>
      <c r="H403" t="str">
        <f>IFERROR(VLOOKUP(G403,Capacity!$A$3:$D$532,4,), "0")</f>
        <v>0</v>
      </c>
      <c r="I403" s="4" t="str">
        <f>IFERROR(VLOOKUP(G403,Capacity!$A$3:$F$532,6,), "0")</f>
        <v>0</v>
      </c>
      <c r="K403" t="str">
        <f>IFERROR(VLOOKUP(J403,Capacity!$A$3:$D$532,4,), "0")</f>
        <v>0</v>
      </c>
      <c r="L403" s="4" t="str">
        <f>IFERROR(VLOOKUP(J403,Capacity!$A$3:$F$532,6,), "0")</f>
        <v>0</v>
      </c>
      <c r="M403" s="5">
        <f t="shared" si="60"/>
        <v>0</v>
      </c>
      <c r="N403" s="5">
        <f t="shared" si="61"/>
        <v>0</v>
      </c>
      <c r="O403">
        <v>311</v>
      </c>
      <c r="P403">
        <f>IFERROR(VLOOKUP(O403,Capacity!$A$3:$D$532,4,), "0")</f>
        <v>132.53593781250001</v>
      </c>
      <c r="Q403" s="4">
        <f>IFERROR(VLOOKUP(O403,Capacity!$A$3:$F$532,6,), "0")</f>
        <v>0.75</v>
      </c>
      <c r="R403" s="5">
        <f t="shared" si="65"/>
        <v>132.53593781250001</v>
      </c>
      <c r="S403" s="5">
        <f t="shared" si="66"/>
        <v>0.75</v>
      </c>
      <c r="T403">
        <v>507</v>
      </c>
      <c r="U403">
        <v>0</v>
      </c>
      <c r="V403">
        <v>0</v>
      </c>
      <c r="W403">
        <v>1</v>
      </c>
      <c r="X403">
        <f t="shared" si="62"/>
        <v>0</v>
      </c>
      <c r="Y403">
        <f t="shared" si="63"/>
        <v>0</v>
      </c>
      <c r="Z403">
        <f t="shared" si="67"/>
        <v>0</v>
      </c>
      <c r="AA403">
        <f t="shared" si="68"/>
        <v>0</v>
      </c>
      <c r="AC403">
        <f t="shared" si="69"/>
        <v>0</v>
      </c>
      <c r="AD403">
        <f t="shared" si="64"/>
        <v>0</v>
      </c>
    </row>
    <row r="404" spans="1:30" x14ac:dyDescent="0.25">
      <c r="A404">
        <v>310</v>
      </c>
      <c r="B404">
        <f>IFERROR(VLOOKUP(A404,Capacity!$A$3:$D$532,4,), "0")</f>
        <v>132.53593781250001</v>
      </c>
      <c r="C404" s="4">
        <f>IFERROR(VLOOKUP(A404,Capacity!$A$3:$F$532,6,), "0")</f>
        <v>0.75</v>
      </c>
      <c r="D404">
        <v>309</v>
      </c>
      <c r="E404">
        <f>IFERROR(VLOOKUP(D404,Capacity!$A$3:$D$532,4,), "0")</f>
        <v>84.823000199999996</v>
      </c>
      <c r="F404" s="4">
        <f>IFERROR(VLOOKUP(D404,Capacity!$A$3:$F$532,6,), "0")</f>
        <v>0.6</v>
      </c>
      <c r="G404">
        <v>262</v>
      </c>
      <c r="H404">
        <f>IFERROR(VLOOKUP(G404,Capacity!$A$3:$D$532,4,), "0")</f>
        <v>11.545352804999998</v>
      </c>
      <c r="I404" s="4">
        <f>IFERROR(VLOOKUP(G404,Capacity!$A$3:$F$532,6,), "0")</f>
        <v>0.17499999999999999</v>
      </c>
      <c r="K404" t="str">
        <f>IFERROR(VLOOKUP(J404,Capacity!$A$3:$D$532,4,), "0")</f>
        <v>0</v>
      </c>
      <c r="L404" s="4" t="str">
        <f>IFERROR(VLOOKUP(J404,Capacity!$A$3:$F$532,6,), "0")</f>
        <v>0</v>
      </c>
      <c r="M404" s="5">
        <f t="shared" si="60"/>
        <v>96.368353004999989</v>
      </c>
      <c r="N404" s="5">
        <f t="shared" si="61"/>
        <v>0.77499999999999991</v>
      </c>
      <c r="O404">
        <v>311</v>
      </c>
      <c r="P404">
        <f>IFERROR(VLOOKUP(O404,Capacity!$A$3:$D$532,4,), "0")</f>
        <v>132.53593781250001</v>
      </c>
      <c r="Q404" s="4">
        <f>IFERROR(VLOOKUP(O404,Capacity!$A$3:$F$532,6,), "0")</f>
        <v>0.75</v>
      </c>
      <c r="R404" s="5">
        <f t="shared" si="65"/>
        <v>132.53593781250001</v>
      </c>
      <c r="S404" s="5">
        <f t="shared" si="66"/>
        <v>0.75</v>
      </c>
      <c r="T404">
        <v>310</v>
      </c>
      <c r="U404">
        <v>2</v>
      </c>
      <c r="V404">
        <v>2</v>
      </c>
      <c r="W404">
        <v>1</v>
      </c>
      <c r="X404">
        <f t="shared" si="62"/>
        <v>0.72711111111111093</v>
      </c>
      <c r="Y404">
        <f t="shared" si="63"/>
        <v>0.72711111111111093</v>
      </c>
      <c r="Z404">
        <f t="shared" si="67"/>
        <v>1.0333333333333332</v>
      </c>
      <c r="AA404">
        <f t="shared" si="68"/>
        <v>1.0333333333333332</v>
      </c>
      <c r="AC404">
        <f t="shared" si="69"/>
        <v>0.36355555555555547</v>
      </c>
      <c r="AD404">
        <f t="shared" si="64"/>
        <v>0.72711111111111093</v>
      </c>
    </row>
    <row r="405" spans="1:30" x14ac:dyDescent="0.25">
      <c r="A405">
        <v>261</v>
      </c>
      <c r="B405">
        <f>IFERROR(VLOOKUP(A405,Capacity!$A$3:$D$532,4,), "0")</f>
        <v>11.545352804999998</v>
      </c>
      <c r="C405" s="4">
        <f>IFERROR(VLOOKUP(A405,Capacity!$A$3:$F$532,6,), "0")</f>
        <v>0.17499999999999999</v>
      </c>
      <c r="E405" t="str">
        <f>IFERROR(VLOOKUP(D405,Capacity!$A$3:$D$532,4,), "0")</f>
        <v>0</v>
      </c>
      <c r="F405" s="4" t="str">
        <f>IFERROR(VLOOKUP(D405,Capacity!$A$3:$F$532,6,), "0")</f>
        <v>0</v>
      </c>
      <c r="H405" t="str">
        <f>IFERROR(VLOOKUP(G405,Capacity!$A$3:$D$532,4,), "0")</f>
        <v>0</v>
      </c>
      <c r="I405" s="4" t="str">
        <f>IFERROR(VLOOKUP(G405,Capacity!$A$3:$F$532,6,), "0")</f>
        <v>0</v>
      </c>
      <c r="K405" t="str">
        <f>IFERROR(VLOOKUP(J405,Capacity!$A$3:$D$532,4,), "0")</f>
        <v>0</v>
      </c>
      <c r="L405" s="4" t="str">
        <f>IFERROR(VLOOKUP(J405,Capacity!$A$3:$F$532,6,), "0")</f>
        <v>0</v>
      </c>
      <c r="M405" s="5">
        <f t="shared" si="60"/>
        <v>0</v>
      </c>
      <c r="N405" s="5">
        <f t="shared" si="61"/>
        <v>0</v>
      </c>
      <c r="O405">
        <v>311</v>
      </c>
      <c r="P405">
        <f>IFERROR(VLOOKUP(O405,Capacity!$A$3:$D$532,4,), "0")</f>
        <v>132.53593781250001</v>
      </c>
      <c r="Q405" s="4">
        <f>IFERROR(VLOOKUP(O405,Capacity!$A$3:$F$532,6,), "0")</f>
        <v>0.75</v>
      </c>
      <c r="R405" s="5">
        <f t="shared" si="65"/>
        <v>132.53593781250001</v>
      </c>
      <c r="S405" s="5">
        <f t="shared" si="66"/>
        <v>0.75</v>
      </c>
      <c r="T405">
        <v>261</v>
      </c>
      <c r="U405">
        <v>0</v>
      </c>
      <c r="V405">
        <v>0</v>
      </c>
      <c r="W405">
        <v>1</v>
      </c>
      <c r="X405">
        <f t="shared" si="62"/>
        <v>0</v>
      </c>
      <c r="Y405">
        <f t="shared" si="63"/>
        <v>0</v>
      </c>
      <c r="Z405">
        <f t="shared" si="67"/>
        <v>0</v>
      </c>
      <c r="AA405">
        <f t="shared" si="68"/>
        <v>0</v>
      </c>
      <c r="AC405">
        <f t="shared" si="69"/>
        <v>0</v>
      </c>
      <c r="AD405">
        <f t="shared" si="64"/>
        <v>0</v>
      </c>
    </row>
    <row r="406" spans="1:30" x14ac:dyDescent="0.25">
      <c r="A406">
        <v>512</v>
      </c>
      <c r="B406">
        <f>IFERROR(VLOOKUP(A406,Capacity!$A$3:$D$532,4,), "0")</f>
        <v>21.166480142499999</v>
      </c>
      <c r="C406" s="4">
        <f>IFERROR(VLOOKUP(A406,Capacity!$A$3:$F$532,6,), "0")</f>
        <v>0.17499999999999999</v>
      </c>
      <c r="E406" t="str">
        <f>IFERROR(VLOOKUP(D406,Capacity!$A$3:$D$532,4,), "0")</f>
        <v>0</v>
      </c>
      <c r="F406" s="4" t="str">
        <f>IFERROR(VLOOKUP(D406,Capacity!$A$3:$F$532,6,), "0")</f>
        <v>0</v>
      </c>
      <c r="H406" t="str">
        <f>IFERROR(VLOOKUP(G406,Capacity!$A$3:$D$532,4,), "0")</f>
        <v>0</v>
      </c>
      <c r="I406" s="4" t="str">
        <f>IFERROR(VLOOKUP(G406,Capacity!$A$3:$F$532,6,), "0")</f>
        <v>0</v>
      </c>
      <c r="K406" t="str">
        <f>IFERROR(VLOOKUP(J406,Capacity!$A$3:$D$532,4,), "0")</f>
        <v>0</v>
      </c>
      <c r="L406" s="4" t="str">
        <f>IFERROR(VLOOKUP(J406,Capacity!$A$3:$F$532,6,), "0")</f>
        <v>0</v>
      </c>
      <c r="M406" s="5">
        <f t="shared" si="60"/>
        <v>0</v>
      </c>
      <c r="N406" s="5">
        <f t="shared" si="61"/>
        <v>0</v>
      </c>
      <c r="O406">
        <v>33</v>
      </c>
      <c r="P406">
        <f>IFERROR(VLOOKUP(O406,Capacity!$A$3:$D$532,4,), "0")</f>
        <v>17.649467226800002</v>
      </c>
      <c r="Q406" s="4">
        <f>IFERROR(VLOOKUP(O406,Capacity!$A$3:$F$532,6,), "0")</f>
        <v>0.26500000000000001</v>
      </c>
      <c r="R406" s="5">
        <f t="shared" si="65"/>
        <v>17.649467226800002</v>
      </c>
      <c r="S406" s="5">
        <f t="shared" si="66"/>
        <v>0.26500000000000001</v>
      </c>
      <c r="T406">
        <v>512</v>
      </c>
      <c r="U406">
        <v>0</v>
      </c>
      <c r="V406">
        <v>0</v>
      </c>
      <c r="W406">
        <v>1</v>
      </c>
      <c r="X406">
        <f t="shared" si="62"/>
        <v>0</v>
      </c>
      <c r="Y406">
        <f t="shared" si="63"/>
        <v>0</v>
      </c>
      <c r="Z406">
        <f t="shared" si="67"/>
        <v>0</v>
      </c>
      <c r="AA406">
        <f t="shared" si="68"/>
        <v>0</v>
      </c>
      <c r="AC406">
        <f t="shared" si="69"/>
        <v>0</v>
      </c>
      <c r="AD406">
        <f t="shared" si="64"/>
        <v>0</v>
      </c>
    </row>
    <row r="407" spans="1:30" x14ac:dyDescent="0.25">
      <c r="A407">
        <v>393</v>
      </c>
      <c r="B407">
        <f>IFERROR(VLOOKUP(A407,Capacity!$A$3:$D$532,4,), "0")</f>
        <v>21.647536509374998</v>
      </c>
      <c r="C407" s="4">
        <f>IFERROR(VLOOKUP(A407,Capacity!$A$3:$F$532,6,), "0")</f>
        <v>0.17499999999999999</v>
      </c>
      <c r="E407" t="str">
        <f>IFERROR(VLOOKUP(D407,Capacity!$A$3:$D$532,4,), "0")</f>
        <v>0</v>
      </c>
      <c r="F407" s="4" t="str">
        <f>IFERROR(VLOOKUP(D407,Capacity!$A$3:$F$532,6,), "0")</f>
        <v>0</v>
      </c>
      <c r="H407" t="str">
        <f>IFERROR(VLOOKUP(G407,Capacity!$A$3:$D$532,4,), "0")</f>
        <v>0</v>
      </c>
      <c r="I407" s="4" t="str">
        <f>IFERROR(VLOOKUP(G407,Capacity!$A$3:$F$532,6,), "0")</f>
        <v>0</v>
      </c>
      <c r="K407" t="str">
        <f>IFERROR(VLOOKUP(J407,Capacity!$A$3:$D$532,4,), "0")</f>
        <v>0</v>
      </c>
      <c r="L407" s="4" t="str">
        <f>IFERROR(VLOOKUP(J407,Capacity!$A$3:$F$532,6,), "0")</f>
        <v>0</v>
      </c>
      <c r="M407" s="5">
        <f t="shared" si="60"/>
        <v>0</v>
      </c>
      <c r="N407" s="5">
        <f t="shared" si="61"/>
        <v>0</v>
      </c>
      <c r="O407">
        <v>33</v>
      </c>
      <c r="P407">
        <f>IFERROR(VLOOKUP(O407,Capacity!$A$3:$D$532,4,), "0")</f>
        <v>17.649467226800002</v>
      </c>
      <c r="Q407" s="4">
        <f>IFERROR(VLOOKUP(O407,Capacity!$A$3:$F$532,6,), "0")</f>
        <v>0.26500000000000001</v>
      </c>
      <c r="R407" s="5">
        <f t="shared" si="65"/>
        <v>17.649467226800002</v>
      </c>
      <c r="S407" s="5">
        <f t="shared" si="66"/>
        <v>0.26500000000000001</v>
      </c>
      <c r="T407">
        <v>393</v>
      </c>
      <c r="U407">
        <v>0</v>
      </c>
      <c r="V407">
        <v>0</v>
      </c>
      <c r="W407">
        <v>1</v>
      </c>
      <c r="X407">
        <f t="shared" si="62"/>
        <v>0</v>
      </c>
      <c r="Y407">
        <f t="shared" si="63"/>
        <v>0</v>
      </c>
      <c r="Z407">
        <f t="shared" si="67"/>
        <v>0</v>
      </c>
      <c r="AA407">
        <f t="shared" si="68"/>
        <v>0</v>
      </c>
      <c r="AC407">
        <f t="shared" si="69"/>
        <v>0</v>
      </c>
      <c r="AD407">
        <f t="shared" si="64"/>
        <v>0</v>
      </c>
    </row>
    <row r="408" spans="1:30" x14ac:dyDescent="0.25">
      <c r="A408">
        <v>32</v>
      </c>
      <c r="B408">
        <f>IFERROR(VLOOKUP(A408,Capacity!$A$3:$D$532,4,), "0")</f>
        <v>26.474200840200002</v>
      </c>
      <c r="C408" s="4">
        <f>IFERROR(VLOOKUP(A408,Capacity!$A$3:$F$532,6,), "0")</f>
        <v>0.26500000000000001</v>
      </c>
      <c r="D408">
        <v>510</v>
      </c>
      <c r="E408">
        <f>IFERROR(VLOOKUP(D408,Capacity!$A$3:$D$532,4,), "0")</f>
        <v>21.166480142499999</v>
      </c>
      <c r="F408" s="4">
        <f>IFERROR(VLOOKUP(D408,Capacity!$A$3:$F$532,6,), "0")</f>
        <v>0.17499999999999999</v>
      </c>
      <c r="G408">
        <v>31</v>
      </c>
      <c r="H408">
        <f>IFERROR(VLOOKUP(G408,Capacity!$A$3:$D$532,4,), "0")</f>
        <v>8.8247336134000012</v>
      </c>
      <c r="I408" s="4">
        <f>IFERROR(VLOOKUP(G408,Capacity!$A$3:$F$532,6,), "0")</f>
        <v>0.26500000000000001</v>
      </c>
      <c r="K408" t="str">
        <f>IFERROR(VLOOKUP(J408,Capacity!$A$3:$D$532,4,), "0")</f>
        <v>0</v>
      </c>
      <c r="L408" s="4" t="str">
        <f>IFERROR(VLOOKUP(J408,Capacity!$A$3:$F$532,6,), "0")</f>
        <v>0</v>
      </c>
      <c r="M408" s="5">
        <f t="shared" si="60"/>
        <v>29.991213755899999</v>
      </c>
      <c r="N408" s="5">
        <f t="shared" si="61"/>
        <v>0.44</v>
      </c>
      <c r="O408">
        <v>33</v>
      </c>
      <c r="P408">
        <f>IFERROR(VLOOKUP(O408,Capacity!$A$3:$D$532,4,), "0")</f>
        <v>17.649467226800002</v>
      </c>
      <c r="Q408" s="4">
        <f>IFERROR(VLOOKUP(O408,Capacity!$A$3:$F$532,6,), "0")</f>
        <v>0.26500000000000001</v>
      </c>
      <c r="R408" s="5">
        <f t="shared" si="65"/>
        <v>17.649467226800002</v>
      </c>
      <c r="S408" s="5">
        <f t="shared" si="66"/>
        <v>0.26500000000000001</v>
      </c>
      <c r="T408">
        <v>32</v>
      </c>
      <c r="U408">
        <v>2</v>
      </c>
      <c r="V408">
        <v>2</v>
      </c>
      <c r="W408">
        <v>1</v>
      </c>
      <c r="X408">
        <f t="shared" si="62"/>
        <v>1.699270202919188</v>
      </c>
      <c r="Y408">
        <f t="shared" si="63"/>
        <v>1.1328468019461255</v>
      </c>
      <c r="Z408">
        <f t="shared" si="67"/>
        <v>1.6603773584905659</v>
      </c>
      <c r="AA408">
        <f t="shared" si="68"/>
        <v>1.6603773584905659</v>
      </c>
      <c r="AC408">
        <f t="shared" si="69"/>
        <v>0.67970808116767523</v>
      </c>
      <c r="AD408">
        <f t="shared" si="64"/>
        <v>1.3594161623353505</v>
      </c>
    </row>
    <row r="409" spans="1:30" x14ac:dyDescent="0.25">
      <c r="A409">
        <v>332</v>
      </c>
      <c r="B409">
        <f>IFERROR(VLOOKUP(A409,Capacity!$A$3:$D$532,4,), "0")</f>
        <v>7.6969018699999987</v>
      </c>
      <c r="C409" s="4">
        <f>IFERROR(VLOOKUP(A409,Capacity!$A$3:$F$532,6,), "0")</f>
        <v>0.17499999999999999</v>
      </c>
      <c r="D409">
        <v>331</v>
      </c>
      <c r="E409">
        <f>IFERROR(VLOOKUP(D409,Capacity!$A$3:$D$532,4,), "0")</f>
        <v>7.6969018699999987</v>
      </c>
      <c r="F409" s="4">
        <f>IFERROR(VLOOKUP(D409,Capacity!$A$3:$F$532,6,), "0")</f>
        <v>0.17499999999999999</v>
      </c>
      <c r="H409" t="str">
        <f>IFERROR(VLOOKUP(G409,Capacity!$A$3:$D$532,4,), "0")</f>
        <v>0</v>
      </c>
      <c r="I409" s="4" t="str">
        <f>IFERROR(VLOOKUP(G409,Capacity!$A$3:$F$532,6,), "0")</f>
        <v>0</v>
      </c>
      <c r="K409" t="str">
        <f>IFERROR(VLOOKUP(J409,Capacity!$A$3:$D$532,4,), "0")</f>
        <v>0</v>
      </c>
      <c r="L409" s="4" t="str">
        <f>IFERROR(VLOOKUP(J409,Capacity!$A$3:$F$532,6,), "0")</f>
        <v>0</v>
      </c>
      <c r="M409" s="5">
        <f t="shared" si="60"/>
        <v>7.6969018699999987</v>
      </c>
      <c r="N409" s="5">
        <f t="shared" si="61"/>
        <v>0.17499999999999999</v>
      </c>
      <c r="O409">
        <v>333</v>
      </c>
      <c r="P409">
        <f>IFERROR(VLOOKUP(O409,Capacity!$A$3:$D$532,4,), "0")</f>
        <v>10.053096320000002</v>
      </c>
      <c r="Q409" s="4">
        <f>IFERROR(VLOOKUP(O409,Capacity!$A$3:$F$532,6,), "0")</f>
        <v>0.2</v>
      </c>
      <c r="R409" s="5">
        <f t="shared" si="65"/>
        <v>10.053096320000002</v>
      </c>
      <c r="S409" s="5">
        <f t="shared" si="66"/>
        <v>0.2</v>
      </c>
      <c r="T409">
        <v>332</v>
      </c>
      <c r="U409">
        <v>1</v>
      </c>
      <c r="V409">
        <v>1</v>
      </c>
      <c r="W409">
        <v>1</v>
      </c>
      <c r="X409">
        <f t="shared" si="62"/>
        <v>0.76562499999999978</v>
      </c>
      <c r="Y409">
        <f t="shared" si="63"/>
        <v>1</v>
      </c>
      <c r="Z409">
        <f t="shared" si="67"/>
        <v>0.87499999999999989</v>
      </c>
      <c r="AA409">
        <f t="shared" si="68"/>
        <v>1</v>
      </c>
      <c r="AC409">
        <f t="shared" si="69"/>
        <v>0.43362831858407075</v>
      </c>
      <c r="AD409">
        <f t="shared" si="64"/>
        <v>0.43362831858407075</v>
      </c>
    </row>
    <row r="410" spans="1:30" x14ac:dyDescent="0.25">
      <c r="A410">
        <v>71</v>
      </c>
      <c r="B410">
        <f>IFERROR(VLOOKUP(A410,Capacity!$A$3:$D$532,4,), "0")</f>
        <v>90.477866879999993</v>
      </c>
      <c r="C410" s="4">
        <f>IFERROR(VLOOKUP(A410,Capacity!$A$3:$F$532,6,), "0")</f>
        <v>0.6</v>
      </c>
      <c r="D410">
        <v>479</v>
      </c>
      <c r="E410">
        <f>IFERROR(VLOOKUP(D410,Capacity!$A$3:$D$532,4,), "0")</f>
        <v>21.647536509374998</v>
      </c>
      <c r="F410" s="4">
        <f>IFERROR(VLOOKUP(D410,Capacity!$A$3:$F$532,6,), "0")</f>
        <v>0.17499999999999999</v>
      </c>
      <c r="G410">
        <v>70</v>
      </c>
      <c r="H410">
        <f>IFERROR(VLOOKUP(G410,Capacity!$A$3:$D$532,4,), "0")</f>
        <v>124.40706696000001</v>
      </c>
      <c r="I410" s="4">
        <f>IFERROR(VLOOKUP(G410,Capacity!$A$3:$F$532,6,), "0")</f>
        <v>0.6</v>
      </c>
      <c r="K410" t="str">
        <f>IFERROR(VLOOKUP(J410,Capacity!$A$3:$D$532,4,), "0")</f>
        <v>0</v>
      </c>
      <c r="L410" s="4" t="str">
        <f>IFERROR(VLOOKUP(J410,Capacity!$A$3:$F$532,6,), "0")</f>
        <v>0</v>
      </c>
      <c r="M410" s="5">
        <f t="shared" si="60"/>
        <v>146.054603469375</v>
      </c>
      <c r="N410" s="5">
        <f t="shared" si="61"/>
        <v>0.77499999999999991</v>
      </c>
      <c r="O410">
        <v>72</v>
      </c>
      <c r="P410">
        <f>IFERROR(VLOOKUP(O410,Capacity!$A$3:$D$532,4,), "0")</f>
        <v>90.477866879999993</v>
      </c>
      <c r="Q410" s="4">
        <f>IFERROR(VLOOKUP(O410,Capacity!$A$3:$F$532,6,), "0")</f>
        <v>0.6</v>
      </c>
      <c r="R410" s="5">
        <f t="shared" si="65"/>
        <v>90.477866879999993</v>
      </c>
      <c r="S410" s="5">
        <f t="shared" si="66"/>
        <v>0.6</v>
      </c>
      <c r="T410">
        <v>71</v>
      </c>
      <c r="U410">
        <v>2</v>
      </c>
      <c r="V410">
        <v>2</v>
      </c>
      <c r="W410">
        <v>1</v>
      </c>
      <c r="X410">
        <f t="shared" si="62"/>
        <v>1.6142578125</v>
      </c>
      <c r="Y410">
        <f t="shared" si="63"/>
        <v>1.6142578125</v>
      </c>
      <c r="Z410">
        <f t="shared" si="67"/>
        <v>1.2916666666666665</v>
      </c>
      <c r="AA410">
        <f t="shared" si="68"/>
        <v>1.2916666666666665</v>
      </c>
      <c r="AC410">
        <f t="shared" si="69"/>
        <v>0.80712890625</v>
      </c>
      <c r="AD410">
        <f t="shared" si="64"/>
        <v>1.6142578125</v>
      </c>
    </row>
    <row r="411" spans="1:30" x14ac:dyDescent="0.25">
      <c r="A411">
        <v>227</v>
      </c>
      <c r="B411">
        <f>IFERROR(VLOOKUP(A411,Capacity!$A$3:$D$532,4,), "0")</f>
        <v>33.092751050250008</v>
      </c>
      <c r="C411" s="4">
        <f>IFERROR(VLOOKUP(A411,Capacity!$A$3:$F$532,6,), "0")</f>
        <v>0.26500000000000001</v>
      </c>
      <c r="D411">
        <v>390</v>
      </c>
      <c r="E411">
        <f>IFERROR(VLOOKUP(D411,Capacity!$A$3:$D$532,4,), "0")</f>
        <v>26.939156544999996</v>
      </c>
      <c r="F411" s="4">
        <f>IFERROR(VLOOKUP(D411,Capacity!$A$3:$F$532,6,), "0")</f>
        <v>0.17499999999999999</v>
      </c>
      <c r="G411">
        <v>273</v>
      </c>
      <c r="H411">
        <f>IFERROR(VLOOKUP(G411,Capacity!$A$3:$D$532,4,), "0")</f>
        <v>76.969018699999992</v>
      </c>
      <c r="I411" s="4">
        <f>IFERROR(VLOOKUP(G411,Capacity!$A$3:$F$532,6,), "0")</f>
        <v>0.17499999999999999</v>
      </c>
      <c r="K411" t="str">
        <f>IFERROR(VLOOKUP(J411,Capacity!$A$3:$D$532,4,), "0")</f>
        <v>0</v>
      </c>
      <c r="L411" s="4" t="str">
        <f>IFERROR(VLOOKUP(J411,Capacity!$A$3:$F$532,6,), "0")</f>
        <v>0</v>
      </c>
      <c r="M411" s="5">
        <f t="shared" si="60"/>
        <v>103.908175245</v>
      </c>
      <c r="N411" s="5">
        <f t="shared" si="61"/>
        <v>0.35</v>
      </c>
      <c r="O411">
        <v>226</v>
      </c>
      <c r="P411">
        <f>IFERROR(VLOOKUP(O411,Capacity!$A$3:$D$532,4,), "0")</f>
        <v>17.649467226800002</v>
      </c>
      <c r="Q411" s="4">
        <f>IFERROR(VLOOKUP(O411,Capacity!$A$3:$F$532,6,), "0")</f>
        <v>0.26500000000000001</v>
      </c>
      <c r="R411" s="5">
        <f t="shared" si="65"/>
        <v>17.649467226800002</v>
      </c>
      <c r="S411" s="5">
        <f t="shared" si="66"/>
        <v>0.26500000000000001</v>
      </c>
      <c r="T411">
        <v>227</v>
      </c>
      <c r="U411">
        <v>2</v>
      </c>
      <c r="V411">
        <v>2</v>
      </c>
      <c r="W411">
        <v>1</v>
      </c>
      <c r="X411">
        <f t="shared" si="62"/>
        <v>5.8873264506941965</v>
      </c>
      <c r="Y411">
        <f t="shared" si="63"/>
        <v>3.1399074403702376</v>
      </c>
      <c r="Z411">
        <f t="shared" si="67"/>
        <v>1.320754716981132</v>
      </c>
      <c r="AA411">
        <f t="shared" si="68"/>
        <v>1.320754716981132</v>
      </c>
      <c r="AC411">
        <f t="shared" si="69"/>
        <v>2.0477657219805896</v>
      </c>
      <c r="AD411">
        <f t="shared" si="64"/>
        <v>4.0955314439611792</v>
      </c>
    </row>
    <row r="412" spans="1:30" x14ac:dyDescent="0.25">
      <c r="A412">
        <v>511</v>
      </c>
      <c r="B412">
        <f>IFERROR(VLOOKUP(A412,Capacity!$A$3:$D$532,4,), "0")</f>
        <v>18.280141941249997</v>
      </c>
      <c r="C412" s="4">
        <f>IFERROR(VLOOKUP(A412,Capacity!$A$3:$F$532,6,), "0")</f>
        <v>0.17499999999999999</v>
      </c>
      <c r="E412" t="str">
        <f>IFERROR(VLOOKUP(D412,Capacity!$A$3:$D$532,4,), "0")</f>
        <v>0</v>
      </c>
      <c r="F412" s="4" t="str">
        <f>IFERROR(VLOOKUP(D412,Capacity!$A$3:$F$532,6,), "0")</f>
        <v>0</v>
      </c>
      <c r="H412" t="str">
        <f>IFERROR(VLOOKUP(G412,Capacity!$A$3:$D$532,4,), "0")</f>
        <v>0</v>
      </c>
      <c r="I412" s="4" t="str">
        <f>IFERROR(VLOOKUP(G412,Capacity!$A$3:$F$532,6,), "0")</f>
        <v>0</v>
      </c>
      <c r="K412" t="str">
        <f>IFERROR(VLOOKUP(J412,Capacity!$A$3:$D$532,4,), "0")</f>
        <v>0</v>
      </c>
      <c r="L412" s="4" t="str">
        <f>IFERROR(VLOOKUP(J412,Capacity!$A$3:$F$532,6,), "0")</f>
        <v>0</v>
      </c>
      <c r="M412" s="5">
        <f t="shared" si="60"/>
        <v>0</v>
      </c>
      <c r="N412" s="5">
        <f t="shared" si="61"/>
        <v>0</v>
      </c>
      <c r="O412">
        <v>327</v>
      </c>
      <c r="P412">
        <f>IFERROR(VLOOKUP(O412,Capacity!$A$3:$D$532,4,), "0")</f>
        <v>37.699111200000011</v>
      </c>
      <c r="Q412" s="4">
        <f>IFERROR(VLOOKUP(O412,Capacity!$A$3:$F$532,6,), "0")</f>
        <v>0.4</v>
      </c>
      <c r="R412" s="5">
        <f t="shared" si="65"/>
        <v>37.699111200000011</v>
      </c>
      <c r="S412" s="5">
        <f t="shared" si="66"/>
        <v>0.4</v>
      </c>
      <c r="T412">
        <v>511</v>
      </c>
      <c r="U412">
        <v>0</v>
      </c>
      <c r="V412">
        <v>0</v>
      </c>
      <c r="W412">
        <v>1</v>
      </c>
      <c r="X412">
        <f t="shared" si="62"/>
        <v>0</v>
      </c>
      <c r="Y412">
        <f t="shared" si="63"/>
        <v>0</v>
      </c>
      <c r="Z412">
        <f t="shared" si="67"/>
        <v>0</v>
      </c>
      <c r="AA412">
        <f t="shared" si="68"/>
        <v>0</v>
      </c>
      <c r="AC412">
        <f t="shared" si="69"/>
        <v>0</v>
      </c>
      <c r="AD412">
        <f t="shared" si="64"/>
        <v>0</v>
      </c>
    </row>
    <row r="413" spans="1:30" x14ac:dyDescent="0.25">
      <c r="A413">
        <v>501</v>
      </c>
      <c r="B413">
        <f>IFERROR(VLOOKUP(A413,Capacity!$A$3:$D$532,4,), "0")</f>
        <v>14.431691006249999</v>
      </c>
      <c r="C413" s="4">
        <f>IFERROR(VLOOKUP(A413,Capacity!$A$3:$F$532,6,), "0")</f>
        <v>0.17499999999999999</v>
      </c>
      <c r="E413" t="str">
        <f>IFERROR(VLOOKUP(D413,Capacity!$A$3:$D$532,4,), "0")</f>
        <v>0</v>
      </c>
      <c r="F413" s="4" t="str">
        <f>IFERROR(VLOOKUP(D413,Capacity!$A$3:$F$532,6,), "0")</f>
        <v>0</v>
      </c>
      <c r="H413" t="str">
        <f>IFERROR(VLOOKUP(G413,Capacity!$A$3:$D$532,4,), "0")</f>
        <v>0</v>
      </c>
      <c r="I413" s="4" t="str">
        <f>IFERROR(VLOOKUP(G413,Capacity!$A$3:$F$532,6,), "0")</f>
        <v>0</v>
      </c>
      <c r="K413" t="str">
        <f>IFERROR(VLOOKUP(J413,Capacity!$A$3:$D$532,4,), "0")</f>
        <v>0</v>
      </c>
      <c r="L413" s="4" t="str">
        <f>IFERROR(VLOOKUP(J413,Capacity!$A$3:$F$532,6,), "0")</f>
        <v>0</v>
      </c>
      <c r="M413" s="5">
        <f t="shared" si="60"/>
        <v>0</v>
      </c>
      <c r="N413" s="5">
        <f t="shared" si="61"/>
        <v>0</v>
      </c>
      <c r="O413">
        <v>327</v>
      </c>
      <c r="P413">
        <f>IFERROR(VLOOKUP(O413,Capacity!$A$3:$D$532,4,), "0")</f>
        <v>37.699111200000011</v>
      </c>
      <c r="Q413" s="4">
        <f>IFERROR(VLOOKUP(O413,Capacity!$A$3:$F$532,6,), "0")</f>
        <v>0.4</v>
      </c>
      <c r="R413" s="5">
        <f t="shared" si="65"/>
        <v>37.699111200000011</v>
      </c>
      <c r="S413" s="5">
        <f t="shared" si="66"/>
        <v>0.4</v>
      </c>
      <c r="T413">
        <v>501</v>
      </c>
      <c r="U413">
        <v>0</v>
      </c>
      <c r="V413">
        <v>0</v>
      </c>
      <c r="W413">
        <v>1</v>
      </c>
      <c r="X413">
        <f t="shared" si="62"/>
        <v>0</v>
      </c>
      <c r="Y413">
        <f t="shared" si="63"/>
        <v>0</v>
      </c>
      <c r="Z413">
        <f t="shared" si="67"/>
        <v>0</v>
      </c>
      <c r="AA413">
        <f t="shared" si="68"/>
        <v>0</v>
      </c>
      <c r="AC413">
        <f t="shared" si="69"/>
        <v>0</v>
      </c>
      <c r="AD413">
        <f t="shared" si="64"/>
        <v>0</v>
      </c>
    </row>
    <row r="414" spans="1:30" x14ac:dyDescent="0.25">
      <c r="A414">
        <v>329</v>
      </c>
      <c r="B414">
        <f>IFERROR(VLOOKUP(A414,Capacity!$A$3:$D$532,4,), "0")</f>
        <v>37.699111200000011</v>
      </c>
      <c r="C414" s="4">
        <f>IFERROR(VLOOKUP(A414,Capacity!$A$3:$F$532,6,), "0")</f>
        <v>0.4</v>
      </c>
      <c r="D414">
        <v>509</v>
      </c>
      <c r="E414">
        <f>IFERROR(VLOOKUP(D414,Capacity!$A$3:$D$532,4,), "0")</f>
        <v>18.761198308124996</v>
      </c>
      <c r="F414" s="4">
        <f>IFERROR(VLOOKUP(D414,Capacity!$A$3:$F$532,6,), "0")</f>
        <v>0.17499999999999999</v>
      </c>
      <c r="G414">
        <v>500</v>
      </c>
      <c r="H414">
        <f>IFERROR(VLOOKUP(G414,Capacity!$A$3:$D$532,4,), "0")</f>
        <v>14.431691006249999</v>
      </c>
      <c r="I414" s="4">
        <f>IFERROR(VLOOKUP(G414,Capacity!$A$3:$F$532,6,), "0")</f>
        <v>0.17499999999999999</v>
      </c>
      <c r="J414">
        <v>299</v>
      </c>
      <c r="K414">
        <f>IFERROR(VLOOKUP(J414,Capacity!$A$3:$D$532,4,), "0")</f>
        <v>40.212385280000007</v>
      </c>
      <c r="L414" s="4">
        <f>IFERROR(VLOOKUP(J414,Capacity!$A$3:$F$532,6,), "0")</f>
        <v>0.4</v>
      </c>
      <c r="M414" s="5">
        <f t="shared" si="60"/>
        <v>73.405274594375001</v>
      </c>
      <c r="N414" s="5">
        <f t="shared" si="61"/>
        <v>0.75</v>
      </c>
      <c r="O414">
        <v>327</v>
      </c>
      <c r="P414">
        <f>IFERROR(VLOOKUP(O414,Capacity!$A$3:$D$532,4,), "0")</f>
        <v>37.699111200000011</v>
      </c>
      <c r="Q414" s="4">
        <f>IFERROR(VLOOKUP(O414,Capacity!$A$3:$F$532,6,), "0")</f>
        <v>0.4</v>
      </c>
      <c r="R414" s="5">
        <f t="shared" si="65"/>
        <v>37.699111200000011</v>
      </c>
      <c r="S414" s="5">
        <f t="shared" si="66"/>
        <v>0.4</v>
      </c>
      <c r="T414">
        <v>329</v>
      </c>
      <c r="U414">
        <v>3</v>
      </c>
      <c r="V414">
        <v>3</v>
      </c>
      <c r="W414">
        <v>1</v>
      </c>
      <c r="X414">
        <f t="shared" si="62"/>
        <v>1.9471354166666661</v>
      </c>
      <c r="Y414">
        <f t="shared" si="63"/>
        <v>1.9471354166666661</v>
      </c>
      <c r="Z414">
        <f t="shared" si="67"/>
        <v>1.875</v>
      </c>
      <c r="AA414">
        <f t="shared" si="68"/>
        <v>1.875</v>
      </c>
      <c r="AC414">
        <f t="shared" si="69"/>
        <v>0.97356770833333306</v>
      </c>
      <c r="AD414">
        <f t="shared" si="64"/>
        <v>2.9207031249999993</v>
      </c>
    </row>
    <row r="415" spans="1:30" x14ac:dyDescent="0.25">
      <c r="A415">
        <v>309</v>
      </c>
      <c r="B415">
        <f>IFERROR(VLOOKUP(A415,Capacity!$A$3:$D$532,4,), "0")</f>
        <v>84.823000199999996</v>
      </c>
      <c r="C415" s="4">
        <f>IFERROR(VLOOKUP(A415,Capacity!$A$3:$F$532,6,), "0")</f>
        <v>0.6</v>
      </c>
      <c r="D415">
        <v>508</v>
      </c>
      <c r="E415">
        <f>IFERROR(VLOOKUP(D415,Capacity!$A$3:$D$532,4,), "0")</f>
        <v>14.431691006249999</v>
      </c>
      <c r="F415" s="4">
        <f>IFERROR(VLOOKUP(D415,Capacity!$A$3:$F$532,6,), "0")</f>
        <v>0.17499999999999999</v>
      </c>
      <c r="G415">
        <v>308</v>
      </c>
      <c r="H415">
        <f>IFERROR(VLOOKUP(G415,Capacity!$A$3:$D$532,4,), "0")</f>
        <v>84.823000199999996</v>
      </c>
      <c r="I415" s="4">
        <f>IFERROR(VLOOKUP(G415,Capacity!$A$3:$F$532,6,), "0")</f>
        <v>0.6</v>
      </c>
      <c r="J415">
        <v>263</v>
      </c>
      <c r="K415">
        <f>IFERROR(VLOOKUP(J415,Capacity!$A$3:$D$532,4,), "0")</f>
        <v>15.079644480000002</v>
      </c>
      <c r="L415" s="4">
        <f>IFERROR(VLOOKUP(J415,Capacity!$A$3:$F$532,6,), "0")</f>
        <v>0.2</v>
      </c>
      <c r="M415" s="5">
        <f t="shared" si="60"/>
        <v>114.33433568624999</v>
      </c>
      <c r="N415" s="5">
        <f t="shared" si="61"/>
        <v>0.97499999999999987</v>
      </c>
      <c r="O415">
        <v>310</v>
      </c>
      <c r="P415">
        <f>IFERROR(VLOOKUP(O415,Capacity!$A$3:$D$532,4,), "0")</f>
        <v>132.53593781250001</v>
      </c>
      <c r="Q415" s="4">
        <f>IFERROR(VLOOKUP(O415,Capacity!$A$3:$F$532,6,), "0")</f>
        <v>0.75</v>
      </c>
      <c r="R415" s="5">
        <f t="shared" si="65"/>
        <v>132.53593781250001</v>
      </c>
      <c r="S415" s="5">
        <f t="shared" si="66"/>
        <v>0.75</v>
      </c>
      <c r="T415">
        <v>309</v>
      </c>
      <c r="U415">
        <v>3</v>
      </c>
      <c r="V415">
        <v>3</v>
      </c>
      <c r="W415">
        <v>1</v>
      </c>
      <c r="X415">
        <f t="shared" si="62"/>
        <v>0.86266666666666647</v>
      </c>
      <c r="Y415">
        <f t="shared" si="63"/>
        <v>1.3479166666666667</v>
      </c>
      <c r="Z415">
        <f t="shared" si="67"/>
        <v>1.2999999999999998</v>
      </c>
      <c r="AA415">
        <f t="shared" si="68"/>
        <v>1.6249999999999998</v>
      </c>
      <c r="AC415">
        <f t="shared" si="69"/>
        <v>0.5260162601626015</v>
      </c>
      <c r="AD415">
        <f t="shared" si="64"/>
        <v>1.5780487804878045</v>
      </c>
    </row>
    <row r="416" spans="1:30" x14ac:dyDescent="0.25">
      <c r="A416">
        <v>262</v>
      </c>
      <c r="B416">
        <f>IFERROR(VLOOKUP(A416,Capacity!$A$3:$D$532,4,), "0")</f>
        <v>11.545352804999998</v>
      </c>
      <c r="C416" s="4">
        <f>IFERROR(VLOOKUP(A416,Capacity!$A$3:$F$532,6,), "0")</f>
        <v>0.17499999999999999</v>
      </c>
      <c r="E416" t="str">
        <f>IFERROR(VLOOKUP(D416,Capacity!$A$3:$D$532,4,), "0")</f>
        <v>0</v>
      </c>
      <c r="F416" s="4" t="str">
        <f>IFERROR(VLOOKUP(D416,Capacity!$A$3:$F$532,6,), "0")</f>
        <v>0</v>
      </c>
      <c r="H416" t="str">
        <f>IFERROR(VLOOKUP(G416,Capacity!$A$3:$D$532,4,), "0")</f>
        <v>0</v>
      </c>
      <c r="I416" s="4" t="str">
        <f>IFERROR(VLOOKUP(G416,Capacity!$A$3:$F$532,6,), "0")</f>
        <v>0</v>
      </c>
      <c r="K416" t="str">
        <f>IFERROR(VLOOKUP(J416,Capacity!$A$3:$D$532,4,), "0")</f>
        <v>0</v>
      </c>
      <c r="L416" s="4" t="str">
        <f>IFERROR(VLOOKUP(J416,Capacity!$A$3:$F$532,6,), "0")</f>
        <v>0</v>
      </c>
      <c r="M416" s="5">
        <f t="shared" si="60"/>
        <v>0</v>
      </c>
      <c r="N416" s="5">
        <f t="shared" si="61"/>
        <v>0</v>
      </c>
      <c r="O416">
        <v>310</v>
      </c>
      <c r="P416">
        <f>IFERROR(VLOOKUP(O416,Capacity!$A$3:$D$532,4,), "0")</f>
        <v>132.53593781250001</v>
      </c>
      <c r="Q416" s="4">
        <f>IFERROR(VLOOKUP(O416,Capacity!$A$3:$F$532,6,), "0")</f>
        <v>0.75</v>
      </c>
      <c r="R416" s="5">
        <f t="shared" si="65"/>
        <v>132.53593781250001</v>
      </c>
      <c r="S416" s="5">
        <f t="shared" si="66"/>
        <v>0.75</v>
      </c>
      <c r="T416">
        <v>262</v>
      </c>
      <c r="U416">
        <v>0</v>
      </c>
      <c r="V416">
        <v>0</v>
      </c>
      <c r="W416">
        <v>1</v>
      </c>
      <c r="X416">
        <f t="shared" si="62"/>
        <v>0</v>
      </c>
      <c r="Y416">
        <f t="shared" si="63"/>
        <v>0</v>
      </c>
      <c r="Z416">
        <f t="shared" si="67"/>
        <v>0</v>
      </c>
      <c r="AA416">
        <f t="shared" si="68"/>
        <v>0</v>
      </c>
      <c r="AC416">
        <f t="shared" si="69"/>
        <v>0</v>
      </c>
      <c r="AD416">
        <f t="shared" si="64"/>
        <v>0</v>
      </c>
    </row>
    <row r="417" spans="1:30" x14ac:dyDescent="0.25">
      <c r="A417">
        <v>510</v>
      </c>
      <c r="B417">
        <f>IFERROR(VLOOKUP(A417,Capacity!$A$3:$D$532,4,), "0")</f>
        <v>21.166480142499999</v>
      </c>
      <c r="C417" s="4">
        <f>IFERROR(VLOOKUP(A417,Capacity!$A$3:$F$532,6,), "0")</f>
        <v>0.17499999999999999</v>
      </c>
      <c r="E417" t="str">
        <f>IFERROR(VLOOKUP(D417,Capacity!$A$3:$D$532,4,), "0")</f>
        <v>0</v>
      </c>
      <c r="F417" s="4" t="str">
        <f>IFERROR(VLOOKUP(D417,Capacity!$A$3:$F$532,6,), "0")</f>
        <v>0</v>
      </c>
      <c r="H417" t="str">
        <f>IFERROR(VLOOKUP(G417,Capacity!$A$3:$D$532,4,), "0")</f>
        <v>0</v>
      </c>
      <c r="I417" s="4" t="str">
        <f>IFERROR(VLOOKUP(G417,Capacity!$A$3:$F$532,6,), "0")</f>
        <v>0</v>
      </c>
      <c r="K417" t="str">
        <f>IFERROR(VLOOKUP(J417,Capacity!$A$3:$D$532,4,), "0")</f>
        <v>0</v>
      </c>
      <c r="L417" s="4" t="str">
        <f>IFERROR(VLOOKUP(J417,Capacity!$A$3:$F$532,6,), "0")</f>
        <v>0</v>
      </c>
      <c r="M417" s="5">
        <f t="shared" si="60"/>
        <v>0</v>
      </c>
      <c r="N417" s="5">
        <f t="shared" si="61"/>
        <v>0</v>
      </c>
      <c r="O417">
        <v>32</v>
      </c>
      <c r="P417">
        <f>IFERROR(VLOOKUP(O417,Capacity!$A$3:$D$532,4,), "0")</f>
        <v>26.474200840200002</v>
      </c>
      <c r="Q417" s="4">
        <f>IFERROR(VLOOKUP(O417,Capacity!$A$3:$F$532,6,), "0")</f>
        <v>0.26500000000000001</v>
      </c>
      <c r="R417" s="5">
        <f t="shared" si="65"/>
        <v>26.474200840200002</v>
      </c>
      <c r="S417" s="5">
        <f t="shared" si="66"/>
        <v>0.26500000000000001</v>
      </c>
      <c r="T417">
        <v>510</v>
      </c>
      <c r="U417">
        <v>0</v>
      </c>
      <c r="V417">
        <v>0</v>
      </c>
      <c r="W417">
        <v>1</v>
      </c>
      <c r="X417">
        <f t="shared" si="62"/>
        <v>0</v>
      </c>
      <c r="Y417">
        <f t="shared" si="63"/>
        <v>0</v>
      </c>
      <c r="Z417">
        <f t="shared" si="67"/>
        <v>0</v>
      </c>
      <c r="AA417">
        <f t="shared" si="68"/>
        <v>0</v>
      </c>
      <c r="AC417">
        <f t="shared" si="69"/>
        <v>0</v>
      </c>
      <c r="AD417">
        <f t="shared" si="64"/>
        <v>0</v>
      </c>
    </row>
    <row r="418" spans="1:30" x14ac:dyDescent="0.25">
      <c r="A418">
        <v>31</v>
      </c>
      <c r="B418">
        <f>IFERROR(VLOOKUP(A418,Capacity!$A$3:$D$532,4,), "0")</f>
        <v>8.8247336134000012</v>
      </c>
      <c r="C418" s="4">
        <f>IFERROR(VLOOKUP(A418,Capacity!$A$3:$F$532,6,), "0")</f>
        <v>0.26500000000000001</v>
      </c>
      <c r="D418">
        <v>391</v>
      </c>
      <c r="E418">
        <f>IFERROR(VLOOKUP(D418,Capacity!$A$3:$D$532,4,), "0")</f>
        <v>21.647536509374998</v>
      </c>
      <c r="F418" s="4">
        <f>IFERROR(VLOOKUP(D418,Capacity!$A$3:$F$532,6,), "0")</f>
        <v>0.17499999999999999</v>
      </c>
      <c r="G418">
        <v>30</v>
      </c>
      <c r="H418">
        <f>IFERROR(VLOOKUP(G418,Capacity!$A$3:$D$532,4,), "0")</f>
        <v>17.649467226800002</v>
      </c>
      <c r="I418" s="4">
        <f>IFERROR(VLOOKUP(G418,Capacity!$A$3:$F$532,6,), "0")</f>
        <v>0.26500000000000001</v>
      </c>
      <c r="K418" t="str">
        <f>IFERROR(VLOOKUP(J418,Capacity!$A$3:$D$532,4,), "0")</f>
        <v>0</v>
      </c>
      <c r="L418" s="4" t="str">
        <f>IFERROR(VLOOKUP(J418,Capacity!$A$3:$F$532,6,), "0")</f>
        <v>0</v>
      </c>
      <c r="M418" s="5">
        <f t="shared" si="60"/>
        <v>39.297003736175</v>
      </c>
      <c r="N418" s="5">
        <f t="shared" si="61"/>
        <v>0.44</v>
      </c>
      <c r="O418">
        <v>32</v>
      </c>
      <c r="P418">
        <f>IFERROR(VLOOKUP(O418,Capacity!$A$3:$D$532,4,), "0")</f>
        <v>26.474200840200002</v>
      </c>
      <c r="Q418" s="4">
        <f>IFERROR(VLOOKUP(O418,Capacity!$A$3:$F$532,6,), "0")</f>
        <v>0.26500000000000001</v>
      </c>
      <c r="R418" s="5">
        <f t="shared" si="65"/>
        <v>26.474200840200002</v>
      </c>
      <c r="S418" s="5">
        <f t="shared" si="66"/>
        <v>0.26500000000000001</v>
      </c>
      <c r="T418">
        <v>31</v>
      </c>
      <c r="U418">
        <v>2</v>
      </c>
      <c r="V418">
        <v>2</v>
      </c>
      <c r="W418">
        <v>1</v>
      </c>
      <c r="X418">
        <f t="shared" si="62"/>
        <v>1.4843508959297496</v>
      </c>
      <c r="Y418">
        <f t="shared" si="63"/>
        <v>4.4530526877892482</v>
      </c>
      <c r="Z418">
        <f t="shared" si="67"/>
        <v>1.6603773584905659</v>
      </c>
      <c r="AA418">
        <f t="shared" si="68"/>
        <v>1.6603773584905659</v>
      </c>
      <c r="AC418">
        <f t="shared" si="69"/>
        <v>1.1132631719473121</v>
      </c>
      <c r="AD418">
        <f t="shared" si="64"/>
        <v>2.2265263438946241</v>
      </c>
    </row>
    <row r="419" spans="1:30" x14ac:dyDescent="0.25">
      <c r="A419">
        <v>331</v>
      </c>
      <c r="B419">
        <f>IFERROR(VLOOKUP(A419,Capacity!$A$3:$D$532,4,), "0")</f>
        <v>7.6969018699999987</v>
      </c>
      <c r="C419" s="4">
        <f>IFERROR(VLOOKUP(A419,Capacity!$A$3:$F$532,6,), "0")</f>
        <v>0.17499999999999999</v>
      </c>
      <c r="D419">
        <v>330</v>
      </c>
      <c r="E419">
        <f>IFERROR(VLOOKUP(D419,Capacity!$A$3:$D$532,4,), "0")</f>
        <v>7.6969018699999987</v>
      </c>
      <c r="F419" s="4">
        <f>IFERROR(VLOOKUP(D419,Capacity!$A$3:$F$532,6,), "0")</f>
        <v>0.17499999999999999</v>
      </c>
      <c r="H419" t="str">
        <f>IFERROR(VLOOKUP(G419,Capacity!$A$3:$D$532,4,), "0")</f>
        <v>0</v>
      </c>
      <c r="I419" s="4" t="str">
        <f>IFERROR(VLOOKUP(G419,Capacity!$A$3:$F$532,6,), "0")</f>
        <v>0</v>
      </c>
      <c r="K419" t="str">
        <f>IFERROR(VLOOKUP(J419,Capacity!$A$3:$D$532,4,), "0")</f>
        <v>0</v>
      </c>
      <c r="L419" s="4" t="str">
        <f>IFERROR(VLOOKUP(J419,Capacity!$A$3:$F$532,6,), "0")</f>
        <v>0</v>
      </c>
      <c r="M419" s="5">
        <f t="shared" si="60"/>
        <v>7.6969018699999987</v>
      </c>
      <c r="N419" s="5">
        <f t="shared" si="61"/>
        <v>0.17499999999999999</v>
      </c>
      <c r="O419">
        <v>332</v>
      </c>
      <c r="P419">
        <f>IFERROR(VLOOKUP(O419,Capacity!$A$3:$D$532,4,), "0")</f>
        <v>7.6969018699999987</v>
      </c>
      <c r="Q419" s="4">
        <f>IFERROR(VLOOKUP(O419,Capacity!$A$3:$F$532,6,), "0")</f>
        <v>0.17499999999999999</v>
      </c>
      <c r="R419" s="5">
        <f t="shared" si="65"/>
        <v>7.6969018699999987</v>
      </c>
      <c r="S419" s="5">
        <f t="shared" si="66"/>
        <v>0.17499999999999999</v>
      </c>
      <c r="T419">
        <v>331</v>
      </c>
      <c r="U419">
        <v>1</v>
      </c>
      <c r="V419">
        <v>1</v>
      </c>
      <c r="W419">
        <v>1</v>
      </c>
      <c r="X419">
        <f t="shared" si="62"/>
        <v>1</v>
      </c>
      <c r="Y419">
        <f t="shared" si="63"/>
        <v>1</v>
      </c>
      <c r="Z419">
        <f t="shared" si="67"/>
        <v>1</v>
      </c>
      <c r="AA419">
        <f t="shared" si="68"/>
        <v>1</v>
      </c>
      <c r="AC419">
        <f t="shared" si="69"/>
        <v>0.5</v>
      </c>
      <c r="AD419">
        <f t="shared" si="64"/>
        <v>0.5</v>
      </c>
    </row>
    <row r="420" spans="1:30" x14ac:dyDescent="0.25">
      <c r="A420">
        <v>479</v>
      </c>
      <c r="B420">
        <f>IFERROR(VLOOKUP(A420,Capacity!$A$3:$D$532,4,), "0")</f>
        <v>21.647536509374998</v>
      </c>
      <c r="C420" s="4">
        <f>IFERROR(VLOOKUP(A420,Capacity!$A$3:$F$532,6,), "0")</f>
        <v>0.17499999999999999</v>
      </c>
      <c r="E420" t="str">
        <f>IFERROR(VLOOKUP(D420,Capacity!$A$3:$D$532,4,), "0")</f>
        <v>0</v>
      </c>
      <c r="F420" s="4" t="str">
        <f>IFERROR(VLOOKUP(D420,Capacity!$A$3:$F$532,6,), "0")</f>
        <v>0</v>
      </c>
      <c r="H420" t="str">
        <f>IFERROR(VLOOKUP(G420,Capacity!$A$3:$D$532,4,), "0")</f>
        <v>0</v>
      </c>
      <c r="I420" s="4" t="str">
        <f>IFERROR(VLOOKUP(G420,Capacity!$A$3:$F$532,6,), "0")</f>
        <v>0</v>
      </c>
      <c r="K420" t="str">
        <f>IFERROR(VLOOKUP(J420,Capacity!$A$3:$D$532,4,), "0")</f>
        <v>0</v>
      </c>
      <c r="L420" s="4" t="str">
        <f>IFERROR(VLOOKUP(J420,Capacity!$A$3:$F$532,6,), "0")</f>
        <v>0</v>
      </c>
      <c r="M420" s="5">
        <f t="shared" si="60"/>
        <v>0</v>
      </c>
      <c r="N420" s="5">
        <f t="shared" si="61"/>
        <v>0</v>
      </c>
      <c r="O420">
        <v>71</v>
      </c>
      <c r="P420">
        <f>IFERROR(VLOOKUP(O420,Capacity!$A$3:$D$532,4,), "0")</f>
        <v>90.477866879999993</v>
      </c>
      <c r="Q420" s="4">
        <f>IFERROR(VLOOKUP(O420,Capacity!$A$3:$F$532,6,), "0")</f>
        <v>0.6</v>
      </c>
      <c r="R420" s="5">
        <f t="shared" si="65"/>
        <v>90.477866879999993</v>
      </c>
      <c r="S420" s="5">
        <f t="shared" si="66"/>
        <v>0.6</v>
      </c>
      <c r="T420">
        <v>479</v>
      </c>
      <c r="U420">
        <v>0</v>
      </c>
      <c r="V420">
        <v>0</v>
      </c>
      <c r="W420">
        <v>1</v>
      </c>
      <c r="X420">
        <f t="shared" si="62"/>
        <v>0</v>
      </c>
      <c r="Y420">
        <f t="shared" si="63"/>
        <v>0</v>
      </c>
      <c r="Z420">
        <f t="shared" si="67"/>
        <v>0</v>
      </c>
      <c r="AA420">
        <f t="shared" si="68"/>
        <v>0</v>
      </c>
      <c r="AC420">
        <f t="shared" si="69"/>
        <v>0</v>
      </c>
      <c r="AD420">
        <f t="shared" si="64"/>
        <v>0</v>
      </c>
    </row>
    <row r="421" spans="1:30" x14ac:dyDescent="0.25">
      <c r="A421">
        <v>70</v>
      </c>
      <c r="B421">
        <f>IFERROR(VLOOKUP(A421,Capacity!$A$3:$D$532,4,), "0")</f>
        <v>124.40706696000001</v>
      </c>
      <c r="C421" s="4">
        <f>IFERROR(VLOOKUP(A421,Capacity!$A$3:$F$532,6,), "0")</f>
        <v>0.6</v>
      </c>
      <c r="D421">
        <v>29</v>
      </c>
      <c r="E421">
        <f>IFERROR(VLOOKUP(D421,Capacity!$A$3:$D$532,4,), "0")</f>
        <v>260.12386727999996</v>
      </c>
      <c r="F421" s="4">
        <f>IFERROR(VLOOKUP(D421,Capacity!$A$3:$F$532,6,), "0")</f>
        <v>0.6</v>
      </c>
      <c r="H421" t="str">
        <f>IFERROR(VLOOKUP(G421,Capacity!$A$3:$D$532,4,), "0")</f>
        <v>0</v>
      </c>
      <c r="I421" s="4" t="str">
        <f>IFERROR(VLOOKUP(G421,Capacity!$A$3:$F$532,6,), "0")</f>
        <v>0</v>
      </c>
      <c r="K421" t="str">
        <f>IFERROR(VLOOKUP(J421,Capacity!$A$3:$D$532,4,), "0")</f>
        <v>0</v>
      </c>
      <c r="L421" s="4" t="str">
        <f>IFERROR(VLOOKUP(J421,Capacity!$A$3:$F$532,6,), "0")</f>
        <v>0</v>
      </c>
      <c r="M421" s="5">
        <f t="shared" si="60"/>
        <v>260.12386727999996</v>
      </c>
      <c r="N421" s="5">
        <f t="shared" si="61"/>
        <v>0.6</v>
      </c>
      <c r="O421">
        <v>71</v>
      </c>
      <c r="P421">
        <f>IFERROR(VLOOKUP(O421,Capacity!$A$3:$D$532,4,), "0")</f>
        <v>90.477866879999993</v>
      </c>
      <c r="Q421" s="4">
        <f>IFERROR(VLOOKUP(O421,Capacity!$A$3:$F$532,6,), "0")</f>
        <v>0.6</v>
      </c>
      <c r="R421" s="5">
        <f t="shared" si="65"/>
        <v>90.477866879999993</v>
      </c>
      <c r="S421" s="5">
        <f t="shared" si="66"/>
        <v>0.6</v>
      </c>
      <c r="T421">
        <v>70</v>
      </c>
      <c r="U421">
        <v>1</v>
      </c>
      <c r="V421">
        <v>1</v>
      </c>
      <c r="W421">
        <v>1</v>
      </c>
      <c r="X421">
        <f t="shared" si="62"/>
        <v>2.8749999999999996</v>
      </c>
      <c r="Y421">
        <f t="shared" si="63"/>
        <v>2.0909090909090904</v>
      </c>
      <c r="Z421">
        <f t="shared" si="67"/>
        <v>1</v>
      </c>
      <c r="AA421">
        <f t="shared" si="68"/>
        <v>1</v>
      </c>
      <c r="AC421">
        <f t="shared" si="69"/>
        <v>1.2105263157894735</v>
      </c>
      <c r="AD421">
        <f t="shared" si="64"/>
        <v>1.2105263157894735</v>
      </c>
    </row>
    <row r="422" spans="1:30" x14ac:dyDescent="0.25">
      <c r="A422">
        <v>390</v>
      </c>
      <c r="B422">
        <f>IFERROR(VLOOKUP(A422,Capacity!$A$3:$D$532,4,), "0")</f>
        <v>26.939156544999996</v>
      </c>
      <c r="C422" s="4">
        <f>IFERROR(VLOOKUP(A422,Capacity!$A$3:$F$532,6,), "0")</f>
        <v>0.17499999999999999</v>
      </c>
      <c r="E422" t="str">
        <f>IFERROR(VLOOKUP(D422,Capacity!$A$3:$D$532,4,), "0")</f>
        <v>0</v>
      </c>
      <c r="F422" s="4" t="str">
        <f>IFERROR(VLOOKUP(D422,Capacity!$A$3:$F$532,6,), "0")</f>
        <v>0</v>
      </c>
      <c r="H422" t="str">
        <f>IFERROR(VLOOKUP(G422,Capacity!$A$3:$D$532,4,), "0")</f>
        <v>0</v>
      </c>
      <c r="I422" s="4" t="str">
        <f>IFERROR(VLOOKUP(G422,Capacity!$A$3:$F$532,6,), "0")</f>
        <v>0</v>
      </c>
      <c r="K422" t="str">
        <f>IFERROR(VLOOKUP(J422,Capacity!$A$3:$D$532,4,), "0")</f>
        <v>0</v>
      </c>
      <c r="L422" s="4" t="str">
        <f>IFERROR(VLOOKUP(J422,Capacity!$A$3:$F$532,6,), "0")</f>
        <v>0</v>
      </c>
      <c r="M422" s="5">
        <f t="shared" si="60"/>
        <v>0</v>
      </c>
      <c r="N422" s="5">
        <f t="shared" si="61"/>
        <v>0</v>
      </c>
      <c r="O422">
        <v>227</v>
      </c>
      <c r="P422">
        <f>IFERROR(VLOOKUP(O422,Capacity!$A$3:$D$532,4,), "0")</f>
        <v>33.092751050250008</v>
      </c>
      <c r="Q422" s="4">
        <f>IFERROR(VLOOKUP(O422,Capacity!$A$3:$F$532,6,), "0")</f>
        <v>0.26500000000000001</v>
      </c>
      <c r="R422" s="5">
        <f t="shared" si="65"/>
        <v>33.092751050250008</v>
      </c>
      <c r="S422" s="5">
        <f t="shared" si="66"/>
        <v>0.26500000000000001</v>
      </c>
      <c r="T422">
        <v>390</v>
      </c>
      <c r="U422">
        <v>0</v>
      </c>
      <c r="V422">
        <v>0</v>
      </c>
      <c r="W422">
        <v>1</v>
      </c>
      <c r="X422">
        <f t="shared" si="62"/>
        <v>0</v>
      </c>
      <c r="Y422">
        <f t="shared" si="63"/>
        <v>0</v>
      </c>
      <c r="Z422">
        <f t="shared" si="67"/>
        <v>0</v>
      </c>
      <c r="AA422">
        <f t="shared" si="68"/>
        <v>0</v>
      </c>
      <c r="AC422">
        <f t="shared" si="69"/>
        <v>0</v>
      </c>
      <c r="AD422">
        <f t="shared" si="64"/>
        <v>0</v>
      </c>
    </row>
    <row r="423" spans="1:30" x14ac:dyDescent="0.25">
      <c r="A423">
        <v>273</v>
      </c>
      <c r="B423">
        <f>IFERROR(VLOOKUP(A423,Capacity!$A$3:$D$532,4,), "0")</f>
        <v>76.969018699999992</v>
      </c>
      <c r="C423" s="4">
        <f>IFERROR(VLOOKUP(A423,Capacity!$A$3:$F$532,6,), "0")</f>
        <v>0.17499999999999999</v>
      </c>
      <c r="E423" t="str">
        <f>IFERROR(VLOOKUP(D423,Capacity!$A$3:$D$532,4,), "0")</f>
        <v>0</v>
      </c>
      <c r="F423" s="4" t="str">
        <f>IFERROR(VLOOKUP(D423,Capacity!$A$3:$F$532,6,), "0")</f>
        <v>0</v>
      </c>
      <c r="H423" t="str">
        <f>IFERROR(VLOOKUP(G423,Capacity!$A$3:$D$532,4,), "0")</f>
        <v>0</v>
      </c>
      <c r="I423" s="4" t="str">
        <f>IFERROR(VLOOKUP(G423,Capacity!$A$3:$F$532,6,), "0")</f>
        <v>0</v>
      </c>
      <c r="K423" t="str">
        <f>IFERROR(VLOOKUP(J423,Capacity!$A$3:$D$532,4,), "0")</f>
        <v>0</v>
      </c>
      <c r="L423" s="4" t="str">
        <f>IFERROR(VLOOKUP(J423,Capacity!$A$3:$F$532,6,), "0")</f>
        <v>0</v>
      </c>
      <c r="M423" s="5">
        <f t="shared" si="60"/>
        <v>0</v>
      </c>
      <c r="N423" s="5">
        <f t="shared" si="61"/>
        <v>0</v>
      </c>
      <c r="O423">
        <v>227</v>
      </c>
      <c r="P423">
        <f>IFERROR(VLOOKUP(O423,Capacity!$A$3:$D$532,4,), "0")</f>
        <v>33.092751050250008</v>
      </c>
      <c r="Q423" s="4">
        <f>IFERROR(VLOOKUP(O423,Capacity!$A$3:$F$532,6,), "0")</f>
        <v>0.26500000000000001</v>
      </c>
      <c r="R423" s="5">
        <f t="shared" si="65"/>
        <v>33.092751050250008</v>
      </c>
      <c r="S423" s="5">
        <f t="shared" si="66"/>
        <v>0.26500000000000001</v>
      </c>
      <c r="T423">
        <v>273</v>
      </c>
      <c r="U423">
        <v>0</v>
      </c>
      <c r="V423">
        <v>0</v>
      </c>
      <c r="W423">
        <v>1</v>
      </c>
      <c r="X423">
        <f t="shared" si="62"/>
        <v>0</v>
      </c>
      <c r="Y423">
        <f t="shared" si="63"/>
        <v>0</v>
      </c>
      <c r="Z423">
        <f t="shared" si="67"/>
        <v>0</v>
      </c>
      <c r="AA423">
        <f t="shared" si="68"/>
        <v>0</v>
      </c>
      <c r="AC423">
        <f t="shared" si="69"/>
        <v>0</v>
      </c>
      <c r="AD423">
        <f t="shared" si="64"/>
        <v>0</v>
      </c>
    </row>
    <row r="424" spans="1:30" x14ac:dyDescent="0.25">
      <c r="A424">
        <v>509</v>
      </c>
      <c r="B424">
        <f>IFERROR(VLOOKUP(A424,Capacity!$A$3:$D$532,4,), "0")</f>
        <v>18.761198308124996</v>
      </c>
      <c r="C424" s="4">
        <f>IFERROR(VLOOKUP(A424,Capacity!$A$3:$F$532,6,), "0")</f>
        <v>0.17499999999999999</v>
      </c>
      <c r="E424" t="str">
        <f>IFERROR(VLOOKUP(D424,Capacity!$A$3:$D$532,4,), "0")</f>
        <v>0</v>
      </c>
      <c r="F424" s="4" t="str">
        <f>IFERROR(VLOOKUP(D424,Capacity!$A$3:$F$532,6,), "0")</f>
        <v>0</v>
      </c>
      <c r="H424" t="str">
        <f>IFERROR(VLOOKUP(G424,Capacity!$A$3:$D$532,4,), "0")</f>
        <v>0</v>
      </c>
      <c r="I424" s="4" t="str">
        <f>IFERROR(VLOOKUP(G424,Capacity!$A$3:$F$532,6,), "0")</f>
        <v>0</v>
      </c>
      <c r="K424" t="str">
        <f>IFERROR(VLOOKUP(J424,Capacity!$A$3:$D$532,4,), "0")</f>
        <v>0</v>
      </c>
      <c r="L424" s="4" t="str">
        <f>IFERROR(VLOOKUP(J424,Capacity!$A$3:$F$532,6,), "0")</f>
        <v>0</v>
      </c>
      <c r="M424" s="5">
        <f t="shared" si="60"/>
        <v>0</v>
      </c>
      <c r="N424" s="5">
        <f t="shared" si="61"/>
        <v>0</v>
      </c>
      <c r="O424">
        <v>329</v>
      </c>
      <c r="P424">
        <f>IFERROR(VLOOKUP(O424,Capacity!$A$3:$D$532,4,), "0")</f>
        <v>37.699111200000011</v>
      </c>
      <c r="Q424" s="4">
        <f>IFERROR(VLOOKUP(O424,Capacity!$A$3:$F$532,6,), "0")</f>
        <v>0.4</v>
      </c>
      <c r="R424" s="5">
        <f t="shared" si="65"/>
        <v>37.699111200000011</v>
      </c>
      <c r="S424" s="5">
        <f t="shared" si="66"/>
        <v>0.4</v>
      </c>
      <c r="T424">
        <v>509</v>
      </c>
      <c r="U424">
        <v>0</v>
      </c>
      <c r="V424">
        <v>0</v>
      </c>
      <c r="W424">
        <v>1</v>
      </c>
      <c r="X424">
        <f t="shared" si="62"/>
        <v>0</v>
      </c>
      <c r="Y424">
        <f t="shared" si="63"/>
        <v>0</v>
      </c>
      <c r="Z424">
        <f t="shared" si="67"/>
        <v>0</v>
      </c>
      <c r="AA424">
        <f t="shared" si="68"/>
        <v>0</v>
      </c>
      <c r="AC424">
        <f t="shared" si="69"/>
        <v>0</v>
      </c>
      <c r="AD424">
        <f t="shared" si="64"/>
        <v>0</v>
      </c>
    </row>
    <row r="425" spans="1:30" x14ac:dyDescent="0.25">
      <c r="A425">
        <v>500</v>
      </c>
      <c r="B425">
        <f>IFERROR(VLOOKUP(A425,Capacity!$A$3:$D$532,4,), "0")</f>
        <v>14.431691006249999</v>
      </c>
      <c r="C425" s="4">
        <f>IFERROR(VLOOKUP(A425,Capacity!$A$3:$F$532,6,), "0")</f>
        <v>0.17499999999999999</v>
      </c>
      <c r="E425" t="str">
        <f>IFERROR(VLOOKUP(D425,Capacity!$A$3:$D$532,4,), "0")</f>
        <v>0</v>
      </c>
      <c r="F425" s="4" t="str">
        <f>IFERROR(VLOOKUP(D425,Capacity!$A$3:$F$532,6,), "0")</f>
        <v>0</v>
      </c>
      <c r="H425" t="str">
        <f>IFERROR(VLOOKUP(G425,Capacity!$A$3:$D$532,4,), "0")</f>
        <v>0</v>
      </c>
      <c r="I425" s="4" t="str">
        <f>IFERROR(VLOOKUP(G425,Capacity!$A$3:$F$532,6,), "0")</f>
        <v>0</v>
      </c>
      <c r="K425" t="str">
        <f>IFERROR(VLOOKUP(J425,Capacity!$A$3:$D$532,4,), "0")</f>
        <v>0</v>
      </c>
      <c r="L425" s="4" t="str">
        <f>IFERROR(VLOOKUP(J425,Capacity!$A$3:$F$532,6,), "0")</f>
        <v>0</v>
      </c>
      <c r="M425" s="5">
        <f t="shared" si="60"/>
        <v>0</v>
      </c>
      <c r="N425" s="5">
        <f t="shared" si="61"/>
        <v>0</v>
      </c>
      <c r="O425">
        <v>329</v>
      </c>
      <c r="P425">
        <f>IFERROR(VLOOKUP(O425,Capacity!$A$3:$D$532,4,), "0")</f>
        <v>37.699111200000011</v>
      </c>
      <c r="Q425" s="4">
        <f>IFERROR(VLOOKUP(O425,Capacity!$A$3:$F$532,6,), "0")</f>
        <v>0.4</v>
      </c>
      <c r="R425" s="5">
        <f t="shared" si="65"/>
        <v>37.699111200000011</v>
      </c>
      <c r="S425" s="5">
        <f t="shared" si="66"/>
        <v>0.4</v>
      </c>
      <c r="T425">
        <v>500</v>
      </c>
      <c r="U425">
        <v>0</v>
      </c>
      <c r="V425">
        <v>0</v>
      </c>
      <c r="W425">
        <v>1</v>
      </c>
      <c r="X425">
        <f t="shared" si="62"/>
        <v>0</v>
      </c>
      <c r="Y425">
        <f t="shared" si="63"/>
        <v>0</v>
      </c>
      <c r="Z425">
        <f t="shared" si="67"/>
        <v>0</v>
      </c>
      <c r="AA425">
        <f t="shared" si="68"/>
        <v>0</v>
      </c>
      <c r="AC425">
        <f t="shared" si="69"/>
        <v>0</v>
      </c>
      <c r="AD425">
        <f t="shared" si="64"/>
        <v>0</v>
      </c>
    </row>
    <row r="426" spans="1:30" x14ac:dyDescent="0.25">
      <c r="A426">
        <v>299</v>
      </c>
      <c r="B426">
        <f>IFERROR(VLOOKUP(A426,Capacity!$A$3:$D$532,4,), "0")</f>
        <v>40.212385280000007</v>
      </c>
      <c r="C426" s="4">
        <f>IFERROR(VLOOKUP(A426,Capacity!$A$3:$F$532,6,), "0")</f>
        <v>0.4</v>
      </c>
      <c r="D426">
        <v>495</v>
      </c>
      <c r="E426">
        <f>IFERROR(VLOOKUP(D426,Capacity!$A$3:$D$532,4,), "0")</f>
        <v>19.242254674999998</v>
      </c>
      <c r="F426" s="4">
        <f>IFERROR(VLOOKUP(D426,Capacity!$A$3:$F$532,6,), "0")</f>
        <v>0.17499999999999999</v>
      </c>
      <c r="G426">
        <v>486</v>
      </c>
      <c r="H426">
        <f>IFERROR(VLOOKUP(G426,Capacity!$A$3:$D$532,4,), "0")</f>
        <v>14.431691006249999</v>
      </c>
      <c r="I426" s="4">
        <f>IFERROR(VLOOKUP(G426,Capacity!$A$3:$F$532,6,), "0")</f>
        <v>0.17499999999999999</v>
      </c>
      <c r="J426">
        <v>298</v>
      </c>
      <c r="K426">
        <f>IFERROR(VLOOKUP(J426,Capacity!$A$3:$D$532,4,), "0")</f>
        <v>15.707962999999999</v>
      </c>
      <c r="L426" s="4">
        <f>IFERROR(VLOOKUP(J426,Capacity!$A$3:$F$532,6,), "0")</f>
        <v>0.25</v>
      </c>
      <c r="M426" s="5">
        <f t="shared" si="60"/>
        <v>49.381908681249996</v>
      </c>
      <c r="N426" s="5">
        <f t="shared" si="61"/>
        <v>0.6</v>
      </c>
      <c r="O426">
        <v>329</v>
      </c>
      <c r="P426">
        <f>IFERROR(VLOOKUP(O426,Capacity!$A$3:$D$532,4,), "0")</f>
        <v>37.699111200000011</v>
      </c>
      <c r="Q426" s="4">
        <f>IFERROR(VLOOKUP(O426,Capacity!$A$3:$F$532,6,), "0")</f>
        <v>0.4</v>
      </c>
      <c r="R426" s="5">
        <f t="shared" si="65"/>
        <v>37.699111200000011</v>
      </c>
      <c r="S426" s="5">
        <f t="shared" si="66"/>
        <v>0.4</v>
      </c>
      <c r="T426">
        <v>299</v>
      </c>
      <c r="U426">
        <v>3</v>
      </c>
      <c r="V426">
        <v>3</v>
      </c>
      <c r="W426">
        <v>1</v>
      </c>
      <c r="X426">
        <f t="shared" si="62"/>
        <v>1.3098958333333328</v>
      </c>
      <c r="Y426">
        <f t="shared" si="63"/>
        <v>1.2280273437499998</v>
      </c>
      <c r="Z426">
        <f t="shared" si="67"/>
        <v>1.4999999999999998</v>
      </c>
      <c r="AA426">
        <f t="shared" si="68"/>
        <v>1.4999999999999998</v>
      </c>
      <c r="AC426">
        <f t="shared" si="69"/>
        <v>0.63382056451612889</v>
      </c>
      <c r="AD426">
        <f t="shared" si="64"/>
        <v>1.9014616935483866</v>
      </c>
    </row>
    <row r="427" spans="1:30" x14ac:dyDescent="0.25">
      <c r="A427">
        <v>508</v>
      </c>
      <c r="B427">
        <f>IFERROR(VLOOKUP(A427,Capacity!$A$3:$D$532,4,), "0")</f>
        <v>14.431691006249999</v>
      </c>
      <c r="C427" s="4">
        <f>IFERROR(VLOOKUP(A427,Capacity!$A$3:$F$532,6,), "0")</f>
        <v>0.17499999999999999</v>
      </c>
      <c r="E427" t="str">
        <f>IFERROR(VLOOKUP(D427,Capacity!$A$3:$D$532,4,), "0")</f>
        <v>0</v>
      </c>
      <c r="F427" s="4" t="str">
        <f>IFERROR(VLOOKUP(D427,Capacity!$A$3:$F$532,6,), "0")</f>
        <v>0</v>
      </c>
      <c r="H427" t="str">
        <f>IFERROR(VLOOKUP(G427,Capacity!$A$3:$D$532,4,), "0")</f>
        <v>0</v>
      </c>
      <c r="I427" s="4" t="str">
        <f>IFERROR(VLOOKUP(G427,Capacity!$A$3:$F$532,6,), "0")</f>
        <v>0</v>
      </c>
      <c r="K427" t="str">
        <f>IFERROR(VLOOKUP(J427,Capacity!$A$3:$D$532,4,), "0")</f>
        <v>0</v>
      </c>
      <c r="L427" s="4" t="str">
        <f>IFERROR(VLOOKUP(J427,Capacity!$A$3:$F$532,6,), "0")</f>
        <v>0</v>
      </c>
      <c r="M427" s="5">
        <f t="shared" si="60"/>
        <v>0</v>
      </c>
      <c r="N427" s="5">
        <f t="shared" si="61"/>
        <v>0</v>
      </c>
      <c r="O427">
        <v>309</v>
      </c>
      <c r="P427">
        <f>IFERROR(VLOOKUP(O427,Capacity!$A$3:$D$532,4,), "0")</f>
        <v>84.823000199999996</v>
      </c>
      <c r="Q427" s="4">
        <f>IFERROR(VLOOKUP(O427,Capacity!$A$3:$F$532,6,), "0")</f>
        <v>0.6</v>
      </c>
      <c r="R427" s="5">
        <f t="shared" si="65"/>
        <v>84.823000199999996</v>
      </c>
      <c r="S427" s="5">
        <f t="shared" si="66"/>
        <v>0.6</v>
      </c>
      <c r="T427">
        <v>508</v>
      </c>
      <c r="U427">
        <v>0</v>
      </c>
      <c r="V427">
        <v>0</v>
      </c>
      <c r="W427">
        <v>1</v>
      </c>
      <c r="X427">
        <f t="shared" si="62"/>
        <v>0</v>
      </c>
      <c r="Y427">
        <f t="shared" si="63"/>
        <v>0</v>
      </c>
      <c r="Z427">
        <f t="shared" si="67"/>
        <v>0</v>
      </c>
      <c r="AA427">
        <f t="shared" si="68"/>
        <v>0</v>
      </c>
      <c r="AC427">
        <f t="shared" si="69"/>
        <v>0</v>
      </c>
      <c r="AD427">
        <f t="shared" si="64"/>
        <v>0</v>
      </c>
    </row>
    <row r="428" spans="1:30" x14ac:dyDescent="0.25">
      <c r="A428">
        <v>308</v>
      </c>
      <c r="B428">
        <f>IFERROR(VLOOKUP(A428,Capacity!$A$3:$D$532,4,), "0")</f>
        <v>84.823000199999996</v>
      </c>
      <c r="C428" s="4">
        <f>IFERROR(VLOOKUP(A428,Capacity!$A$3:$F$532,6,), "0")</f>
        <v>0.6</v>
      </c>
      <c r="D428">
        <v>307</v>
      </c>
      <c r="E428">
        <f>IFERROR(VLOOKUP(D428,Capacity!$A$3:$D$532,4,), "0")</f>
        <v>84.823000199999996</v>
      </c>
      <c r="F428" s="4">
        <f>IFERROR(VLOOKUP(D428,Capacity!$A$3:$F$532,6,), "0")</f>
        <v>0.6</v>
      </c>
      <c r="G428">
        <v>264</v>
      </c>
      <c r="H428">
        <f>IFERROR(VLOOKUP(G428,Capacity!$A$3:$D$532,4,), "0")</f>
        <v>11.545352804999998</v>
      </c>
      <c r="I428" s="4">
        <f>IFERROR(VLOOKUP(G428,Capacity!$A$3:$F$532,6,), "0")</f>
        <v>0.17499999999999999</v>
      </c>
      <c r="K428" t="str">
        <f>IFERROR(VLOOKUP(J428,Capacity!$A$3:$D$532,4,), "0")</f>
        <v>0</v>
      </c>
      <c r="L428" s="4" t="str">
        <f>IFERROR(VLOOKUP(J428,Capacity!$A$3:$F$532,6,), "0")</f>
        <v>0</v>
      </c>
      <c r="M428" s="5">
        <f t="shared" si="60"/>
        <v>96.368353004999989</v>
      </c>
      <c r="N428" s="5">
        <f t="shared" si="61"/>
        <v>0.77499999999999991</v>
      </c>
      <c r="O428">
        <v>309</v>
      </c>
      <c r="P428">
        <f>IFERROR(VLOOKUP(O428,Capacity!$A$3:$D$532,4,), "0")</f>
        <v>84.823000199999996</v>
      </c>
      <c r="Q428" s="4">
        <f>IFERROR(VLOOKUP(O428,Capacity!$A$3:$F$532,6,), "0")</f>
        <v>0.6</v>
      </c>
      <c r="R428" s="5">
        <f t="shared" si="65"/>
        <v>84.823000199999996</v>
      </c>
      <c r="S428" s="5">
        <f t="shared" si="66"/>
        <v>0.6</v>
      </c>
      <c r="T428">
        <v>308</v>
      </c>
      <c r="U428">
        <v>2</v>
      </c>
      <c r="V428">
        <v>2</v>
      </c>
      <c r="W428">
        <v>1</v>
      </c>
      <c r="X428">
        <f t="shared" si="62"/>
        <v>1.1361111111111111</v>
      </c>
      <c r="Y428">
        <f t="shared" si="63"/>
        <v>1.1361111111111111</v>
      </c>
      <c r="Z428">
        <f t="shared" si="67"/>
        <v>1.2916666666666665</v>
      </c>
      <c r="AA428">
        <f t="shared" si="68"/>
        <v>1.2916666666666665</v>
      </c>
      <c r="AC428">
        <f t="shared" si="69"/>
        <v>0.56805555555555554</v>
      </c>
      <c r="AD428">
        <f t="shared" si="64"/>
        <v>1.1361111111111111</v>
      </c>
    </row>
    <row r="429" spans="1:30" x14ac:dyDescent="0.25">
      <c r="A429">
        <v>263</v>
      </c>
      <c r="B429">
        <f>IFERROR(VLOOKUP(A429,Capacity!$A$3:$D$532,4,), "0")</f>
        <v>15.079644480000002</v>
      </c>
      <c r="C429" s="4">
        <f>IFERROR(VLOOKUP(A429,Capacity!$A$3:$F$532,6,), "0")</f>
        <v>0.2</v>
      </c>
      <c r="E429" t="str">
        <f>IFERROR(VLOOKUP(D429,Capacity!$A$3:$D$532,4,), "0")</f>
        <v>0</v>
      </c>
      <c r="F429" s="4" t="str">
        <f>IFERROR(VLOOKUP(D429,Capacity!$A$3:$F$532,6,), "0")</f>
        <v>0</v>
      </c>
      <c r="H429" t="str">
        <f>IFERROR(VLOOKUP(G429,Capacity!$A$3:$D$532,4,), "0")</f>
        <v>0</v>
      </c>
      <c r="I429" s="4" t="str">
        <f>IFERROR(VLOOKUP(G429,Capacity!$A$3:$F$532,6,), "0")</f>
        <v>0</v>
      </c>
      <c r="K429" t="str">
        <f>IFERROR(VLOOKUP(J429,Capacity!$A$3:$D$532,4,), "0")</f>
        <v>0</v>
      </c>
      <c r="L429" s="4" t="str">
        <f>IFERROR(VLOOKUP(J429,Capacity!$A$3:$F$532,6,), "0")</f>
        <v>0</v>
      </c>
      <c r="M429" s="5">
        <f t="shared" si="60"/>
        <v>0</v>
      </c>
      <c r="N429" s="5">
        <f t="shared" si="61"/>
        <v>0</v>
      </c>
      <c r="O429">
        <v>309</v>
      </c>
      <c r="P429">
        <f>IFERROR(VLOOKUP(O429,Capacity!$A$3:$D$532,4,), "0")</f>
        <v>84.823000199999996</v>
      </c>
      <c r="Q429" s="4">
        <f>IFERROR(VLOOKUP(O429,Capacity!$A$3:$F$532,6,), "0")</f>
        <v>0.6</v>
      </c>
      <c r="R429" s="5">
        <f t="shared" si="65"/>
        <v>84.823000199999996</v>
      </c>
      <c r="S429" s="5">
        <f t="shared" si="66"/>
        <v>0.6</v>
      </c>
      <c r="T429">
        <v>263</v>
      </c>
      <c r="U429">
        <v>0</v>
      </c>
      <c r="V429">
        <v>0</v>
      </c>
      <c r="W429">
        <v>1</v>
      </c>
      <c r="X429">
        <f t="shared" si="62"/>
        <v>0</v>
      </c>
      <c r="Y429">
        <f t="shared" si="63"/>
        <v>0</v>
      </c>
      <c r="Z429">
        <f t="shared" si="67"/>
        <v>0</v>
      </c>
      <c r="AA429">
        <f t="shared" si="68"/>
        <v>0</v>
      </c>
      <c r="AC429">
        <f t="shared" si="69"/>
        <v>0</v>
      </c>
      <c r="AD429">
        <f t="shared" si="64"/>
        <v>0</v>
      </c>
    </row>
    <row r="430" spans="1:30" x14ac:dyDescent="0.25">
      <c r="A430">
        <v>391</v>
      </c>
      <c r="B430">
        <f>IFERROR(VLOOKUP(A430,Capacity!$A$3:$D$532,4,), "0")</f>
        <v>21.647536509374998</v>
      </c>
      <c r="C430" s="4">
        <f>IFERROR(VLOOKUP(A430,Capacity!$A$3:$F$532,6,), "0")</f>
        <v>0.17499999999999999</v>
      </c>
      <c r="E430" t="str">
        <f>IFERROR(VLOOKUP(D430,Capacity!$A$3:$D$532,4,), "0")</f>
        <v>0</v>
      </c>
      <c r="F430" s="4" t="str">
        <f>IFERROR(VLOOKUP(D430,Capacity!$A$3:$F$532,6,), "0")</f>
        <v>0</v>
      </c>
      <c r="H430" t="str">
        <f>IFERROR(VLOOKUP(G430,Capacity!$A$3:$D$532,4,), "0")</f>
        <v>0</v>
      </c>
      <c r="I430" s="4" t="str">
        <f>IFERROR(VLOOKUP(G430,Capacity!$A$3:$F$532,6,), "0")</f>
        <v>0</v>
      </c>
      <c r="K430" t="str">
        <f>IFERROR(VLOOKUP(J430,Capacity!$A$3:$D$532,4,), "0")</f>
        <v>0</v>
      </c>
      <c r="L430" s="4" t="str">
        <f>IFERROR(VLOOKUP(J430,Capacity!$A$3:$F$532,6,), "0")</f>
        <v>0</v>
      </c>
      <c r="M430" s="5">
        <f t="shared" si="60"/>
        <v>0</v>
      </c>
      <c r="N430" s="5">
        <f t="shared" si="61"/>
        <v>0</v>
      </c>
      <c r="O430">
        <v>31</v>
      </c>
      <c r="P430">
        <f>IFERROR(VLOOKUP(O430,Capacity!$A$3:$D$532,4,), "0")</f>
        <v>8.8247336134000012</v>
      </c>
      <c r="Q430" s="4">
        <f>IFERROR(VLOOKUP(O430,Capacity!$A$3:$F$532,6,), "0")</f>
        <v>0.26500000000000001</v>
      </c>
      <c r="R430" s="5">
        <f t="shared" si="65"/>
        <v>8.8247336134000012</v>
      </c>
      <c r="S430" s="5">
        <f t="shared" si="66"/>
        <v>0.26500000000000001</v>
      </c>
      <c r="T430">
        <v>391</v>
      </c>
      <c r="U430">
        <v>0</v>
      </c>
      <c r="V430">
        <v>0</v>
      </c>
      <c r="W430">
        <v>1</v>
      </c>
      <c r="X430">
        <f t="shared" si="62"/>
        <v>0</v>
      </c>
      <c r="Y430">
        <f t="shared" si="63"/>
        <v>0</v>
      </c>
      <c r="Z430">
        <f t="shared" si="67"/>
        <v>0</v>
      </c>
      <c r="AA430">
        <f t="shared" si="68"/>
        <v>0</v>
      </c>
      <c r="AC430">
        <f t="shared" si="69"/>
        <v>0</v>
      </c>
      <c r="AD430">
        <f t="shared" si="64"/>
        <v>0</v>
      </c>
    </row>
    <row r="431" spans="1:30" x14ac:dyDescent="0.25">
      <c r="A431">
        <v>30</v>
      </c>
      <c r="B431">
        <f>IFERROR(VLOOKUP(A431,Capacity!$A$3:$D$532,4,), "0")</f>
        <v>17.649467226800002</v>
      </c>
      <c r="C431" s="4">
        <f>IFERROR(VLOOKUP(A431,Capacity!$A$3:$F$532,6,), "0")</f>
        <v>0.26500000000000001</v>
      </c>
      <c r="D431">
        <v>300</v>
      </c>
      <c r="E431">
        <f>IFERROR(VLOOKUP(D431,Capacity!$A$3:$D$532,4,), "0")</f>
        <v>48.536034873700011</v>
      </c>
      <c r="F431" s="4">
        <f>IFERROR(VLOOKUP(D431,Capacity!$A$3:$F$532,6,), "0")</f>
        <v>0.26500000000000001</v>
      </c>
      <c r="H431" t="str">
        <f>IFERROR(VLOOKUP(G431,Capacity!$A$3:$D$532,4,), "0")</f>
        <v>0</v>
      </c>
      <c r="I431" s="4" t="str">
        <f>IFERROR(VLOOKUP(G431,Capacity!$A$3:$F$532,6,), "0")</f>
        <v>0</v>
      </c>
      <c r="K431" t="str">
        <f>IFERROR(VLOOKUP(J431,Capacity!$A$3:$D$532,4,), "0")</f>
        <v>0</v>
      </c>
      <c r="L431" s="4" t="str">
        <f>IFERROR(VLOOKUP(J431,Capacity!$A$3:$F$532,6,), "0")</f>
        <v>0</v>
      </c>
      <c r="M431" s="5">
        <f t="shared" si="60"/>
        <v>48.536034873700011</v>
      </c>
      <c r="N431" s="5">
        <f t="shared" si="61"/>
        <v>0.26500000000000001</v>
      </c>
      <c r="O431">
        <v>31</v>
      </c>
      <c r="P431">
        <f>IFERROR(VLOOKUP(O431,Capacity!$A$3:$D$532,4,), "0")</f>
        <v>8.8247336134000012</v>
      </c>
      <c r="Q431" s="4">
        <f>IFERROR(VLOOKUP(O431,Capacity!$A$3:$F$532,6,), "0")</f>
        <v>0.26500000000000001</v>
      </c>
      <c r="R431" s="5">
        <f t="shared" si="65"/>
        <v>8.8247336134000012</v>
      </c>
      <c r="S431" s="5">
        <f t="shared" si="66"/>
        <v>0.26500000000000001</v>
      </c>
      <c r="T431">
        <v>30</v>
      </c>
      <c r="U431">
        <v>1</v>
      </c>
      <c r="V431">
        <v>1</v>
      </c>
      <c r="W431">
        <v>1</v>
      </c>
      <c r="X431">
        <f t="shared" si="62"/>
        <v>5.5000000000000009</v>
      </c>
      <c r="Y431">
        <f t="shared" si="63"/>
        <v>2.7500000000000004</v>
      </c>
      <c r="Z431">
        <f t="shared" si="67"/>
        <v>1</v>
      </c>
      <c r="AA431">
        <f t="shared" si="68"/>
        <v>1</v>
      </c>
      <c r="AC431">
        <f t="shared" si="69"/>
        <v>1.8333333333333335</v>
      </c>
      <c r="AD431">
        <f t="shared" si="64"/>
        <v>1.8333333333333335</v>
      </c>
    </row>
    <row r="432" spans="1:30" x14ac:dyDescent="0.25">
      <c r="A432">
        <v>330</v>
      </c>
      <c r="B432">
        <f>IFERROR(VLOOKUP(A432,Capacity!$A$3:$D$532,4,), "0")</f>
        <v>7.6969018699999987</v>
      </c>
      <c r="C432" s="4">
        <f>IFERROR(VLOOKUP(A432,Capacity!$A$3:$F$532,6,), "0")</f>
        <v>0.17499999999999999</v>
      </c>
      <c r="D432">
        <v>496</v>
      </c>
      <c r="E432">
        <f>IFERROR(VLOOKUP(D432,Capacity!$A$3:$D$532,4,), "0")</f>
        <v>7.6969018699999987</v>
      </c>
      <c r="F432" s="4">
        <f>IFERROR(VLOOKUP(D432,Capacity!$A$3:$F$532,6,), "0")</f>
        <v>0.17499999999999999</v>
      </c>
      <c r="H432" t="str">
        <f>IFERROR(VLOOKUP(G432,Capacity!$A$3:$D$532,4,), "0")</f>
        <v>0</v>
      </c>
      <c r="I432" s="4" t="str">
        <f>IFERROR(VLOOKUP(G432,Capacity!$A$3:$F$532,6,), "0")</f>
        <v>0</v>
      </c>
      <c r="K432" t="str">
        <f>IFERROR(VLOOKUP(J432,Capacity!$A$3:$D$532,4,), "0")</f>
        <v>0</v>
      </c>
      <c r="L432" s="4" t="str">
        <f>IFERROR(VLOOKUP(J432,Capacity!$A$3:$F$532,6,), "0")</f>
        <v>0</v>
      </c>
      <c r="M432" s="5">
        <f t="shared" si="60"/>
        <v>7.6969018699999987</v>
      </c>
      <c r="N432" s="5">
        <f t="shared" si="61"/>
        <v>0.17499999999999999</v>
      </c>
      <c r="O432">
        <v>331</v>
      </c>
      <c r="P432">
        <f>IFERROR(VLOOKUP(O432,Capacity!$A$3:$D$532,4,), "0")</f>
        <v>7.6969018699999987</v>
      </c>
      <c r="Q432" s="4">
        <f>IFERROR(VLOOKUP(O432,Capacity!$A$3:$F$532,6,), "0")</f>
        <v>0.17499999999999999</v>
      </c>
      <c r="R432" s="5">
        <f t="shared" si="65"/>
        <v>7.6969018699999987</v>
      </c>
      <c r="S432" s="5">
        <f t="shared" si="66"/>
        <v>0.17499999999999999</v>
      </c>
      <c r="T432">
        <v>330</v>
      </c>
      <c r="U432">
        <v>1</v>
      </c>
      <c r="V432">
        <v>1</v>
      </c>
      <c r="W432">
        <v>1</v>
      </c>
      <c r="X432">
        <f t="shared" si="62"/>
        <v>1</v>
      </c>
      <c r="Y432">
        <f t="shared" si="63"/>
        <v>1</v>
      </c>
      <c r="Z432">
        <f t="shared" si="67"/>
        <v>1</v>
      </c>
      <c r="AA432">
        <f t="shared" si="68"/>
        <v>1</v>
      </c>
      <c r="AC432">
        <f t="shared" si="69"/>
        <v>0.5</v>
      </c>
      <c r="AD432">
        <f t="shared" si="64"/>
        <v>0.5</v>
      </c>
    </row>
    <row r="433" spans="1:30" x14ac:dyDescent="0.25">
      <c r="A433">
        <v>29</v>
      </c>
      <c r="B433">
        <f>IFERROR(VLOOKUP(A433,Capacity!$A$3:$D$532,4,), "0")</f>
        <v>260.12386727999996</v>
      </c>
      <c r="C433" s="4">
        <f>IFERROR(VLOOKUP(A433,Capacity!$A$3:$F$532,6,), "0")</f>
        <v>0.6</v>
      </c>
      <c r="D433">
        <v>372</v>
      </c>
      <c r="E433">
        <f>IFERROR(VLOOKUP(D433,Capacity!$A$3:$D$532,4,), "0")</f>
        <v>7.6969018699999987</v>
      </c>
      <c r="F433" s="4">
        <f>IFERROR(VLOOKUP(D433,Capacity!$A$3:$F$532,6,), "0")</f>
        <v>0.17499999999999999</v>
      </c>
      <c r="G433">
        <v>303</v>
      </c>
      <c r="H433">
        <f>IFERROR(VLOOKUP(G433,Capacity!$A$3:$D$532,4,), "0")</f>
        <v>226.1946672</v>
      </c>
      <c r="I433" s="4">
        <f>IFERROR(VLOOKUP(G433,Capacity!$A$3:$F$532,6,), "0")</f>
        <v>0.6</v>
      </c>
      <c r="K433" t="str">
        <f>IFERROR(VLOOKUP(J433,Capacity!$A$3:$D$532,4,), "0")</f>
        <v>0</v>
      </c>
      <c r="L433" s="4" t="str">
        <f>IFERROR(VLOOKUP(J433,Capacity!$A$3:$F$532,6,), "0")</f>
        <v>0</v>
      </c>
      <c r="M433" s="5">
        <f t="shared" si="60"/>
        <v>233.89156907</v>
      </c>
      <c r="N433" s="5">
        <f t="shared" si="61"/>
        <v>0.77499999999999991</v>
      </c>
      <c r="O433">
        <v>70</v>
      </c>
      <c r="P433">
        <f>IFERROR(VLOOKUP(O433,Capacity!$A$3:$D$532,4,), "0")</f>
        <v>124.40706696000001</v>
      </c>
      <c r="Q433" s="4">
        <f>IFERROR(VLOOKUP(O433,Capacity!$A$3:$F$532,6,), "0")</f>
        <v>0.6</v>
      </c>
      <c r="R433" s="5">
        <f t="shared" si="65"/>
        <v>124.40706696000001</v>
      </c>
      <c r="S433" s="5">
        <f t="shared" si="66"/>
        <v>0.6</v>
      </c>
      <c r="T433">
        <v>29</v>
      </c>
      <c r="U433">
        <v>2</v>
      </c>
      <c r="V433">
        <v>2</v>
      </c>
      <c r="W433">
        <v>1</v>
      </c>
      <c r="X433">
        <f t="shared" si="62"/>
        <v>1.880050505050505</v>
      </c>
      <c r="Y433">
        <f t="shared" si="63"/>
        <v>0.89915458937198078</v>
      </c>
      <c r="Z433">
        <f t="shared" si="67"/>
        <v>1.2916666666666665</v>
      </c>
      <c r="AA433">
        <f t="shared" si="68"/>
        <v>1.2916666666666665</v>
      </c>
      <c r="AC433">
        <f t="shared" si="69"/>
        <v>0.60825163398692816</v>
      </c>
      <c r="AD433">
        <f t="shared" si="64"/>
        <v>1.2165032679738563</v>
      </c>
    </row>
    <row r="434" spans="1:30" x14ac:dyDescent="0.25">
      <c r="A434">
        <v>495</v>
      </c>
      <c r="B434">
        <f>IFERROR(VLOOKUP(A434,Capacity!$A$3:$D$532,4,), "0")</f>
        <v>19.242254674999998</v>
      </c>
      <c r="C434" s="4">
        <f>IFERROR(VLOOKUP(A434,Capacity!$A$3:$F$532,6,), "0")</f>
        <v>0.17499999999999999</v>
      </c>
      <c r="E434" t="str">
        <f>IFERROR(VLOOKUP(D434,Capacity!$A$3:$D$532,4,), "0")</f>
        <v>0</v>
      </c>
      <c r="F434" s="4" t="str">
        <f>IFERROR(VLOOKUP(D434,Capacity!$A$3:$F$532,6,), "0")</f>
        <v>0</v>
      </c>
      <c r="H434" t="str">
        <f>IFERROR(VLOOKUP(G434,Capacity!$A$3:$D$532,4,), "0")</f>
        <v>0</v>
      </c>
      <c r="I434" s="4" t="str">
        <f>IFERROR(VLOOKUP(G434,Capacity!$A$3:$F$532,6,), "0")</f>
        <v>0</v>
      </c>
      <c r="K434" t="str">
        <f>IFERROR(VLOOKUP(J434,Capacity!$A$3:$D$532,4,), "0")</f>
        <v>0</v>
      </c>
      <c r="L434" s="4" t="str">
        <f>IFERROR(VLOOKUP(J434,Capacity!$A$3:$F$532,6,), "0")</f>
        <v>0</v>
      </c>
      <c r="M434" s="5">
        <f t="shared" si="60"/>
        <v>0</v>
      </c>
      <c r="N434" s="5">
        <f t="shared" si="61"/>
        <v>0</v>
      </c>
      <c r="O434">
        <v>299</v>
      </c>
      <c r="P434">
        <f>IFERROR(VLOOKUP(O434,Capacity!$A$3:$D$532,4,), "0")</f>
        <v>40.212385280000007</v>
      </c>
      <c r="Q434" s="4">
        <f>IFERROR(VLOOKUP(O434,Capacity!$A$3:$F$532,6,), "0")</f>
        <v>0.4</v>
      </c>
      <c r="R434" s="5">
        <f t="shared" si="65"/>
        <v>40.212385280000007</v>
      </c>
      <c r="S434" s="5">
        <f t="shared" si="66"/>
        <v>0.4</v>
      </c>
      <c r="T434">
        <v>495</v>
      </c>
      <c r="U434">
        <v>0</v>
      </c>
      <c r="V434">
        <v>0</v>
      </c>
      <c r="W434">
        <v>1</v>
      </c>
      <c r="X434">
        <f t="shared" si="62"/>
        <v>0</v>
      </c>
      <c r="Y434">
        <f t="shared" si="63"/>
        <v>0</v>
      </c>
      <c r="Z434">
        <f t="shared" si="67"/>
        <v>0</v>
      </c>
      <c r="AA434">
        <f t="shared" si="68"/>
        <v>0</v>
      </c>
      <c r="AC434">
        <f t="shared" si="69"/>
        <v>0</v>
      </c>
      <c r="AD434">
        <f t="shared" si="64"/>
        <v>0</v>
      </c>
    </row>
    <row r="435" spans="1:30" x14ac:dyDescent="0.25">
      <c r="A435">
        <v>486</v>
      </c>
      <c r="B435">
        <f>IFERROR(VLOOKUP(A435,Capacity!$A$3:$D$532,4,), "0")</f>
        <v>14.431691006249999</v>
      </c>
      <c r="C435" s="4">
        <f>IFERROR(VLOOKUP(A435,Capacity!$A$3:$F$532,6,), "0")</f>
        <v>0.17499999999999999</v>
      </c>
      <c r="E435" t="str">
        <f>IFERROR(VLOOKUP(D435,Capacity!$A$3:$D$532,4,), "0")</f>
        <v>0</v>
      </c>
      <c r="F435" s="4" t="str">
        <f>IFERROR(VLOOKUP(D435,Capacity!$A$3:$F$532,6,), "0")</f>
        <v>0</v>
      </c>
      <c r="H435" t="str">
        <f>IFERROR(VLOOKUP(G435,Capacity!$A$3:$D$532,4,), "0")</f>
        <v>0</v>
      </c>
      <c r="I435" s="4" t="str">
        <f>IFERROR(VLOOKUP(G435,Capacity!$A$3:$F$532,6,), "0")</f>
        <v>0</v>
      </c>
      <c r="K435" t="str">
        <f>IFERROR(VLOOKUP(J435,Capacity!$A$3:$D$532,4,), "0")</f>
        <v>0</v>
      </c>
      <c r="L435" s="4" t="str">
        <f>IFERROR(VLOOKUP(J435,Capacity!$A$3:$F$532,6,), "0")</f>
        <v>0</v>
      </c>
      <c r="M435" s="5">
        <f t="shared" si="60"/>
        <v>0</v>
      </c>
      <c r="N435" s="5">
        <f t="shared" si="61"/>
        <v>0</v>
      </c>
      <c r="O435">
        <v>299</v>
      </c>
      <c r="P435">
        <f>IFERROR(VLOOKUP(O435,Capacity!$A$3:$D$532,4,), "0")</f>
        <v>40.212385280000007</v>
      </c>
      <c r="Q435" s="4">
        <f>IFERROR(VLOOKUP(O435,Capacity!$A$3:$F$532,6,), "0")</f>
        <v>0.4</v>
      </c>
      <c r="R435" s="5">
        <f t="shared" si="65"/>
        <v>40.212385280000007</v>
      </c>
      <c r="S435" s="5">
        <f t="shared" si="66"/>
        <v>0.4</v>
      </c>
      <c r="T435">
        <v>486</v>
      </c>
      <c r="U435">
        <v>0</v>
      </c>
      <c r="V435">
        <v>0</v>
      </c>
      <c r="W435">
        <v>1</v>
      </c>
      <c r="X435">
        <f t="shared" si="62"/>
        <v>0</v>
      </c>
      <c r="Y435">
        <f t="shared" si="63"/>
        <v>0</v>
      </c>
      <c r="Z435">
        <f t="shared" si="67"/>
        <v>0</v>
      </c>
      <c r="AA435">
        <f t="shared" si="68"/>
        <v>0</v>
      </c>
      <c r="AC435">
        <f t="shared" si="69"/>
        <v>0</v>
      </c>
      <c r="AD435">
        <f t="shared" si="64"/>
        <v>0</v>
      </c>
    </row>
    <row r="436" spans="1:30" x14ac:dyDescent="0.25">
      <c r="A436">
        <v>298</v>
      </c>
      <c r="B436">
        <f>IFERROR(VLOOKUP(A436,Capacity!$A$3:$D$532,4,), "0")</f>
        <v>15.707962999999999</v>
      </c>
      <c r="C436" s="4">
        <f>IFERROR(VLOOKUP(A436,Capacity!$A$3:$F$532,6,), "0")</f>
        <v>0.25</v>
      </c>
      <c r="D436">
        <v>497</v>
      </c>
      <c r="E436">
        <f>IFERROR(VLOOKUP(D436,Capacity!$A$3:$D$532,4,), "0")</f>
        <v>20.204367408749999</v>
      </c>
      <c r="F436" s="4">
        <f>IFERROR(VLOOKUP(D436,Capacity!$A$3:$F$532,6,), "0")</f>
        <v>0.17499999999999999</v>
      </c>
      <c r="G436">
        <v>487</v>
      </c>
      <c r="H436">
        <f>IFERROR(VLOOKUP(G436,Capacity!$A$3:$D$532,4,), "0")</f>
        <v>14.431691006249999</v>
      </c>
      <c r="I436" s="4">
        <f>IFERROR(VLOOKUP(G436,Capacity!$A$3:$F$532,6,), "0")</f>
        <v>0.17499999999999999</v>
      </c>
      <c r="J436">
        <v>297</v>
      </c>
      <c r="K436">
        <f>IFERROR(VLOOKUP(J436,Capacity!$A$3:$D$532,4,), "0")</f>
        <v>10.053096320000002</v>
      </c>
      <c r="L436" s="4">
        <f>IFERROR(VLOOKUP(J436,Capacity!$A$3:$F$532,6,), "0")</f>
        <v>0.2</v>
      </c>
      <c r="M436" s="5">
        <f t="shared" si="60"/>
        <v>44.689154734999995</v>
      </c>
      <c r="N436" s="5">
        <f t="shared" si="61"/>
        <v>0.55000000000000004</v>
      </c>
      <c r="O436">
        <v>299</v>
      </c>
      <c r="P436">
        <f>IFERROR(VLOOKUP(O436,Capacity!$A$3:$D$532,4,), "0")</f>
        <v>40.212385280000007</v>
      </c>
      <c r="Q436" s="4">
        <f>IFERROR(VLOOKUP(O436,Capacity!$A$3:$F$532,6,), "0")</f>
        <v>0.4</v>
      </c>
      <c r="R436" s="5">
        <f t="shared" si="65"/>
        <v>40.212385280000007</v>
      </c>
      <c r="S436" s="5">
        <f t="shared" si="66"/>
        <v>0.4</v>
      </c>
      <c r="T436">
        <v>298</v>
      </c>
      <c r="U436">
        <v>3</v>
      </c>
      <c r="V436">
        <v>3</v>
      </c>
      <c r="W436">
        <v>1</v>
      </c>
      <c r="X436">
        <f t="shared" si="62"/>
        <v>1.1113281249999998</v>
      </c>
      <c r="Y436">
        <f t="shared" si="63"/>
        <v>2.8449999999999998</v>
      </c>
      <c r="Z436">
        <f t="shared" si="67"/>
        <v>1.375</v>
      </c>
      <c r="AA436">
        <f t="shared" si="68"/>
        <v>2.2000000000000002</v>
      </c>
      <c r="AC436">
        <f t="shared" si="69"/>
        <v>0.79915730337078639</v>
      </c>
      <c r="AD436">
        <f t="shared" si="64"/>
        <v>2.3974719101123592</v>
      </c>
    </row>
    <row r="437" spans="1:30" x14ac:dyDescent="0.25">
      <c r="A437">
        <v>307</v>
      </c>
      <c r="B437">
        <f>IFERROR(VLOOKUP(A437,Capacity!$A$3:$D$532,4,), "0")</f>
        <v>84.823000199999996</v>
      </c>
      <c r="C437" s="4">
        <f>IFERROR(VLOOKUP(A437,Capacity!$A$3:$F$532,6,), "0")</f>
        <v>0.6</v>
      </c>
      <c r="D437">
        <v>282</v>
      </c>
      <c r="E437">
        <f>IFERROR(VLOOKUP(D437,Capacity!$A$3:$D$532,4,), "0")</f>
        <v>84.823000199999996</v>
      </c>
      <c r="F437" s="4">
        <f>IFERROR(VLOOKUP(D437,Capacity!$A$3:$F$532,6,), "0")</f>
        <v>0.6</v>
      </c>
      <c r="G437">
        <v>265</v>
      </c>
      <c r="H437">
        <f>IFERROR(VLOOKUP(G437,Capacity!$A$3:$D$532,4,), "0")</f>
        <v>26.474200840200002</v>
      </c>
      <c r="I437" s="4">
        <f>IFERROR(VLOOKUP(G437,Capacity!$A$3:$F$532,6,), "0")</f>
        <v>0.26500000000000001</v>
      </c>
      <c r="K437" t="str">
        <f>IFERROR(VLOOKUP(J437,Capacity!$A$3:$D$532,4,), "0")</f>
        <v>0</v>
      </c>
      <c r="L437" s="4" t="str">
        <f>IFERROR(VLOOKUP(J437,Capacity!$A$3:$F$532,6,), "0")</f>
        <v>0</v>
      </c>
      <c r="M437" s="5">
        <f t="shared" si="60"/>
        <v>111.29720104019999</v>
      </c>
      <c r="N437" s="5">
        <f t="shared" si="61"/>
        <v>0.86499999999999999</v>
      </c>
      <c r="O437">
        <v>308</v>
      </c>
      <c r="P437">
        <f>IFERROR(VLOOKUP(O437,Capacity!$A$3:$D$532,4,), "0")</f>
        <v>84.823000199999996</v>
      </c>
      <c r="Q437" s="4">
        <f>IFERROR(VLOOKUP(O437,Capacity!$A$3:$F$532,6,), "0")</f>
        <v>0.6</v>
      </c>
      <c r="R437" s="5">
        <f t="shared" si="65"/>
        <v>84.823000199999996</v>
      </c>
      <c r="S437" s="5">
        <f t="shared" si="66"/>
        <v>0.6</v>
      </c>
      <c r="T437">
        <v>307</v>
      </c>
      <c r="U437">
        <v>2</v>
      </c>
      <c r="V437">
        <v>2</v>
      </c>
      <c r="W437">
        <v>1</v>
      </c>
      <c r="X437">
        <f t="shared" si="62"/>
        <v>1.312111111111111</v>
      </c>
      <c r="Y437">
        <f t="shared" si="63"/>
        <v>1.312111111111111</v>
      </c>
      <c r="Z437">
        <f t="shared" si="67"/>
        <v>1.4416666666666667</v>
      </c>
      <c r="AA437">
        <f t="shared" si="68"/>
        <v>1.4416666666666667</v>
      </c>
      <c r="AC437">
        <f t="shared" si="69"/>
        <v>0.6560555555555555</v>
      </c>
      <c r="AD437">
        <f t="shared" si="64"/>
        <v>1.312111111111111</v>
      </c>
    </row>
    <row r="438" spans="1:30" x14ac:dyDescent="0.25">
      <c r="A438">
        <v>264</v>
      </c>
      <c r="B438">
        <f>IFERROR(VLOOKUP(A438,Capacity!$A$3:$D$532,4,), "0")</f>
        <v>11.545352804999998</v>
      </c>
      <c r="C438" s="4">
        <f>IFERROR(VLOOKUP(A438,Capacity!$A$3:$F$532,6,), "0")</f>
        <v>0.17499999999999999</v>
      </c>
      <c r="E438" t="str">
        <f>IFERROR(VLOOKUP(D438,Capacity!$A$3:$D$532,4,), "0")</f>
        <v>0</v>
      </c>
      <c r="F438" s="4" t="str">
        <f>IFERROR(VLOOKUP(D438,Capacity!$A$3:$F$532,6,), "0")</f>
        <v>0</v>
      </c>
      <c r="H438" t="str">
        <f>IFERROR(VLOOKUP(G438,Capacity!$A$3:$D$532,4,), "0")</f>
        <v>0</v>
      </c>
      <c r="I438" s="4" t="str">
        <f>IFERROR(VLOOKUP(G438,Capacity!$A$3:$F$532,6,), "0")</f>
        <v>0</v>
      </c>
      <c r="K438" t="str">
        <f>IFERROR(VLOOKUP(J438,Capacity!$A$3:$D$532,4,), "0")</f>
        <v>0</v>
      </c>
      <c r="L438" s="4" t="str">
        <f>IFERROR(VLOOKUP(J438,Capacity!$A$3:$F$532,6,), "0")</f>
        <v>0</v>
      </c>
      <c r="M438" s="5">
        <f t="shared" si="60"/>
        <v>0</v>
      </c>
      <c r="N438" s="5">
        <f t="shared" si="61"/>
        <v>0</v>
      </c>
      <c r="O438">
        <v>308</v>
      </c>
      <c r="P438">
        <f>IFERROR(VLOOKUP(O438,Capacity!$A$3:$D$532,4,), "0")</f>
        <v>84.823000199999996</v>
      </c>
      <c r="Q438" s="4">
        <f>IFERROR(VLOOKUP(O438,Capacity!$A$3:$F$532,6,), "0")</f>
        <v>0.6</v>
      </c>
      <c r="R438" s="5">
        <f t="shared" si="65"/>
        <v>84.823000199999996</v>
      </c>
      <c r="S438" s="5">
        <f t="shared" si="66"/>
        <v>0.6</v>
      </c>
      <c r="T438">
        <v>264</v>
      </c>
      <c r="U438">
        <v>0</v>
      </c>
      <c r="V438">
        <v>0</v>
      </c>
      <c r="W438">
        <v>1</v>
      </c>
      <c r="X438">
        <f t="shared" si="62"/>
        <v>0</v>
      </c>
      <c r="Y438">
        <f t="shared" si="63"/>
        <v>0</v>
      </c>
      <c r="Z438">
        <f t="shared" si="67"/>
        <v>0</v>
      </c>
      <c r="AA438">
        <f t="shared" si="68"/>
        <v>0</v>
      </c>
      <c r="AC438">
        <f t="shared" si="69"/>
        <v>0</v>
      </c>
      <c r="AD438">
        <f t="shared" si="64"/>
        <v>0</v>
      </c>
    </row>
    <row r="439" spans="1:30" x14ac:dyDescent="0.25">
      <c r="A439">
        <v>300</v>
      </c>
      <c r="B439">
        <f>IFERROR(VLOOKUP(A439,Capacity!$A$3:$D$532,4,), "0")</f>
        <v>48.536034873700011</v>
      </c>
      <c r="C439" s="4">
        <f>IFERROR(VLOOKUP(A439,Capacity!$A$3:$F$532,6,), "0")</f>
        <v>0.26500000000000001</v>
      </c>
      <c r="D439">
        <v>301</v>
      </c>
      <c r="E439">
        <f>IFERROR(VLOOKUP(D439,Capacity!$A$3:$D$532,4,), "0")</f>
        <v>7.6969018699999987</v>
      </c>
      <c r="F439" s="4">
        <f>IFERROR(VLOOKUP(D439,Capacity!$A$3:$F$532,6,), "0")</f>
        <v>0.17499999999999999</v>
      </c>
      <c r="H439" t="str">
        <f>IFERROR(VLOOKUP(G439,Capacity!$A$3:$D$532,4,), "0")</f>
        <v>0</v>
      </c>
      <c r="I439" s="4" t="str">
        <f>IFERROR(VLOOKUP(G439,Capacity!$A$3:$F$532,6,), "0")</f>
        <v>0</v>
      </c>
      <c r="K439" t="str">
        <f>IFERROR(VLOOKUP(J439,Capacity!$A$3:$D$532,4,), "0")</f>
        <v>0</v>
      </c>
      <c r="L439" s="4" t="str">
        <f>IFERROR(VLOOKUP(J439,Capacity!$A$3:$F$532,6,), "0")</f>
        <v>0</v>
      </c>
      <c r="M439" s="5">
        <f t="shared" si="60"/>
        <v>7.6969018699999987</v>
      </c>
      <c r="N439" s="5">
        <f t="shared" si="61"/>
        <v>0.17499999999999999</v>
      </c>
      <c r="O439">
        <v>30</v>
      </c>
      <c r="P439">
        <f>IFERROR(VLOOKUP(O439,Capacity!$A$3:$D$532,4,), "0")</f>
        <v>17.649467226800002</v>
      </c>
      <c r="Q439" s="4">
        <f>IFERROR(VLOOKUP(O439,Capacity!$A$3:$F$532,6,), "0")</f>
        <v>0.26500000000000001</v>
      </c>
      <c r="R439" s="5">
        <f t="shared" si="65"/>
        <v>17.649467226800002</v>
      </c>
      <c r="S439" s="5">
        <f t="shared" si="66"/>
        <v>0.26500000000000001</v>
      </c>
      <c r="T439">
        <v>300</v>
      </c>
      <c r="U439">
        <v>1</v>
      </c>
      <c r="V439">
        <v>1</v>
      </c>
      <c r="W439">
        <v>1</v>
      </c>
      <c r="X439">
        <f t="shared" si="62"/>
        <v>0.43609825560697746</v>
      </c>
      <c r="Y439">
        <f t="shared" si="63"/>
        <v>0.1585811838570827</v>
      </c>
      <c r="Z439">
        <f t="shared" si="67"/>
        <v>0.660377358490566</v>
      </c>
      <c r="AA439">
        <f t="shared" si="68"/>
        <v>0.660377358490566</v>
      </c>
      <c r="AC439">
        <f t="shared" si="69"/>
        <v>0.11629286816186064</v>
      </c>
      <c r="AD439">
        <f t="shared" si="64"/>
        <v>0.11629286816186064</v>
      </c>
    </row>
    <row r="440" spans="1:30" x14ac:dyDescent="0.25">
      <c r="A440">
        <v>496</v>
      </c>
      <c r="B440">
        <f>IFERROR(VLOOKUP(A440,Capacity!$A$3:$D$532,4,), "0")</f>
        <v>7.6969018699999987</v>
      </c>
      <c r="C440" s="4">
        <f>IFERROR(VLOOKUP(A440,Capacity!$A$3:$F$532,6,), "0")</f>
        <v>0.17499999999999999</v>
      </c>
      <c r="E440" t="str">
        <f>IFERROR(VLOOKUP(D440,Capacity!$A$3:$D$532,4,), "0")</f>
        <v>0</v>
      </c>
      <c r="F440" s="4" t="str">
        <f>IFERROR(VLOOKUP(D440,Capacity!$A$3:$F$532,6,), "0")</f>
        <v>0</v>
      </c>
      <c r="H440" t="str">
        <f>IFERROR(VLOOKUP(G440,Capacity!$A$3:$D$532,4,), "0")</f>
        <v>0</v>
      </c>
      <c r="I440" s="4" t="str">
        <f>IFERROR(VLOOKUP(G440,Capacity!$A$3:$F$532,6,), "0")</f>
        <v>0</v>
      </c>
      <c r="K440" t="str">
        <f>IFERROR(VLOOKUP(J440,Capacity!$A$3:$D$532,4,), "0")</f>
        <v>0</v>
      </c>
      <c r="L440" s="4" t="str">
        <f>IFERROR(VLOOKUP(J440,Capacity!$A$3:$F$532,6,), "0")</f>
        <v>0</v>
      </c>
      <c r="M440" s="5">
        <f t="shared" si="60"/>
        <v>0</v>
      </c>
      <c r="N440" s="5">
        <f t="shared" si="61"/>
        <v>0</v>
      </c>
      <c r="O440">
        <v>330</v>
      </c>
      <c r="P440">
        <f>IFERROR(VLOOKUP(O440,Capacity!$A$3:$D$532,4,), "0")</f>
        <v>7.6969018699999987</v>
      </c>
      <c r="Q440" s="4">
        <f>IFERROR(VLOOKUP(O440,Capacity!$A$3:$F$532,6,), "0")</f>
        <v>0.17499999999999999</v>
      </c>
      <c r="R440" s="5">
        <f t="shared" si="65"/>
        <v>7.6969018699999987</v>
      </c>
      <c r="S440" s="5">
        <f t="shared" si="66"/>
        <v>0.17499999999999999</v>
      </c>
      <c r="T440">
        <v>496</v>
      </c>
      <c r="U440">
        <v>0</v>
      </c>
      <c r="V440">
        <v>0</v>
      </c>
      <c r="W440">
        <v>1</v>
      </c>
      <c r="X440">
        <f t="shared" si="62"/>
        <v>0</v>
      </c>
      <c r="Y440">
        <f t="shared" si="63"/>
        <v>0</v>
      </c>
      <c r="Z440">
        <f t="shared" si="67"/>
        <v>0</v>
      </c>
      <c r="AA440">
        <f t="shared" si="68"/>
        <v>0</v>
      </c>
      <c r="AC440">
        <f t="shared" si="69"/>
        <v>0</v>
      </c>
      <c r="AD440">
        <f t="shared" si="64"/>
        <v>0</v>
      </c>
    </row>
    <row r="441" spans="1:30" x14ac:dyDescent="0.25">
      <c r="A441">
        <v>372</v>
      </c>
      <c r="B441">
        <f>IFERROR(VLOOKUP(A441,Capacity!$A$3:$D$532,4,), "0")</f>
        <v>7.6969018699999987</v>
      </c>
      <c r="C441" s="4">
        <f>IFERROR(VLOOKUP(A441,Capacity!$A$3:$F$532,6,), "0")</f>
        <v>0.17499999999999999</v>
      </c>
      <c r="E441" t="str">
        <f>IFERROR(VLOOKUP(D441,Capacity!$A$3:$D$532,4,), "0")</f>
        <v>0</v>
      </c>
      <c r="F441" s="4" t="str">
        <f>IFERROR(VLOOKUP(D441,Capacity!$A$3:$F$532,6,), "0")</f>
        <v>0</v>
      </c>
      <c r="H441" t="str">
        <f>IFERROR(VLOOKUP(G441,Capacity!$A$3:$D$532,4,), "0")</f>
        <v>0</v>
      </c>
      <c r="I441" s="4" t="str">
        <f>IFERROR(VLOOKUP(G441,Capacity!$A$3:$F$532,6,), "0")</f>
        <v>0</v>
      </c>
      <c r="K441" t="str">
        <f>IFERROR(VLOOKUP(J441,Capacity!$A$3:$D$532,4,), "0")</f>
        <v>0</v>
      </c>
      <c r="L441" s="4" t="str">
        <f>IFERROR(VLOOKUP(J441,Capacity!$A$3:$F$532,6,), "0")</f>
        <v>0</v>
      </c>
      <c r="M441" s="5">
        <f t="shared" si="60"/>
        <v>0</v>
      </c>
      <c r="N441" s="5">
        <f t="shared" si="61"/>
        <v>0</v>
      </c>
      <c r="O441">
        <v>29</v>
      </c>
      <c r="P441">
        <f>IFERROR(VLOOKUP(O441,Capacity!$A$3:$D$532,4,), "0")</f>
        <v>260.12386727999996</v>
      </c>
      <c r="Q441" s="4">
        <f>IFERROR(VLOOKUP(O441,Capacity!$A$3:$F$532,6,), "0")</f>
        <v>0.6</v>
      </c>
      <c r="R441" s="5">
        <f t="shared" si="65"/>
        <v>260.12386727999996</v>
      </c>
      <c r="S441" s="5">
        <f t="shared" si="66"/>
        <v>0.6</v>
      </c>
      <c r="T441">
        <v>372</v>
      </c>
      <c r="U441">
        <v>0</v>
      </c>
      <c r="V441">
        <v>0</v>
      </c>
      <c r="W441">
        <v>1</v>
      </c>
      <c r="X441">
        <f t="shared" si="62"/>
        <v>0</v>
      </c>
      <c r="Y441">
        <f t="shared" si="63"/>
        <v>0</v>
      </c>
      <c r="Z441">
        <f t="shared" si="67"/>
        <v>0</v>
      </c>
      <c r="AA441">
        <f t="shared" si="68"/>
        <v>0</v>
      </c>
      <c r="AC441">
        <f t="shared" si="69"/>
        <v>0</v>
      </c>
      <c r="AD441">
        <f t="shared" si="64"/>
        <v>0</v>
      </c>
    </row>
    <row r="442" spans="1:30" x14ac:dyDescent="0.25">
      <c r="A442">
        <v>303</v>
      </c>
      <c r="B442">
        <f>IFERROR(VLOOKUP(A442,Capacity!$A$3:$D$532,4,), "0")</f>
        <v>226.1946672</v>
      </c>
      <c r="C442" s="4">
        <f>IFERROR(VLOOKUP(A442,Capacity!$A$3:$F$532,6,), "0")</f>
        <v>0.6</v>
      </c>
      <c r="D442">
        <v>304</v>
      </c>
      <c r="E442">
        <f>IFERROR(VLOOKUP(D442,Capacity!$A$3:$D$532,4,), "0")</f>
        <v>192.26546711999998</v>
      </c>
      <c r="F442" s="4">
        <f>IFERROR(VLOOKUP(D442,Capacity!$A$3:$F$532,6,), "0")</f>
        <v>0.6</v>
      </c>
      <c r="G442">
        <v>302</v>
      </c>
      <c r="H442">
        <f>IFERROR(VLOOKUP(G442,Capacity!$A$3:$D$532,4,), "0")</f>
        <v>6.2831852000000019</v>
      </c>
      <c r="I442" s="4">
        <f>IFERROR(VLOOKUP(G442,Capacity!$A$3:$F$532,6,), "0")</f>
        <v>0.2</v>
      </c>
      <c r="J442">
        <v>272</v>
      </c>
      <c r="K442">
        <f>IFERROR(VLOOKUP(J442,Capacity!$A$3:$D$532,4,), "0")</f>
        <v>52.916200356249988</v>
      </c>
      <c r="L442" s="4">
        <f>IFERROR(VLOOKUP(J442,Capacity!$A$3:$F$532,6,), "0")</f>
        <v>0.17499999999999999</v>
      </c>
      <c r="M442" s="5">
        <f t="shared" si="60"/>
        <v>251.46485267624996</v>
      </c>
      <c r="N442" s="5">
        <f t="shared" si="61"/>
        <v>0.97500000000000009</v>
      </c>
      <c r="O442">
        <v>29</v>
      </c>
      <c r="P442">
        <f>IFERROR(VLOOKUP(O442,Capacity!$A$3:$D$532,4,), "0")</f>
        <v>260.12386727999996</v>
      </c>
      <c r="Q442" s="4">
        <f>IFERROR(VLOOKUP(O442,Capacity!$A$3:$F$532,6,), "0")</f>
        <v>0.6</v>
      </c>
      <c r="R442" s="5">
        <f t="shared" si="65"/>
        <v>260.12386727999996</v>
      </c>
      <c r="S442" s="5">
        <f t="shared" si="66"/>
        <v>0.6</v>
      </c>
      <c r="T442">
        <v>303</v>
      </c>
      <c r="U442">
        <v>3</v>
      </c>
      <c r="V442">
        <v>3</v>
      </c>
      <c r="W442">
        <v>1</v>
      </c>
      <c r="X442">
        <f t="shared" si="62"/>
        <v>0.96671195652173914</v>
      </c>
      <c r="Y442">
        <f t="shared" si="63"/>
        <v>1.1117187499999999</v>
      </c>
      <c r="Z442">
        <f t="shared" si="67"/>
        <v>1.6250000000000002</v>
      </c>
      <c r="AA442">
        <f t="shared" si="68"/>
        <v>1.6250000000000002</v>
      </c>
      <c r="AC442">
        <f t="shared" si="69"/>
        <v>0.51707848837209303</v>
      </c>
      <c r="AD442">
        <f t="shared" si="64"/>
        <v>1.551235465116279</v>
      </c>
    </row>
    <row r="443" spans="1:30" x14ac:dyDescent="0.25">
      <c r="A443">
        <v>497</v>
      </c>
      <c r="B443">
        <f>IFERROR(VLOOKUP(A443,Capacity!$A$3:$D$532,4,), "0")</f>
        <v>20.204367408749999</v>
      </c>
      <c r="C443" s="4">
        <f>IFERROR(VLOOKUP(A443,Capacity!$A$3:$F$532,6,), "0")</f>
        <v>0.17499999999999999</v>
      </c>
      <c r="E443" t="str">
        <f>IFERROR(VLOOKUP(D443,Capacity!$A$3:$D$532,4,), "0")</f>
        <v>0</v>
      </c>
      <c r="F443" s="4" t="str">
        <f>IFERROR(VLOOKUP(D443,Capacity!$A$3:$F$532,6,), "0")</f>
        <v>0</v>
      </c>
      <c r="H443" t="str">
        <f>IFERROR(VLOOKUP(G443,Capacity!$A$3:$D$532,4,), "0")</f>
        <v>0</v>
      </c>
      <c r="I443" s="4" t="str">
        <f>IFERROR(VLOOKUP(G443,Capacity!$A$3:$F$532,6,), "0")</f>
        <v>0</v>
      </c>
      <c r="K443" t="str">
        <f>IFERROR(VLOOKUP(J443,Capacity!$A$3:$D$532,4,), "0")</f>
        <v>0</v>
      </c>
      <c r="L443" s="4" t="str">
        <f>IFERROR(VLOOKUP(J443,Capacity!$A$3:$F$532,6,), "0")</f>
        <v>0</v>
      </c>
      <c r="M443" s="5">
        <f t="shared" si="60"/>
        <v>0</v>
      </c>
      <c r="N443" s="5">
        <f t="shared" si="61"/>
        <v>0</v>
      </c>
      <c r="O443">
        <v>298</v>
      </c>
      <c r="P443">
        <f>IFERROR(VLOOKUP(O443,Capacity!$A$3:$D$532,4,), "0")</f>
        <v>15.707962999999999</v>
      </c>
      <c r="Q443" s="4">
        <f>IFERROR(VLOOKUP(O443,Capacity!$A$3:$F$532,6,), "0")</f>
        <v>0.25</v>
      </c>
      <c r="R443" s="5">
        <f t="shared" si="65"/>
        <v>15.707962999999999</v>
      </c>
      <c r="S443" s="5">
        <f t="shared" si="66"/>
        <v>0.25</v>
      </c>
      <c r="T443">
        <v>497</v>
      </c>
      <c r="U443">
        <v>0</v>
      </c>
      <c r="V443">
        <v>0</v>
      </c>
      <c r="W443">
        <v>1</v>
      </c>
      <c r="X443">
        <f t="shared" si="62"/>
        <v>0</v>
      </c>
      <c r="Y443">
        <f t="shared" si="63"/>
        <v>0</v>
      </c>
      <c r="Z443">
        <f t="shared" si="67"/>
        <v>0</v>
      </c>
      <c r="AA443">
        <f t="shared" si="68"/>
        <v>0</v>
      </c>
      <c r="AC443">
        <f t="shared" si="69"/>
        <v>0</v>
      </c>
      <c r="AD443">
        <f t="shared" si="64"/>
        <v>0</v>
      </c>
    </row>
    <row r="444" spans="1:30" x14ac:dyDescent="0.25">
      <c r="A444">
        <v>487</v>
      </c>
      <c r="B444">
        <f>IFERROR(VLOOKUP(A444,Capacity!$A$3:$D$532,4,), "0")</f>
        <v>14.431691006249999</v>
      </c>
      <c r="C444" s="4">
        <f>IFERROR(VLOOKUP(A444,Capacity!$A$3:$F$532,6,), "0")</f>
        <v>0.17499999999999999</v>
      </c>
      <c r="E444" t="str">
        <f>IFERROR(VLOOKUP(D444,Capacity!$A$3:$D$532,4,), "0")</f>
        <v>0</v>
      </c>
      <c r="F444" s="4" t="str">
        <f>IFERROR(VLOOKUP(D444,Capacity!$A$3:$F$532,6,), "0")</f>
        <v>0</v>
      </c>
      <c r="H444" t="str">
        <f>IFERROR(VLOOKUP(G444,Capacity!$A$3:$D$532,4,), "0")</f>
        <v>0</v>
      </c>
      <c r="I444" s="4" t="str">
        <f>IFERROR(VLOOKUP(G444,Capacity!$A$3:$F$532,6,), "0")</f>
        <v>0</v>
      </c>
      <c r="K444" t="str">
        <f>IFERROR(VLOOKUP(J444,Capacity!$A$3:$D$532,4,), "0")</f>
        <v>0</v>
      </c>
      <c r="L444" s="4" t="str">
        <f>IFERROR(VLOOKUP(J444,Capacity!$A$3:$F$532,6,), "0")</f>
        <v>0</v>
      </c>
      <c r="M444" s="5">
        <f t="shared" si="60"/>
        <v>0</v>
      </c>
      <c r="N444" s="5">
        <f t="shared" si="61"/>
        <v>0</v>
      </c>
      <c r="O444">
        <v>298</v>
      </c>
      <c r="P444">
        <f>IFERROR(VLOOKUP(O444,Capacity!$A$3:$D$532,4,), "0")</f>
        <v>15.707962999999999</v>
      </c>
      <c r="Q444" s="4">
        <f>IFERROR(VLOOKUP(O444,Capacity!$A$3:$F$532,6,), "0")</f>
        <v>0.25</v>
      </c>
      <c r="R444" s="5">
        <f t="shared" si="65"/>
        <v>15.707962999999999</v>
      </c>
      <c r="S444" s="5">
        <f t="shared" si="66"/>
        <v>0.25</v>
      </c>
      <c r="T444">
        <v>487</v>
      </c>
      <c r="U444">
        <v>0</v>
      </c>
      <c r="V444">
        <v>0</v>
      </c>
      <c r="W444">
        <v>1</v>
      </c>
      <c r="X444">
        <f t="shared" si="62"/>
        <v>0</v>
      </c>
      <c r="Y444">
        <f t="shared" si="63"/>
        <v>0</v>
      </c>
      <c r="Z444">
        <f t="shared" si="67"/>
        <v>0</v>
      </c>
      <c r="AA444">
        <f t="shared" si="68"/>
        <v>0</v>
      </c>
      <c r="AC444">
        <f t="shared" si="69"/>
        <v>0</v>
      </c>
      <c r="AD444">
        <f t="shared" si="64"/>
        <v>0</v>
      </c>
    </row>
    <row r="445" spans="1:30" x14ac:dyDescent="0.25">
      <c r="A445">
        <v>297</v>
      </c>
      <c r="B445">
        <f>IFERROR(VLOOKUP(A445,Capacity!$A$3:$D$532,4,), "0")</f>
        <v>10.053096320000002</v>
      </c>
      <c r="C445" s="4">
        <f>IFERROR(VLOOKUP(A445,Capacity!$A$3:$F$532,6,), "0")</f>
        <v>0.2</v>
      </c>
      <c r="D445">
        <v>498</v>
      </c>
      <c r="E445">
        <f>IFERROR(VLOOKUP(D445,Capacity!$A$3:$D$532,4,), "0")</f>
        <v>110.58405952000003</v>
      </c>
      <c r="F445" s="4">
        <f>IFERROR(VLOOKUP(D445,Capacity!$A$3:$F$532,6,), "0")</f>
        <v>0.4</v>
      </c>
      <c r="G445">
        <v>488</v>
      </c>
      <c r="H445">
        <f>IFERROR(VLOOKUP(G445,Capacity!$A$3:$D$532,4,), "0")</f>
        <v>42.411500099999998</v>
      </c>
      <c r="I445" s="4">
        <f>IFERROR(VLOOKUP(G445,Capacity!$A$3:$F$532,6,), "0")</f>
        <v>0.3</v>
      </c>
      <c r="K445" t="str">
        <f>IFERROR(VLOOKUP(J445,Capacity!$A$3:$D$532,4,), "0")</f>
        <v>0</v>
      </c>
      <c r="L445" s="4" t="str">
        <f>IFERROR(VLOOKUP(J445,Capacity!$A$3:$F$532,6,), "0")</f>
        <v>0</v>
      </c>
      <c r="M445" s="5">
        <f t="shared" si="60"/>
        <v>152.99555962000002</v>
      </c>
      <c r="N445" s="5">
        <f t="shared" si="61"/>
        <v>0.7</v>
      </c>
      <c r="O445">
        <v>298</v>
      </c>
      <c r="P445">
        <f>IFERROR(VLOOKUP(O445,Capacity!$A$3:$D$532,4,), "0")</f>
        <v>15.707962999999999</v>
      </c>
      <c r="Q445" s="4">
        <f>IFERROR(VLOOKUP(O445,Capacity!$A$3:$F$532,6,), "0")</f>
        <v>0.25</v>
      </c>
      <c r="R445" s="5">
        <f t="shared" si="65"/>
        <v>15.707962999999999</v>
      </c>
      <c r="S445" s="5">
        <f t="shared" si="66"/>
        <v>0.25</v>
      </c>
      <c r="T445">
        <v>297</v>
      </c>
      <c r="U445">
        <v>2</v>
      </c>
      <c r="V445">
        <v>2</v>
      </c>
      <c r="W445">
        <v>1</v>
      </c>
      <c r="X445">
        <f t="shared" si="62"/>
        <v>9.740000000000002</v>
      </c>
      <c r="Y445">
        <f t="shared" si="63"/>
        <v>15.21875</v>
      </c>
      <c r="Z445">
        <f t="shared" si="67"/>
        <v>2.8</v>
      </c>
      <c r="AA445">
        <f t="shared" si="68"/>
        <v>3.4999999999999996</v>
      </c>
      <c r="AC445">
        <f t="shared" si="69"/>
        <v>5.9390243902439028</v>
      </c>
      <c r="AD445">
        <f t="shared" si="64"/>
        <v>11.878048780487806</v>
      </c>
    </row>
    <row r="446" spans="1:30" x14ac:dyDescent="0.25">
      <c r="A446">
        <v>282</v>
      </c>
      <c r="B446">
        <f>IFERROR(VLOOKUP(A446,Capacity!$A$3:$D$532,4,), "0")</f>
        <v>84.823000199999996</v>
      </c>
      <c r="C446" s="4">
        <f>IFERROR(VLOOKUP(A446,Capacity!$A$3:$F$532,6,), "0")</f>
        <v>0.6</v>
      </c>
      <c r="D446">
        <v>283</v>
      </c>
      <c r="E446">
        <f>IFERROR(VLOOKUP(D446,Capacity!$A$3:$D$532,4,), "0")</f>
        <v>62.831851999999998</v>
      </c>
      <c r="F446" s="4">
        <f>IFERROR(VLOOKUP(D446,Capacity!$A$3:$F$532,6,), "0")</f>
        <v>0.5</v>
      </c>
      <c r="G446">
        <v>281</v>
      </c>
      <c r="H446">
        <f>IFERROR(VLOOKUP(G446,Capacity!$A$3:$D$532,4,), "0")</f>
        <v>42.411500099999998</v>
      </c>
      <c r="I446" s="4">
        <f>IFERROR(VLOOKUP(G446,Capacity!$A$3:$F$532,6,), "0")</f>
        <v>0.3</v>
      </c>
      <c r="K446" t="str">
        <f>IFERROR(VLOOKUP(J446,Capacity!$A$3:$D$532,4,), "0")</f>
        <v>0</v>
      </c>
      <c r="L446" s="4" t="str">
        <f>IFERROR(VLOOKUP(J446,Capacity!$A$3:$F$532,6,), "0")</f>
        <v>0</v>
      </c>
      <c r="M446" s="5">
        <f t="shared" si="60"/>
        <v>105.2433521</v>
      </c>
      <c r="N446" s="5">
        <f t="shared" si="61"/>
        <v>0.8</v>
      </c>
      <c r="O446">
        <v>307</v>
      </c>
      <c r="P446">
        <f>IFERROR(VLOOKUP(O446,Capacity!$A$3:$D$532,4,), "0")</f>
        <v>84.823000199999996</v>
      </c>
      <c r="Q446" s="4">
        <f>IFERROR(VLOOKUP(O446,Capacity!$A$3:$F$532,6,), "0")</f>
        <v>0.6</v>
      </c>
      <c r="R446" s="5">
        <f t="shared" si="65"/>
        <v>84.823000199999996</v>
      </c>
      <c r="S446" s="5">
        <f t="shared" si="66"/>
        <v>0.6</v>
      </c>
      <c r="T446">
        <v>282</v>
      </c>
      <c r="U446">
        <v>2</v>
      </c>
      <c r="V446">
        <v>2</v>
      </c>
      <c r="W446">
        <v>1</v>
      </c>
      <c r="X446">
        <f t="shared" si="62"/>
        <v>1.2407407407407407</v>
      </c>
      <c r="Y446">
        <f t="shared" si="63"/>
        <v>1.2407407407407407</v>
      </c>
      <c r="Z446">
        <f t="shared" si="67"/>
        <v>1.3333333333333335</v>
      </c>
      <c r="AA446">
        <f t="shared" si="68"/>
        <v>1.3333333333333335</v>
      </c>
      <c r="AC446">
        <f t="shared" si="69"/>
        <v>0.62037037037037035</v>
      </c>
      <c r="AD446">
        <f t="shared" si="64"/>
        <v>1.2407407407407407</v>
      </c>
    </row>
    <row r="447" spans="1:30" x14ac:dyDescent="0.25">
      <c r="A447">
        <v>265</v>
      </c>
      <c r="B447">
        <f>IFERROR(VLOOKUP(A447,Capacity!$A$3:$D$532,4,), "0")</f>
        <v>26.474200840200002</v>
      </c>
      <c r="C447" s="4">
        <f>IFERROR(VLOOKUP(A447,Capacity!$A$3:$F$532,6,), "0")</f>
        <v>0.26500000000000001</v>
      </c>
      <c r="E447" t="str">
        <f>IFERROR(VLOOKUP(D447,Capacity!$A$3:$D$532,4,), "0")</f>
        <v>0</v>
      </c>
      <c r="F447" s="4" t="str">
        <f>IFERROR(VLOOKUP(D447,Capacity!$A$3:$F$532,6,), "0")</f>
        <v>0</v>
      </c>
      <c r="H447" t="str">
        <f>IFERROR(VLOOKUP(G447,Capacity!$A$3:$D$532,4,), "0")</f>
        <v>0</v>
      </c>
      <c r="I447" s="4" t="str">
        <f>IFERROR(VLOOKUP(G447,Capacity!$A$3:$F$532,6,), "0")</f>
        <v>0</v>
      </c>
      <c r="K447" t="str">
        <f>IFERROR(VLOOKUP(J447,Capacity!$A$3:$D$532,4,), "0")</f>
        <v>0</v>
      </c>
      <c r="L447" s="4" t="str">
        <f>IFERROR(VLOOKUP(J447,Capacity!$A$3:$F$532,6,), "0")</f>
        <v>0</v>
      </c>
      <c r="M447" s="5">
        <f t="shared" si="60"/>
        <v>0</v>
      </c>
      <c r="N447" s="5">
        <f t="shared" si="61"/>
        <v>0</v>
      </c>
      <c r="O447">
        <v>307</v>
      </c>
      <c r="P447">
        <f>IFERROR(VLOOKUP(O447,Capacity!$A$3:$D$532,4,), "0")</f>
        <v>84.823000199999996</v>
      </c>
      <c r="Q447" s="4">
        <f>IFERROR(VLOOKUP(O447,Capacity!$A$3:$F$532,6,), "0")</f>
        <v>0.6</v>
      </c>
      <c r="R447" s="5">
        <f t="shared" si="65"/>
        <v>84.823000199999996</v>
      </c>
      <c r="S447" s="5">
        <f t="shared" si="66"/>
        <v>0.6</v>
      </c>
      <c r="T447">
        <v>265</v>
      </c>
      <c r="U447">
        <v>0</v>
      </c>
      <c r="V447">
        <v>0</v>
      </c>
      <c r="W447">
        <v>1</v>
      </c>
      <c r="X447">
        <f t="shared" si="62"/>
        <v>0</v>
      </c>
      <c r="Y447">
        <f t="shared" si="63"/>
        <v>0</v>
      </c>
      <c r="Z447">
        <f t="shared" si="67"/>
        <v>0</v>
      </c>
      <c r="AA447">
        <f t="shared" si="68"/>
        <v>0</v>
      </c>
      <c r="AC447">
        <f t="shared" si="69"/>
        <v>0</v>
      </c>
      <c r="AD447">
        <f t="shared" si="64"/>
        <v>0</v>
      </c>
    </row>
    <row r="448" spans="1:30" x14ac:dyDescent="0.25">
      <c r="A448">
        <v>301</v>
      </c>
      <c r="B448">
        <f>IFERROR(VLOOKUP(A448,Capacity!$A$3:$D$532,4,), "0")</f>
        <v>7.6969018699999987</v>
      </c>
      <c r="C448" s="4">
        <f>IFERROR(VLOOKUP(A448,Capacity!$A$3:$F$532,6,), "0")</f>
        <v>0.17499999999999999</v>
      </c>
      <c r="D448">
        <v>499</v>
      </c>
      <c r="E448">
        <f>IFERROR(VLOOKUP(D448,Capacity!$A$3:$D$532,4,), "0")</f>
        <v>7.6969018699999987</v>
      </c>
      <c r="F448" s="4">
        <f>IFERROR(VLOOKUP(D448,Capacity!$A$3:$F$532,6,), "0")</f>
        <v>0.17499999999999999</v>
      </c>
      <c r="H448" t="str">
        <f>IFERROR(VLOOKUP(G448,Capacity!$A$3:$D$532,4,), "0")</f>
        <v>0</v>
      </c>
      <c r="I448" s="4" t="str">
        <f>IFERROR(VLOOKUP(G448,Capacity!$A$3:$F$532,6,), "0")</f>
        <v>0</v>
      </c>
      <c r="K448" t="str">
        <f>IFERROR(VLOOKUP(J448,Capacity!$A$3:$D$532,4,), "0")</f>
        <v>0</v>
      </c>
      <c r="L448" s="4" t="str">
        <f>IFERROR(VLOOKUP(J448,Capacity!$A$3:$F$532,6,), "0")</f>
        <v>0</v>
      </c>
      <c r="M448" s="5">
        <f t="shared" si="60"/>
        <v>7.6969018699999987</v>
      </c>
      <c r="N448" s="5">
        <f t="shared" si="61"/>
        <v>0.17499999999999999</v>
      </c>
      <c r="O448">
        <v>300</v>
      </c>
      <c r="P448">
        <f>IFERROR(VLOOKUP(O448,Capacity!$A$3:$D$532,4,), "0")</f>
        <v>48.536034873700011</v>
      </c>
      <c r="Q448" s="4">
        <f>IFERROR(VLOOKUP(O448,Capacity!$A$3:$F$532,6,), "0")</f>
        <v>0.26500000000000001</v>
      </c>
      <c r="R448" s="5">
        <f t="shared" si="65"/>
        <v>48.536034873700011</v>
      </c>
      <c r="S448" s="5">
        <f t="shared" si="66"/>
        <v>0.26500000000000001</v>
      </c>
      <c r="T448">
        <v>301</v>
      </c>
      <c r="U448">
        <v>1</v>
      </c>
      <c r="V448">
        <v>1</v>
      </c>
      <c r="W448">
        <v>1</v>
      </c>
      <c r="X448">
        <f t="shared" si="62"/>
        <v>0.1585811838570827</v>
      </c>
      <c r="Y448">
        <f t="shared" si="63"/>
        <v>1</v>
      </c>
      <c r="Z448">
        <f t="shared" si="67"/>
        <v>0.660377358490566</v>
      </c>
      <c r="AA448">
        <f t="shared" si="68"/>
        <v>1</v>
      </c>
      <c r="AC448">
        <f t="shared" si="69"/>
        <v>0.13687533171317631</v>
      </c>
      <c r="AD448">
        <f t="shared" si="64"/>
        <v>0.13687533171317631</v>
      </c>
    </row>
    <row r="449" spans="1:30" x14ac:dyDescent="0.25">
      <c r="A449">
        <v>302</v>
      </c>
      <c r="B449">
        <f>IFERROR(VLOOKUP(A449,Capacity!$A$3:$D$532,4,), "0")</f>
        <v>6.2831852000000019</v>
      </c>
      <c r="C449" s="4">
        <f>IFERROR(VLOOKUP(A449,Capacity!$A$3:$F$532,6,), "0")</f>
        <v>0.2</v>
      </c>
      <c r="E449" t="str">
        <f>IFERROR(VLOOKUP(D449,Capacity!$A$3:$D$532,4,), "0")</f>
        <v>0</v>
      </c>
      <c r="F449" s="4" t="str">
        <f>IFERROR(VLOOKUP(D449,Capacity!$A$3:$F$532,6,), "0")</f>
        <v>0</v>
      </c>
      <c r="H449" t="str">
        <f>IFERROR(VLOOKUP(G449,Capacity!$A$3:$D$532,4,), "0")</f>
        <v>0</v>
      </c>
      <c r="I449" s="4" t="str">
        <f>IFERROR(VLOOKUP(G449,Capacity!$A$3:$F$532,6,), "0")</f>
        <v>0</v>
      </c>
      <c r="K449" t="str">
        <f>IFERROR(VLOOKUP(J449,Capacity!$A$3:$D$532,4,), "0")</f>
        <v>0</v>
      </c>
      <c r="L449" s="4" t="str">
        <f>IFERROR(VLOOKUP(J449,Capacity!$A$3:$F$532,6,), "0")</f>
        <v>0</v>
      </c>
      <c r="M449" s="5">
        <f t="shared" si="60"/>
        <v>0</v>
      </c>
      <c r="N449" s="5">
        <f t="shared" si="61"/>
        <v>0</v>
      </c>
      <c r="O449">
        <v>303</v>
      </c>
      <c r="P449">
        <f>IFERROR(VLOOKUP(O449,Capacity!$A$3:$D$532,4,), "0")</f>
        <v>226.1946672</v>
      </c>
      <c r="Q449" s="4">
        <f>IFERROR(VLOOKUP(O449,Capacity!$A$3:$F$532,6,), "0")</f>
        <v>0.6</v>
      </c>
      <c r="R449" s="5">
        <f t="shared" si="65"/>
        <v>226.1946672</v>
      </c>
      <c r="S449" s="5">
        <f t="shared" si="66"/>
        <v>0.6</v>
      </c>
      <c r="T449">
        <v>302</v>
      </c>
      <c r="U449">
        <v>0</v>
      </c>
      <c r="V449">
        <v>0</v>
      </c>
      <c r="W449">
        <v>1</v>
      </c>
      <c r="X449">
        <f t="shared" si="62"/>
        <v>0</v>
      </c>
      <c r="Y449">
        <f t="shared" si="63"/>
        <v>0</v>
      </c>
      <c r="Z449">
        <f t="shared" si="67"/>
        <v>0</v>
      </c>
      <c r="AA449">
        <f t="shared" si="68"/>
        <v>0</v>
      </c>
      <c r="AC449">
        <f t="shared" si="69"/>
        <v>0</v>
      </c>
      <c r="AD449">
        <f t="shared" si="64"/>
        <v>0</v>
      </c>
    </row>
    <row r="450" spans="1:30" x14ac:dyDescent="0.25">
      <c r="A450">
        <v>304</v>
      </c>
      <c r="B450">
        <f>IFERROR(VLOOKUP(A450,Capacity!$A$3:$D$532,4,), "0")</f>
        <v>192.26546711999998</v>
      </c>
      <c r="C450" s="4">
        <f>IFERROR(VLOOKUP(A450,Capacity!$A$3:$F$532,6,), "0")</f>
        <v>0.6</v>
      </c>
      <c r="D450">
        <v>305</v>
      </c>
      <c r="E450">
        <f>IFERROR(VLOOKUP(D450,Capacity!$A$3:$D$532,4,), "0")</f>
        <v>203.57520048000001</v>
      </c>
      <c r="F450" s="4">
        <f>IFERROR(VLOOKUP(D450,Capacity!$A$3:$F$532,6,), "0")</f>
        <v>0.6</v>
      </c>
      <c r="G450">
        <v>296</v>
      </c>
      <c r="H450">
        <f>IFERROR(VLOOKUP(G450,Capacity!$A$3:$D$532,4,), "0")</f>
        <v>22.619466720000005</v>
      </c>
      <c r="I450" s="4">
        <f>IFERROR(VLOOKUP(G450,Capacity!$A$3:$F$532,6,), "0")</f>
        <v>0.2</v>
      </c>
      <c r="K450" t="str">
        <f>IFERROR(VLOOKUP(J450,Capacity!$A$3:$D$532,4,), "0")</f>
        <v>0</v>
      </c>
      <c r="L450" s="4" t="str">
        <f>IFERROR(VLOOKUP(J450,Capacity!$A$3:$F$532,6,), "0")</f>
        <v>0</v>
      </c>
      <c r="M450" s="5">
        <f t="shared" ref="M450:M513" si="70">$E450+$H450+$K450</f>
        <v>226.19466720000003</v>
      </c>
      <c r="N450" s="5">
        <f t="shared" si="61"/>
        <v>0.8</v>
      </c>
      <c r="O450">
        <v>303</v>
      </c>
      <c r="P450">
        <f>IFERROR(VLOOKUP(O450,Capacity!$A$3:$D$532,4,), "0")</f>
        <v>226.1946672</v>
      </c>
      <c r="Q450" s="4">
        <f>IFERROR(VLOOKUP(O450,Capacity!$A$3:$F$532,6,), "0")</f>
        <v>0.6</v>
      </c>
      <c r="R450" s="5">
        <f t="shared" si="65"/>
        <v>226.1946672</v>
      </c>
      <c r="S450" s="5">
        <f t="shared" si="66"/>
        <v>0.6</v>
      </c>
      <c r="T450">
        <v>304</v>
      </c>
      <c r="U450">
        <v>2</v>
      </c>
      <c r="V450">
        <v>2</v>
      </c>
      <c r="W450">
        <v>1</v>
      </c>
      <c r="X450">
        <f t="shared" si="62"/>
        <v>1.0000000000000002</v>
      </c>
      <c r="Y450">
        <f t="shared" si="63"/>
        <v>1.1764705882352944</v>
      </c>
      <c r="Z450">
        <f t="shared" si="67"/>
        <v>1.3333333333333335</v>
      </c>
      <c r="AA450">
        <f t="shared" si="68"/>
        <v>1.3333333333333335</v>
      </c>
      <c r="AC450">
        <f t="shared" si="69"/>
        <v>0.54054054054054068</v>
      </c>
      <c r="AD450">
        <f t="shared" si="64"/>
        <v>1.0810810810810814</v>
      </c>
    </row>
    <row r="451" spans="1:30" x14ac:dyDescent="0.25">
      <c r="A451">
        <v>272</v>
      </c>
      <c r="B451">
        <f>IFERROR(VLOOKUP(A451,Capacity!$A$3:$D$532,4,), "0")</f>
        <v>52.916200356249988</v>
      </c>
      <c r="C451" s="4">
        <f>IFERROR(VLOOKUP(A451,Capacity!$A$3:$F$532,6,), "0")</f>
        <v>0.17499999999999999</v>
      </c>
      <c r="E451" t="str">
        <f>IFERROR(VLOOKUP(D451,Capacity!$A$3:$D$532,4,), "0")</f>
        <v>0</v>
      </c>
      <c r="F451" s="4" t="str">
        <f>IFERROR(VLOOKUP(D451,Capacity!$A$3:$F$532,6,), "0")</f>
        <v>0</v>
      </c>
      <c r="H451" t="str">
        <f>IFERROR(VLOOKUP(G451,Capacity!$A$3:$D$532,4,), "0")</f>
        <v>0</v>
      </c>
      <c r="I451" s="4" t="str">
        <f>IFERROR(VLOOKUP(G451,Capacity!$A$3:$F$532,6,), "0")</f>
        <v>0</v>
      </c>
      <c r="K451" t="str">
        <f>IFERROR(VLOOKUP(J451,Capacity!$A$3:$D$532,4,), "0")</f>
        <v>0</v>
      </c>
      <c r="L451" s="4" t="str">
        <f>IFERROR(VLOOKUP(J451,Capacity!$A$3:$F$532,6,), "0")</f>
        <v>0</v>
      </c>
      <c r="M451" s="5">
        <f t="shared" si="70"/>
        <v>0</v>
      </c>
      <c r="N451" s="5">
        <f t="shared" ref="N451:N514" si="71">$F451+$I451+$L451</f>
        <v>0</v>
      </c>
      <c r="O451">
        <v>303</v>
      </c>
      <c r="P451">
        <f>IFERROR(VLOOKUP(O451,Capacity!$A$3:$D$532,4,), "0")</f>
        <v>226.1946672</v>
      </c>
      <c r="Q451" s="4">
        <f>IFERROR(VLOOKUP(O451,Capacity!$A$3:$F$532,6,), "0")</f>
        <v>0.6</v>
      </c>
      <c r="R451" s="5">
        <f t="shared" si="65"/>
        <v>226.1946672</v>
      </c>
      <c r="S451" s="5">
        <f t="shared" si="66"/>
        <v>0.6</v>
      </c>
      <c r="T451">
        <v>272</v>
      </c>
      <c r="U451">
        <v>0</v>
      </c>
      <c r="V451">
        <v>0</v>
      </c>
      <c r="W451">
        <v>1</v>
      </c>
      <c r="X451">
        <f t="shared" ref="X451:X514" si="72">($M451/$R451)</f>
        <v>0</v>
      </c>
      <c r="Y451">
        <f t="shared" ref="Y451:Y514" si="73">($M451/$B451)</f>
        <v>0</v>
      </c>
      <c r="Z451">
        <f t="shared" si="67"/>
        <v>0</v>
      </c>
      <c r="AA451">
        <f t="shared" si="68"/>
        <v>0</v>
      </c>
      <c r="AC451">
        <f t="shared" si="69"/>
        <v>0</v>
      </c>
      <c r="AD451">
        <f t="shared" ref="AD451:AD514" si="74">U451*AC451</f>
        <v>0</v>
      </c>
    </row>
    <row r="452" spans="1:30" x14ac:dyDescent="0.25">
      <c r="A452">
        <v>498</v>
      </c>
      <c r="B452">
        <f>IFERROR(VLOOKUP(A452,Capacity!$A$3:$D$532,4,), "0")</f>
        <v>110.58405952000003</v>
      </c>
      <c r="C452" s="4">
        <f>IFERROR(VLOOKUP(A452,Capacity!$A$3:$F$532,6,), "0")</f>
        <v>0.4</v>
      </c>
      <c r="E452" t="str">
        <f>IFERROR(VLOOKUP(D452,Capacity!$A$3:$D$532,4,), "0")</f>
        <v>0</v>
      </c>
      <c r="F452" s="4" t="str">
        <f>IFERROR(VLOOKUP(D452,Capacity!$A$3:$F$532,6,), "0")</f>
        <v>0</v>
      </c>
      <c r="H452" t="str">
        <f>IFERROR(VLOOKUP(G452,Capacity!$A$3:$D$532,4,), "0")</f>
        <v>0</v>
      </c>
      <c r="I452" s="4" t="str">
        <f>IFERROR(VLOOKUP(G452,Capacity!$A$3:$F$532,6,), "0")</f>
        <v>0</v>
      </c>
      <c r="K452" t="str">
        <f>IFERROR(VLOOKUP(J452,Capacity!$A$3:$D$532,4,), "0")</f>
        <v>0</v>
      </c>
      <c r="L452" s="4" t="str">
        <f>IFERROR(VLOOKUP(J452,Capacity!$A$3:$F$532,6,), "0")</f>
        <v>0</v>
      </c>
      <c r="M452" s="5">
        <f t="shared" si="70"/>
        <v>0</v>
      </c>
      <c r="N452" s="5">
        <f t="shared" si="71"/>
        <v>0</v>
      </c>
      <c r="O452">
        <v>297</v>
      </c>
      <c r="P452">
        <f>IFERROR(VLOOKUP(O452,Capacity!$A$3:$D$532,4,), "0")</f>
        <v>10.053096320000002</v>
      </c>
      <c r="Q452" s="4">
        <f>IFERROR(VLOOKUP(O452,Capacity!$A$3:$F$532,6,), "0")</f>
        <v>0.2</v>
      </c>
      <c r="R452" s="5">
        <f t="shared" ref="R452:R515" si="75">$P452</f>
        <v>10.053096320000002</v>
      </c>
      <c r="S452" s="5">
        <f t="shared" ref="S452:S515" si="76">$Q452</f>
        <v>0.2</v>
      </c>
      <c r="T452">
        <v>498</v>
      </c>
      <c r="U452">
        <v>0</v>
      </c>
      <c r="V452">
        <v>0</v>
      </c>
      <c r="W452">
        <v>1</v>
      </c>
      <c r="X452">
        <f t="shared" si="72"/>
        <v>0</v>
      </c>
      <c r="Y452">
        <f t="shared" si="73"/>
        <v>0</v>
      </c>
      <c r="Z452">
        <f t="shared" ref="Z452:Z515" si="77">($N452/$S452)</f>
        <v>0</v>
      </c>
      <c r="AA452">
        <f t="shared" ref="AA452:AA515" si="78">($N452/$C452)</f>
        <v>0</v>
      </c>
      <c r="AC452">
        <f t="shared" ref="AC452:AC515" si="79">$M452/($R452+$B452)</f>
        <v>0</v>
      </c>
      <c r="AD452">
        <f t="shared" si="74"/>
        <v>0</v>
      </c>
    </row>
    <row r="453" spans="1:30" x14ac:dyDescent="0.25">
      <c r="A453">
        <v>488</v>
      </c>
      <c r="B453">
        <f>IFERROR(VLOOKUP(A453,Capacity!$A$3:$D$532,4,), "0")</f>
        <v>42.411500099999998</v>
      </c>
      <c r="C453" s="4">
        <f>IFERROR(VLOOKUP(A453,Capacity!$A$3:$F$532,6,), "0")</f>
        <v>0.3</v>
      </c>
      <c r="E453" t="str">
        <f>IFERROR(VLOOKUP(D453,Capacity!$A$3:$D$532,4,), "0")</f>
        <v>0</v>
      </c>
      <c r="F453" s="4" t="str">
        <f>IFERROR(VLOOKUP(D453,Capacity!$A$3:$F$532,6,), "0")</f>
        <v>0</v>
      </c>
      <c r="H453" t="str">
        <f>IFERROR(VLOOKUP(G453,Capacity!$A$3:$D$532,4,), "0")</f>
        <v>0</v>
      </c>
      <c r="I453" s="4" t="str">
        <f>IFERROR(VLOOKUP(G453,Capacity!$A$3:$F$532,6,), "0")</f>
        <v>0</v>
      </c>
      <c r="K453" t="str">
        <f>IFERROR(VLOOKUP(J453,Capacity!$A$3:$D$532,4,), "0")</f>
        <v>0</v>
      </c>
      <c r="L453" s="4" t="str">
        <f>IFERROR(VLOOKUP(J453,Capacity!$A$3:$F$532,6,), "0")</f>
        <v>0</v>
      </c>
      <c r="M453" s="5">
        <f t="shared" si="70"/>
        <v>0</v>
      </c>
      <c r="N453" s="5">
        <f t="shared" si="71"/>
        <v>0</v>
      </c>
      <c r="O453">
        <v>297</v>
      </c>
      <c r="P453">
        <f>IFERROR(VLOOKUP(O453,Capacity!$A$3:$D$532,4,), "0")</f>
        <v>10.053096320000002</v>
      </c>
      <c r="Q453" s="4">
        <f>IFERROR(VLOOKUP(O453,Capacity!$A$3:$F$532,6,), "0")</f>
        <v>0.2</v>
      </c>
      <c r="R453" s="5">
        <f t="shared" si="75"/>
        <v>10.053096320000002</v>
      </c>
      <c r="S453" s="5">
        <f t="shared" si="76"/>
        <v>0.2</v>
      </c>
      <c r="T453">
        <v>488</v>
      </c>
      <c r="U453">
        <v>0</v>
      </c>
      <c r="V453">
        <v>0</v>
      </c>
      <c r="W453">
        <v>1</v>
      </c>
      <c r="X453">
        <f t="shared" si="72"/>
        <v>0</v>
      </c>
      <c r="Y453">
        <f t="shared" si="73"/>
        <v>0</v>
      </c>
      <c r="Z453">
        <f t="shared" si="77"/>
        <v>0</v>
      </c>
      <c r="AA453">
        <f t="shared" si="78"/>
        <v>0</v>
      </c>
      <c r="AC453">
        <f t="shared" si="79"/>
        <v>0</v>
      </c>
      <c r="AD453">
        <f t="shared" si="74"/>
        <v>0</v>
      </c>
    </row>
    <row r="454" spans="1:30" x14ac:dyDescent="0.25">
      <c r="A454">
        <v>283</v>
      </c>
      <c r="B454">
        <f>IFERROR(VLOOKUP(A454,Capacity!$A$3:$D$532,4,), "0")</f>
        <v>62.831851999999998</v>
      </c>
      <c r="C454" s="4">
        <f>IFERROR(VLOOKUP(A454,Capacity!$A$3:$F$532,6,), "0")</f>
        <v>0.5</v>
      </c>
      <c r="D454">
        <v>285</v>
      </c>
      <c r="E454">
        <f>IFERROR(VLOOKUP(D454,Capacity!$A$3:$D$532,4,), "0")</f>
        <v>58.904861250000003</v>
      </c>
      <c r="F454" s="4">
        <f>IFERROR(VLOOKUP(D454,Capacity!$A$3:$F$532,6,), "0")</f>
        <v>0.5</v>
      </c>
      <c r="H454" t="str">
        <f>IFERROR(VLOOKUP(G454,Capacity!$A$3:$D$532,4,), "0")</f>
        <v>0</v>
      </c>
      <c r="I454" s="4" t="str">
        <f>IFERROR(VLOOKUP(G454,Capacity!$A$3:$F$532,6,), "0")</f>
        <v>0</v>
      </c>
      <c r="K454" t="str">
        <f>IFERROR(VLOOKUP(J454,Capacity!$A$3:$D$532,4,), "0")</f>
        <v>0</v>
      </c>
      <c r="L454" s="4" t="str">
        <f>IFERROR(VLOOKUP(J454,Capacity!$A$3:$F$532,6,), "0")</f>
        <v>0</v>
      </c>
      <c r="M454" s="5">
        <f t="shared" si="70"/>
        <v>58.904861250000003</v>
      </c>
      <c r="N454" s="5">
        <f t="shared" si="71"/>
        <v>0.5</v>
      </c>
      <c r="O454">
        <v>282</v>
      </c>
      <c r="P454">
        <f>IFERROR(VLOOKUP(O454,Capacity!$A$3:$D$532,4,), "0")</f>
        <v>84.823000199999996</v>
      </c>
      <c r="Q454" s="4">
        <f>IFERROR(VLOOKUP(O454,Capacity!$A$3:$F$532,6,), "0")</f>
        <v>0.6</v>
      </c>
      <c r="R454" s="5">
        <f t="shared" si="75"/>
        <v>84.823000199999996</v>
      </c>
      <c r="S454" s="5">
        <f t="shared" si="76"/>
        <v>0.6</v>
      </c>
      <c r="T454">
        <v>283</v>
      </c>
      <c r="U454">
        <v>1</v>
      </c>
      <c r="V454">
        <v>1</v>
      </c>
      <c r="W454">
        <v>1</v>
      </c>
      <c r="X454">
        <f t="shared" si="72"/>
        <v>0.69444444444444453</v>
      </c>
      <c r="Y454">
        <f t="shared" si="73"/>
        <v>0.93750000000000011</v>
      </c>
      <c r="Z454">
        <f t="shared" si="77"/>
        <v>0.83333333333333337</v>
      </c>
      <c r="AA454">
        <f t="shared" si="78"/>
        <v>1</v>
      </c>
      <c r="AC454">
        <f t="shared" si="79"/>
        <v>0.39893617021276601</v>
      </c>
      <c r="AD454">
        <f t="shared" si="74"/>
        <v>0.39893617021276601</v>
      </c>
    </row>
    <row r="455" spans="1:30" x14ac:dyDescent="0.25">
      <c r="A455">
        <v>281</v>
      </c>
      <c r="B455">
        <f>IFERROR(VLOOKUP(A455,Capacity!$A$3:$D$532,4,), "0")</f>
        <v>42.411500099999998</v>
      </c>
      <c r="C455" s="4">
        <f>IFERROR(VLOOKUP(A455,Capacity!$A$3:$F$532,6,), "0")</f>
        <v>0.3</v>
      </c>
      <c r="D455">
        <v>113</v>
      </c>
      <c r="E455">
        <f>IFERROR(VLOOKUP(D455,Capacity!$A$3:$D$532,4,), "0")</f>
        <v>25.446900060000001</v>
      </c>
      <c r="F455" s="4">
        <f>IFERROR(VLOOKUP(D455,Capacity!$A$3:$F$532,6,), "0")</f>
        <v>0.3</v>
      </c>
      <c r="H455" t="str">
        <f>IFERROR(VLOOKUP(G455,Capacity!$A$3:$D$532,4,), "0")</f>
        <v>0</v>
      </c>
      <c r="I455" s="4" t="str">
        <f>IFERROR(VLOOKUP(G455,Capacity!$A$3:$F$532,6,), "0")</f>
        <v>0</v>
      </c>
      <c r="K455" t="str">
        <f>IFERROR(VLOOKUP(J455,Capacity!$A$3:$D$532,4,), "0")</f>
        <v>0</v>
      </c>
      <c r="L455" s="4" t="str">
        <f>IFERROR(VLOOKUP(J455,Capacity!$A$3:$F$532,6,), "0")</f>
        <v>0</v>
      </c>
      <c r="M455" s="5">
        <f t="shared" si="70"/>
        <v>25.446900060000001</v>
      </c>
      <c r="N455" s="5">
        <f t="shared" si="71"/>
        <v>0.3</v>
      </c>
      <c r="O455">
        <v>282</v>
      </c>
      <c r="P455">
        <f>IFERROR(VLOOKUP(O455,Capacity!$A$3:$D$532,4,), "0")</f>
        <v>84.823000199999996</v>
      </c>
      <c r="Q455" s="4">
        <f>IFERROR(VLOOKUP(O455,Capacity!$A$3:$F$532,6,), "0")</f>
        <v>0.6</v>
      </c>
      <c r="R455" s="5">
        <f t="shared" si="75"/>
        <v>84.823000199999996</v>
      </c>
      <c r="S455" s="5">
        <f t="shared" si="76"/>
        <v>0.6</v>
      </c>
      <c r="T455">
        <v>281</v>
      </c>
      <c r="U455">
        <v>1</v>
      </c>
      <c r="V455">
        <v>1</v>
      </c>
      <c r="W455">
        <v>1</v>
      </c>
      <c r="X455">
        <f t="shared" si="72"/>
        <v>0.30000000000000004</v>
      </c>
      <c r="Y455">
        <f t="shared" si="73"/>
        <v>0.60000000000000009</v>
      </c>
      <c r="Z455">
        <f t="shared" si="77"/>
        <v>0.5</v>
      </c>
      <c r="AA455">
        <f t="shared" si="78"/>
        <v>1</v>
      </c>
      <c r="AC455">
        <f t="shared" si="79"/>
        <v>0.2</v>
      </c>
      <c r="AD455">
        <f t="shared" si="74"/>
        <v>0.2</v>
      </c>
    </row>
    <row r="456" spans="1:30" x14ac:dyDescent="0.25">
      <c r="A456">
        <v>499</v>
      </c>
      <c r="B456">
        <f>IFERROR(VLOOKUP(A456,Capacity!$A$3:$D$532,4,), "0")</f>
        <v>7.6969018699999987</v>
      </c>
      <c r="C456" s="4">
        <f>IFERROR(VLOOKUP(A456,Capacity!$A$3:$F$532,6,), "0")</f>
        <v>0.17499999999999999</v>
      </c>
      <c r="E456" t="str">
        <f>IFERROR(VLOOKUP(D456,Capacity!$A$3:$D$532,4,), "0")</f>
        <v>0</v>
      </c>
      <c r="F456" s="4" t="str">
        <f>IFERROR(VLOOKUP(D456,Capacity!$A$3:$F$532,6,), "0")</f>
        <v>0</v>
      </c>
      <c r="H456" t="str">
        <f>IFERROR(VLOOKUP(G456,Capacity!$A$3:$D$532,4,), "0")</f>
        <v>0</v>
      </c>
      <c r="I456" s="4" t="str">
        <f>IFERROR(VLOOKUP(G456,Capacity!$A$3:$F$532,6,), "0")</f>
        <v>0</v>
      </c>
      <c r="K456" t="str">
        <f>IFERROR(VLOOKUP(J456,Capacity!$A$3:$D$532,4,), "0")</f>
        <v>0</v>
      </c>
      <c r="L456" s="4" t="str">
        <f>IFERROR(VLOOKUP(J456,Capacity!$A$3:$F$532,6,), "0")</f>
        <v>0</v>
      </c>
      <c r="M456" s="5">
        <f t="shared" si="70"/>
        <v>0</v>
      </c>
      <c r="N456" s="5">
        <f t="shared" si="71"/>
        <v>0</v>
      </c>
      <c r="O456">
        <v>301</v>
      </c>
      <c r="P456">
        <f>IFERROR(VLOOKUP(O456,Capacity!$A$3:$D$532,4,), "0")</f>
        <v>7.6969018699999987</v>
      </c>
      <c r="Q456" s="4">
        <f>IFERROR(VLOOKUP(O456,Capacity!$A$3:$F$532,6,), "0")</f>
        <v>0.17499999999999999</v>
      </c>
      <c r="R456" s="5">
        <f t="shared" si="75"/>
        <v>7.6969018699999987</v>
      </c>
      <c r="S456" s="5">
        <f t="shared" si="76"/>
        <v>0.17499999999999999</v>
      </c>
      <c r="T456">
        <v>499</v>
      </c>
      <c r="U456">
        <v>0</v>
      </c>
      <c r="V456">
        <v>0</v>
      </c>
      <c r="W456">
        <v>1</v>
      </c>
      <c r="X456">
        <f t="shared" si="72"/>
        <v>0</v>
      </c>
      <c r="Y456">
        <f t="shared" si="73"/>
        <v>0</v>
      </c>
      <c r="Z456">
        <f t="shared" si="77"/>
        <v>0</v>
      </c>
      <c r="AA456">
        <f t="shared" si="78"/>
        <v>0</v>
      </c>
      <c r="AC456">
        <f t="shared" si="79"/>
        <v>0</v>
      </c>
      <c r="AD456">
        <f t="shared" si="74"/>
        <v>0</v>
      </c>
    </row>
    <row r="457" spans="1:30" x14ac:dyDescent="0.25">
      <c r="A457">
        <v>296</v>
      </c>
      <c r="B457">
        <f>IFERROR(VLOOKUP(A457,Capacity!$A$3:$D$532,4,), "0")</f>
        <v>22.619466720000005</v>
      </c>
      <c r="C457" s="4">
        <f>IFERROR(VLOOKUP(A457,Capacity!$A$3:$F$532,6,), "0")</f>
        <v>0.2</v>
      </c>
      <c r="D457">
        <v>494</v>
      </c>
      <c r="E457">
        <f>IFERROR(VLOOKUP(D457,Capacity!$A$3:$D$532,4,), "0")</f>
        <v>15.393803739999997</v>
      </c>
      <c r="F457" s="4">
        <f>IFERROR(VLOOKUP(D457,Capacity!$A$3:$F$532,6,), "0")</f>
        <v>0.17499999999999999</v>
      </c>
      <c r="G457">
        <v>489</v>
      </c>
      <c r="H457">
        <f>IFERROR(VLOOKUP(G457,Capacity!$A$3:$D$532,4,), "0")</f>
        <v>14.431691006249999</v>
      </c>
      <c r="I457" s="4">
        <f>IFERROR(VLOOKUP(G457,Capacity!$A$3:$F$532,6,), "0")</f>
        <v>0.17499999999999999</v>
      </c>
      <c r="K457" t="str">
        <f>IFERROR(VLOOKUP(J457,Capacity!$A$3:$D$532,4,), "0")</f>
        <v>0</v>
      </c>
      <c r="L457" s="4" t="str">
        <f>IFERROR(VLOOKUP(J457,Capacity!$A$3:$F$532,6,), "0")</f>
        <v>0</v>
      </c>
      <c r="M457" s="5">
        <f t="shared" si="70"/>
        <v>29.825494746249994</v>
      </c>
      <c r="N457" s="5">
        <f t="shared" si="71"/>
        <v>0.35</v>
      </c>
      <c r="O457">
        <v>304</v>
      </c>
      <c r="P457">
        <f>IFERROR(VLOOKUP(O457,Capacity!$A$3:$D$532,4,), "0")</f>
        <v>192.26546711999998</v>
      </c>
      <c r="Q457" s="4">
        <f>IFERROR(VLOOKUP(O457,Capacity!$A$3:$F$532,6,), "0")</f>
        <v>0.6</v>
      </c>
      <c r="R457" s="5">
        <f t="shared" si="75"/>
        <v>192.26546711999998</v>
      </c>
      <c r="S457" s="5">
        <f t="shared" si="76"/>
        <v>0.6</v>
      </c>
      <c r="T457">
        <v>296</v>
      </c>
      <c r="U457">
        <v>2</v>
      </c>
      <c r="V457">
        <v>2</v>
      </c>
      <c r="W457">
        <v>1</v>
      </c>
      <c r="X457">
        <f t="shared" si="72"/>
        <v>0.15512663398692808</v>
      </c>
      <c r="Y457">
        <f t="shared" si="73"/>
        <v>1.3185763888888884</v>
      </c>
      <c r="Z457">
        <f t="shared" si="77"/>
        <v>0.58333333333333337</v>
      </c>
      <c r="AA457">
        <f t="shared" si="78"/>
        <v>1.7499999999999998</v>
      </c>
      <c r="AC457">
        <f t="shared" si="79"/>
        <v>0.13879751461988304</v>
      </c>
      <c r="AD457">
        <f t="shared" si="74"/>
        <v>0.27759502923976609</v>
      </c>
    </row>
    <row r="458" spans="1:30" x14ac:dyDescent="0.25">
      <c r="A458">
        <v>305</v>
      </c>
      <c r="B458">
        <f>IFERROR(VLOOKUP(A458,Capacity!$A$3:$D$532,4,), "0")</f>
        <v>203.57520048000001</v>
      </c>
      <c r="C458" s="4">
        <f>IFERROR(VLOOKUP(A458,Capacity!$A$3:$F$532,6,), "0")</f>
        <v>0.6</v>
      </c>
      <c r="D458">
        <v>293</v>
      </c>
      <c r="E458">
        <f>IFERROR(VLOOKUP(D458,Capacity!$A$3:$D$532,4,), "0")</f>
        <v>70.685833500000001</v>
      </c>
      <c r="F458" s="4">
        <f>IFERROR(VLOOKUP(D458,Capacity!$A$3:$F$532,6,), "0")</f>
        <v>0.5</v>
      </c>
      <c r="G458">
        <v>294</v>
      </c>
      <c r="H458">
        <f>IFERROR(VLOOKUP(G458,Capacity!$A$3:$D$532,4,), "0")</f>
        <v>7.6969018699999987</v>
      </c>
      <c r="I458" s="4">
        <f>IFERROR(VLOOKUP(G458,Capacity!$A$3:$F$532,6,), "0")</f>
        <v>0.17499999999999999</v>
      </c>
      <c r="K458" t="str">
        <f>IFERROR(VLOOKUP(J458,Capacity!$A$3:$D$532,4,), "0")</f>
        <v>0</v>
      </c>
      <c r="L458" s="4" t="str">
        <f>IFERROR(VLOOKUP(J458,Capacity!$A$3:$F$532,6,), "0")</f>
        <v>0</v>
      </c>
      <c r="M458" s="5">
        <f t="shared" si="70"/>
        <v>78.382735370000006</v>
      </c>
      <c r="N458" s="5">
        <f t="shared" si="71"/>
        <v>0.67500000000000004</v>
      </c>
      <c r="O458">
        <v>304</v>
      </c>
      <c r="P458">
        <f>IFERROR(VLOOKUP(O458,Capacity!$A$3:$D$532,4,), "0")</f>
        <v>192.26546711999998</v>
      </c>
      <c r="Q458" s="4">
        <f>IFERROR(VLOOKUP(O458,Capacity!$A$3:$F$532,6,), "0")</f>
        <v>0.6</v>
      </c>
      <c r="R458" s="5">
        <f t="shared" si="75"/>
        <v>192.26546711999998</v>
      </c>
      <c r="S458" s="5">
        <f t="shared" si="76"/>
        <v>0.6</v>
      </c>
      <c r="T458">
        <v>305</v>
      </c>
      <c r="U458">
        <v>2</v>
      </c>
      <c r="V458">
        <v>2</v>
      </c>
      <c r="W458">
        <v>1</v>
      </c>
      <c r="X458">
        <f t="shared" si="72"/>
        <v>0.40767973856209155</v>
      </c>
      <c r="Y458">
        <f t="shared" si="73"/>
        <v>0.38503086419753091</v>
      </c>
      <c r="Z458">
        <f t="shared" si="77"/>
        <v>1.1250000000000002</v>
      </c>
      <c r="AA458">
        <f t="shared" si="78"/>
        <v>1.1250000000000002</v>
      </c>
      <c r="AC458">
        <f t="shared" si="79"/>
        <v>0.19801587301587306</v>
      </c>
      <c r="AD458">
        <f t="shared" si="74"/>
        <v>0.39603174603174612</v>
      </c>
    </row>
    <row r="459" spans="1:30" x14ac:dyDescent="0.25">
      <c r="A459">
        <v>113</v>
      </c>
      <c r="B459">
        <f>IFERROR(VLOOKUP(A459,Capacity!$A$3:$D$532,4,), "0")</f>
        <v>25.446900060000001</v>
      </c>
      <c r="C459" s="4">
        <f>IFERROR(VLOOKUP(A459,Capacity!$A$3:$F$532,6,), "0")</f>
        <v>0.3</v>
      </c>
      <c r="D459">
        <v>101</v>
      </c>
      <c r="E459">
        <f>IFERROR(VLOOKUP(D459,Capacity!$A$3:$D$532,4,), "0")</f>
        <v>19.855650630150002</v>
      </c>
      <c r="F459" s="4">
        <f>IFERROR(VLOOKUP(D459,Capacity!$A$3:$F$532,6,), "0")</f>
        <v>0.26500000000000001</v>
      </c>
      <c r="H459" t="str">
        <f>IFERROR(VLOOKUP(G459,Capacity!$A$3:$D$532,4,), "0")</f>
        <v>0</v>
      </c>
      <c r="I459" s="4" t="str">
        <f>IFERROR(VLOOKUP(G459,Capacity!$A$3:$F$532,6,), "0")</f>
        <v>0</v>
      </c>
      <c r="K459" t="str">
        <f>IFERROR(VLOOKUP(J459,Capacity!$A$3:$D$532,4,), "0")</f>
        <v>0</v>
      </c>
      <c r="L459" s="4" t="str">
        <f>IFERROR(VLOOKUP(J459,Capacity!$A$3:$F$532,6,), "0")</f>
        <v>0</v>
      </c>
      <c r="M459" s="5">
        <f t="shared" si="70"/>
        <v>19.855650630150002</v>
      </c>
      <c r="N459" s="5">
        <f t="shared" si="71"/>
        <v>0.26500000000000001</v>
      </c>
      <c r="O459">
        <v>281</v>
      </c>
      <c r="P459">
        <f>IFERROR(VLOOKUP(O459,Capacity!$A$3:$D$532,4,), "0")</f>
        <v>42.411500099999998</v>
      </c>
      <c r="Q459" s="4">
        <f>IFERROR(VLOOKUP(O459,Capacity!$A$3:$F$532,6,), "0")</f>
        <v>0.3</v>
      </c>
      <c r="R459" s="5">
        <f t="shared" si="75"/>
        <v>42.411500099999998</v>
      </c>
      <c r="S459" s="5">
        <f t="shared" si="76"/>
        <v>0.3</v>
      </c>
      <c r="T459">
        <v>113</v>
      </c>
      <c r="U459">
        <v>1</v>
      </c>
      <c r="V459">
        <v>1</v>
      </c>
      <c r="W459">
        <v>1</v>
      </c>
      <c r="X459">
        <f t="shared" si="72"/>
        <v>0.46816666666666673</v>
      </c>
      <c r="Y459">
        <f t="shared" si="73"/>
        <v>0.78027777777777785</v>
      </c>
      <c r="Z459">
        <f t="shared" si="77"/>
        <v>0.88333333333333341</v>
      </c>
      <c r="AA459">
        <f t="shared" si="78"/>
        <v>0.88333333333333341</v>
      </c>
      <c r="AC459">
        <f t="shared" si="79"/>
        <v>0.29260416666666667</v>
      </c>
      <c r="AD459">
        <f t="shared" si="74"/>
        <v>0.29260416666666667</v>
      </c>
    </row>
    <row r="460" spans="1:30" x14ac:dyDescent="0.25">
      <c r="A460">
        <v>285</v>
      </c>
      <c r="B460">
        <f>IFERROR(VLOOKUP(A460,Capacity!$A$3:$D$532,4,), "0")</f>
        <v>58.904861250000003</v>
      </c>
      <c r="C460" s="4">
        <f>IFERROR(VLOOKUP(A460,Capacity!$A$3:$F$532,6,), "0")</f>
        <v>0.5</v>
      </c>
      <c r="D460">
        <v>280</v>
      </c>
      <c r="E460">
        <f>IFERROR(VLOOKUP(D460,Capacity!$A$3:$D$532,4,), "0")</f>
        <v>14.431691006249999</v>
      </c>
      <c r="F460" s="4">
        <f>IFERROR(VLOOKUP(D460,Capacity!$A$3:$F$532,6,), "0")</f>
        <v>0.17499999999999999</v>
      </c>
      <c r="G460">
        <v>286</v>
      </c>
      <c r="H460">
        <f>IFERROR(VLOOKUP(G460,Capacity!$A$3:$D$532,4,), "0")</f>
        <v>77.911496480000025</v>
      </c>
      <c r="I460" s="4">
        <f>IFERROR(VLOOKUP(G460,Capacity!$A$3:$F$532,6,), "0")</f>
        <v>0.4</v>
      </c>
      <c r="K460" t="str">
        <f>IFERROR(VLOOKUP(J460,Capacity!$A$3:$D$532,4,), "0")</f>
        <v>0</v>
      </c>
      <c r="L460" s="4" t="str">
        <f>IFERROR(VLOOKUP(J460,Capacity!$A$3:$F$532,6,), "0")</f>
        <v>0</v>
      </c>
      <c r="M460" s="5">
        <f t="shared" si="70"/>
        <v>92.343187486250031</v>
      </c>
      <c r="N460" s="5">
        <f t="shared" si="71"/>
        <v>0.57499999999999996</v>
      </c>
      <c r="O460">
        <v>283</v>
      </c>
      <c r="P460">
        <f>IFERROR(VLOOKUP(O460,Capacity!$A$3:$D$532,4,), "0")</f>
        <v>62.831851999999998</v>
      </c>
      <c r="Q460" s="4">
        <f>IFERROR(VLOOKUP(O460,Capacity!$A$3:$F$532,6,), "0")</f>
        <v>0.5</v>
      </c>
      <c r="R460" s="5">
        <f t="shared" si="75"/>
        <v>62.831851999999998</v>
      </c>
      <c r="S460" s="5">
        <f t="shared" si="76"/>
        <v>0.5</v>
      </c>
      <c r="T460">
        <v>285</v>
      </c>
      <c r="U460">
        <v>2</v>
      </c>
      <c r="V460">
        <v>2</v>
      </c>
      <c r="W460">
        <v>1</v>
      </c>
      <c r="X460">
        <f t="shared" si="72"/>
        <v>1.4696875000000005</v>
      </c>
      <c r="Y460">
        <f t="shared" si="73"/>
        <v>1.5676666666666672</v>
      </c>
      <c r="Z460">
        <f t="shared" si="77"/>
        <v>1.1499999999999999</v>
      </c>
      <c r="AA460">
        <f t="shared" si="78"/>
        <v>1.1499999999999999</v>
      </c>
      <c r="AC460">
        <f t="shared" si="79"/>
        <v>0.75854838709677441</v>
      </c>
      <c r="AD460">
        <f t="shared" si="74"/>
        <v>1.5170967741935488</v>
      </c>
    </row>
    <row r="461" spans="1:30" x14ac:dyDescent="0.25">
      <c r="A461">
        <v>293</v>
      </c>
      <c r="B461">
        <f>IFERROR(VLOOKUP(A461,Capacity!$A$3:$D$532,4,), "0")</f>
        <v>70.685833500000001</v>
      </c>
      <c r="C461" s="4">
        <f>IFERROR(VLOOKUP(A461,Capacity!$A$3:$F$532,6,), "0")</f>
        <v>0.5</v>
      </c>
      <c r="D461">
        <v>292</v>
      </c>
      <c r="E461">
        <f>IFERROR(VLOOKUP(D461,Capacity!$A$3:$D$532,4,), "0")</f>
        <v>121.73671325000001</v>
      </c>
      <c r="F461" s="4">
        <f>IFERROR(VLOOKUP(D461,Capacity!$A$3:$F$532,6,), "0")</f>
        <v>0.5</v>
      </c>
      <c r="G461">
        <v>288</v>
      </c>
      <c r="H461">
        <f>IFERROR(VLOOKUP(G461,Capacity!$A$3:$D$532,4,), "0")</f>
        <v>22.619466720000005</v>
      </c>
      <c r="I461" s="4">
        <f>IFERROR(VLOOKUP(G461,Capacity!$A$3:$F$532,6,), "0")</f>
        <v>0.2</v>
      </c>
      <c r="K461" t="str">
        <f>IFERROR(VLOOKUP(J461,Capacity!$A$3:$D$532,4,), "0")</f>
        <v>0</v>
      </c>
      <c r="L461" s="4" t="str">
        <f>IFERROR(VLOOKUP(J461,Capacity!$A$3:$F$532,6,), "0")</f>
        <v>0</v>
      </c>
      <c r="M461" s="5">
        <f t="shared" si="70"/>
        <v>144.35617997000003</v>
      </c>
      <c r="N461" s="5">
        <f t="shared" si="71"/>
        <v>0.7</v>
      </c>
      <c r="O461">
        <v>305</v>
      </c>
      <c r="P461">
        <f>IFERROR(VLOOKUP(O461,Capacity!$A$3:$D$532,4,), "0")</f>
        <v>203.57520048000001</v>
      </c>
      <c r="Q461" s="4">
        <f>IFERROR(VLOOKUP(O461,Capacity!$A$3:$F$532,6,), "0")</f>
        <v>0.6</v>
      </c>
      <c r="R461" s="5">
        <f t="shared" si="75"/>
        <v>203.57520048000001</v>
      </c>
      <c r="S461" s="5">
        <f t="shared" si="76"/>
        <v>0.6</v>
      </c>
      <c r="T461">
        <v>293</v>
      </c>
      <c r="U461">
        <v>2</v>
      </c>
      <c r="V461">
        <v>2</v>
      </c>
      <c r="W461">
        <v>1</v>
      </c>
      <c r="X461">
        <f t="shared" si="72"/>
        <v>0.70910493827160503</v>
      </c>
      <c r="Y461">
        <f t="shared" si="73"/>
        <v>2.0422222222222226</v>
      </c>
      <c r="Z461">
        <f t="shared" si="77"/>
        <v>1.1666666666666667</v>
      </c>
      <c r="AA461">
        <f t="shared" si="78"/>
        <v>1.4</v>
      </c>
      <c r="AC461">
        <f t="shared" si="79"/>
        <v>0.52634593356242854</v>
      </c>
      <c r="AD461">
        <f t="shared" si="74"/>
        <v>1.0526918671248571</v>
      </c>
    </row>
    <row r="462" spans="1:30" x14ac:dyDescent="0.25">
      <c r="A462">
        <v>294</v>
      </c>
      <c r="B462">
        <f>IFERROR(VLOOKUP(A462,Capacity!$A$3:$D$532,4,), "0")</f>
        <v>7.6969018699999987</v>
      </c>
      <c r="C462" s="4">
        <f>IFERROR(VLOOKUP(A462,Capacity!$A$3:$F$532,6,), "0")</f>
        <v>0.17499999999999999</v>
      </c>
      <c r="D462">
        <v>493</v>
      </c>
      <c r="E462">
        <f>IFERROR(VLOOKUP(D462,Capacity!$A$3:$D$532,4,), "0")</f>
        <v>14.431691006249999</v>
      </c>
      <c r="F462" s="4">
        <f>IFERROR(VLOOKUP(D462,Capacity!$A$3:$F$532,6,), "0")</f>
        <v>0.17499999999999999</v>
      </c>
      <c r="G462">
        <v>287</v>
      </c>
      <c r="H462">
        <f>IFERROR(VLOOKUP(G462,Capacity!$A$3:$D$532,4,), "0")</f>
        <v>14.431691006249999</v>
      </c>
      <c r="I462" s="4">
        <f>IFERROR(VLOOKUP(G462,Capacity!$A$3:$F$532,6,), "0")</f>
        <v>0.17499999999999999</v>
      </c>
      <c r="K462" t="str">
        <f>IFERROR(VLOOKUP(J462,Capacity!$A$3:$D$532,4,), "0")</f>
        <v>0</v>
      </c>
      <c r="L462" s="4" t="str">
        <f>IFERROR(VLOOKUP(J462,Capacity!$A$3:$F$532,6,), "0")</f>
        <v>0</v>
      </c>
      <c r="M462" s="5">
        <f t="shared" si="70"/>
        <v>28.863382012499997</v>
      </c>
      <c r="N462" s="5">
        <f t="shared" si="71"/>
        <v>0.35</v>
      </c>
      <c r="O462">
        <v>305</v>
      </c>
      <c r="P462">
        <f>IFERROR(VLOOKUP(O462,Capacity!$A$3:$D$532,4,), "0")</f>
        <v>203.57520048000001</v>
      </c>
      <c r="Q462" s="4">
        <f>IFERROR(VLOOKUP(O462,Capacity!$A$3:$F$532,6,), "0")</f>
        <v>0.6</v>
      </c>
      <c r="R462" s="5">
        <f t="shared" si="75"/>
        <v>203.57520048000001</v>
      </c>
      <c r="S462" s="5">
        <f t="shared" si="76"/>
        <v>0.6</v>
      </c>
      <c r="T462">
        <v>294</v>
      </c>
      <c r="U462">
        <v>2</v>
      </c>
      <c r="V462">
        <v>2</v>
      </c>
      <c r="W462">
        <v>1</v>
      </c>
      <c r="X462">
        <f t="shared" si="72"/>
        <v>0.14178240740740738</v>
      </c>
      <c r="Y462">
        <f t="shared" si="73"/>
        <v>3.7500000000000004</v>
      </c>
      <c r="Z462">
        <f t="shared" si="77"/>
        <v>0.58333333333333337</v>
      </c>
      <c r="AA462">
        <f t="shared" si="78"/>
        <v>2</v>
      </c>
      <c r="AC462">
        <f t="shared" si="79"/>
        <v>0.13661710037174718</v>
      </c>
      <c r="AD462">
        <f t="shared" si="74"/>
        <v>0.27323420074349436</v>
      </c>
    </row>
    <row r="463" spans="1:30" x14ac:dyDescent="0.25">
      <c r="A463">
        <v>494</v>
      </c>
      <c r="B463">
        <f>IFERROR(VLOOKUP(A463,Capacity!$A$3:$D$532,4,), "0")</f>
        <v>15.393803739999997</v>
      </c>
      <c r="C463" s="4">
        <f>IFERROR(VLOOKUP(A463,Capacity!$A$3:$F$532,6,), "0")</f>
        <v>0.17499999999999999</v>
      </c>
      <c r="E463" t="str">
        <f>IFERROR(VLOOKUP(D463,Capacity!$A$3:$D$532,4,), "0")</f>
        <v>0</v>
      </c>
      <c r="F463" s="4" t="str">
        <f>IFERROR(VLOOKUP(D463,Capacity!$A$3:$F$532,6,), "0")</f>
        <v>0</v>
      </c>
      <c r="H463" t="str">
        <f>IFERROR(VLOOKUP(G463,Capacity!$A$3:$D$532,4,), "0")</f>
        <v>0</v>
      </c>
      <c r="I463" s="4" t="str">
        <f>IFERROR(VLOOKUP(G463,Capacity!$A$3:$F$532,6,), "0")</f>
        <v>0</v>
      </c>
      <c r="K463" t="str">
        <f>IFERROR(VLOOKUP(J463,Capacity!$A$3:$D$532,4,), "0")</f>
        <v>0</v>
      </c>
      <c r="L463" s="4" t="str">
        <f>IFERROR(VLOOKUP(J463,Capacity!$A$3:$F$532,6,), "0")</f>
        <v>0</v>
      </c>
      <c r="M463" s="5">
        <f t="shared" si="70"/>
        <v>0</v>
      </c>
      <c r="N463" s="5">
        <f t="shared" si="71"/>
        <v>0</v>
      </c>
      <c r="O463">
        <v>296</v>
      </c>
      <c r="P463">
        <f>IFERROR(VLOOKUP(O463,Capacity!$A$3:$D$532,4,), "0")</f>
        <v>22.619466720000005</v>
      </c>
      <c r="Q463" s="4">
        <f>IFERROR(VLOOKUP(O463,Capacity!$A$3:$F$532,6,), "0")</f>
        <v>0.2</v>
      </c>
      <c r="R463" s="5">
        <f t="shared" si="75"/>
        <v>22.619466720000005</v>
      </c>
      <c r="S463" s="5">
        <f t="shared" si="76"/>
        <v>0.2</v>
      </c>
      <c r="T463">
        <v>494</v>
      </c>
      <c r="U463">
        <v>0</v>
      </c>
      <c r="V463">
        <v>0</v>
      </c>
      <c r="W463">
        <v>1</v>
      </c>
      <c r="X463">
        <f t="shared" si="72"/>
        <v>0</v>
      </c>
      <c r="Y463">
        <f t="shared" si="73"/>
        <v>0</v>
      </c>
      <c r="Z463">
        <f t="shared" si="77"/>
        <v>0</v>
      </c>
      <c r="AA463">
        <f t="shared" si="78"/>
        <v>0</v>
      </c>
      <c r="AC463">
        <f t="shared" si="79"/>
        <v>0</v>
      </c>
      <c r="AD463">
        <f t="shared" si="74"/>
        <v>0</v>
      </c>
    </row>
    <row r="464" spans="1:30" x14ac:dyDescent="0.25">
      <c r="A464">
        <v>489</v>
      </c>
      <c r="B464">
        <f>IFERROR(VLOOKUP(A464,Capacity!$A$3:$D$532,4,), "0")</f>
        <v>14.431691006249999</v>
      </c>
      <c r="C464" s="4">
        <f>IFERROR(VLOOKUP(A464,Capacity!$A$3:$F$532,6,), "0")</f>
        <v>0.17499999999999999</v>
      </c>
      <c r="E464" t="str">
        <f>IFERROR(VLOOKUP(D464,Capacity!$A$3:$D$532,4,), "0")</f>
        <v>0</v>
      </c>
      <c r="F464" s="4" t="str">
        <f>IFERROR(VLOOKUP(D464,Capacity!$A$3:$F$532,6,), "0")</f>
        <v>0</v>
      </c>
      <c r="H464" t="str">
        <f>IFERROR(VLOOKUP(G464,Capacity!$A$3:$D$532,4,), "0")</f>
        <v>0</v>
      </c>
      <c r="I464" s="4" t="str">
        <f>IFERROR(VLOOKUP(G464,Capacity!$A$3:$F$532,6,), "0")</f>
        <v>0</v>
      </c>
      <c r="K464" t="str">
        <f>IFERROR(VLOOKUP(J464,Capacity!$A$3:$D$532,4,), "0")</f>
        <v>0</v>
      </c>
      <c r="L464" s="4" t="str">
        <f>IFERROR(VLOOKUP(J464,Capacity!$A$3:$F$532,6,), "0")</f>
        <v>0</v>
      </c>
      <c r="M464" s="5">
        <f t="shared" si="70"/>
        <v>0</v>
      </c>
      <c r="N464" s="5">
        <f t="shared" si="71"/>
        <v>0</v>
      </c>
      <c r="O464">
        <v>296</v>
      </c>
      <c r="P464">
        <f>IFERROR(VLOOKUP(O464,Capacity!$A$3:$D$532,4,), "0")</f>
        <v>22.619466720000005</v>
      </c>
      <c r="Q464" s="4">
        <f>IFERROR(VLOOKUP(O464,Capacity!$A$3:$F$532,6,), "0")</f>
        <v>0.2</v>
      </c>
      <c r="R464" s="5">
        <f t="shared" si="75"/>
        <v>22.619466720000005</v>
      </c>
      <c r="S464" s="5">
        <f t="shared" si="76"/>
        <v>0.2</v>
      </c>
      <c r="T464">
        <v>489</v>
      </c>
      <c r="U464">
        <v>0</v>
      </c>
      <c r="V464">
        <v>0</v>
      </c>
      <c r="W464">
        <v>1</v>
      </c>
      <c r="X464">
        <f t="shared" si="72"/>
        <v>0</v>
      </c>
      <c r="Y464">
        <f t="shared" si="73"/>
        <v>0</v>
      </c>
      <c r="Z464">
        <f t="shared" si="77"/>
        <v>0</v>
      </c>
      <c r="AA464">
        <f t="shared" si="78"/>
        <v>0</v>
      </c>
      <c r="AC464">
        <f t="shared" si="79"/>
        <v>0</v>
      </c>
      <c r="AD464">
        <f t="shared" si="74"/>
        <v>0</v>
      </c>
    </row>
    <row r="465" spans="1:30" x14ac:dyDescent="0.25">
      <c r="A465">
        <v>101</v>
      </c>
      <c r="B465">
        <f>IFERROR(VLOOKUP(A465,Capacity!$A$3:$D$532,4,), "0")</f>
        <v>19.855650630150002</v>
      </c>
      <c r="C465" s="4">
        <f>IFERROR(VLOOKUP(A465,Capacity!$A$3:$F$532,6,), "0")</f>
        <v>0.26500000000000001</v>
      </c>
      <c r="D465">
        <v>90</v>
      </c>
      <c r="E465">
        <f>IFERROR(VLOOKUP(D465,Capacity!$A$3:$D$532,4,), "0")</f>
        <v>35.298934453600005</v>
      </c>
      <c r="F465" s="4">
        <f>IFERROR(VLOOKUP(D465,Capacity!$A$3:$F$532,6,), "0")</f>
        <v>0.26500000000000001</v>
      </c>
      <c r="H465" t="str">
        <f>IFERROR(VLOOKUP(G465,Capacity!$A$3:$D$532,4,), "0")</f>
        <v>0</v>
      </c>
      <c r="I465" s="4" t="str">
        <f>IFERROR(VLOOKUP(G465,Capacity!$A$3:$F$532,6,), "0")</f>
        <v>0</v>
      </c>
      <c r="K465" t="str">
        <f>IFERROR(VLOOKUP(J465,Capacity!$A$3:$D$532,4,), "0")</f>
        <v>0</v>
      </c>
      <c r="L465" s="4" t="str">
        <f>IFERROR(VLOOKUP(J465,Capacity!$A$3:$F$532,6,), "0")</f>
        <v>0</v>
      </c>
      <c r="M465" s="5">
        <f t="shared" si="70"/>
        <v>35.298934453600005</v>
      </c>
      <c r="N465" s="5">
        <f t="shared" si="71"/>
        <v>0.26500000000000001</v>
      </c>
      <c r="O465">
        <v>113</v>
      </c>
      <c r="P465">
        <f>IFERROR(VLOOKUP(O465,Capacity!$A$3:$D$532,4,), "0")</f>
        <v>25.446900060000001</v>
      </c>
      <c r="Q465" s="4">
        <f>IFERROR(VLOOKUP(O465,Capacity!$A$3:$F$532,6,), "0")</f>
        <v>0.3</v>
      </c>
      <c r="R465" s="5">
        <f t="shared" si="75"/>
        <v>25.446900060000001</v>
      </c>
      <c r="S465" s="5">
        <f t="shared" si="76"/>
        <v>0.3</v>
      </c>
      <c r="T465">
        <v>101</v>
      </c>
      <c r="U465">
        <v>1</v>
      </c>
      <c r="V465">
        <v>1</v>
      </c>
      <c r="W465">
        <v>1</v>
      </c>
      <c r="X465">
        <f t="shared" si="72"/>
        <v>1.3871604938271607</v>
      </c>
      <c r="Y465">
        <f t="shared" si="73"/>
        <v>1.7777777777777779</v>
      </c>
      <c r="Z465">
        <f t="shared" si="77"/>
        <v>0.88333333333333341</v>
      </c>
      <c r="AA465">
        <f t="shared" si="78"/>
        <v>1</v>
      </c>
      <c r="AC465">
        <f t="shared" si="79"/>
        <v>0.77918205301572452</v>
      </c>
      <c r="AD465">
        <f t="shared" si="74"/>
        <v>0.77918205301572452</v>
      </c>
    </row>
    <row r="466" spans="1:30" x14ac:dyDescent="0.25">
      <c r="A466">
        <v>286</v>
      </c>
      <c r="B466">
        <f>IFERROR(VLOOKUP(A466,Capacity!$A$3:$D$532,4,), "0")</f>
        <v>77.911496480000025</v>
      </c>
      <c r="C466" s="4">
        <f>IFERROR(VLOOKUP(A466,Capacity!$A$3:$F$532,6,), "0")</f>
        <v>0.4</v>
      </c>
      <c r="D466">
        <v>490</v>
      </c>
      <c r="E466">
        <f>IFERROR(VLOOKUP(D466,Capacity!$A$3:$D$532,4,), "0")</f>
        <v>14.912747373124999</v>
      </c>
      <c r="F466" s="4">
        <f>IFERROR(VLOOKUP(D466,Capacity!$A$3:$F$532,6,), "0")</f>
        <v>0.17499999999999999</v>
      </c>
      <c r="G466">
        <v>278</v>
      </c>
      <c r="H466">
        <f>IFERROR(VLOOKUP(G466,Capacity!$A$3:$D$532,4,), "0")</f>
        <v>75.398222400000023</v>
      </c>
      <c r="I466" s="4">
        <f>IFERROR(VLOOKUP(G466,Capacity!$A$3:$F$532,6,), "0")</f>
        <v>0.4</v>
      </c>
      <c r="K466" t="str">
        <f>IFERROR(VLOOKUP(J466,Capacity!$A$3:$D$532,4,), "0")</f>
        <v>0</v>
      </c>
      <c r="L466" s="4" t="str">
        <f>IFERROR(VLOOKUP(J466,Capacity!$A$3:$F$532,6,), "0")</f>
        <v>0</v>
      </c>
      <c r="M466" s="5">
        <f t="shared" si="70"/>
        <v>90.310969773125024</v>
      </c>
      <c r="N466" s="5">
        <f t="shared" si="71"/>
        <v>0.57499999999999996</v>
      </c>
      <c r="O466">
        <v>285</v>
      </c>
      <c r="P466">
        <f>IFERROR(VLOOKUP(O466,Capacity!$A$3:$D$532,4,), "0")</f>
        <v>58.904861250000003</v>
      </c>
      <c r="Q466" s="4">
        <f>IFERROR(VLOOKUP(O466,Capacity!$A$3:$F$532,6,), "0")</f>
        <v>0.5</v>
      </c>
      <c r="R466" s="5">
        <f t="shared" si="75"/>
        <v>58.904861250000003</v>
      </c>
      <c r="S466" s="5">
        <f t="shared" si="76"/>
        <v>0.5</v>
      </c>
      <c r="T466">
        <v>286</v>
      </c>
      <c r="U466">
        <v>2</v>
      </c>
      <c r="V466">
        <v>2</v>
      </c>
      <c r="W466">
        <v>1</v>
      </c>
      <c r="X466">
        <f t="shared" si="72"/>
        <v>1.533166666666667</v>
      </c>
      <c r="Y466">
        <f t="shared" si="73"/>
        <v>1.159148185483871</v>
      </c>
      <c r="Z466">
        <f t="shared" si="77"/>
        <v>1.1499999999999999</v>
      </c>
      <c r="AA466">
        <f t="shared" si="78"/>
        <v>1.4374999999999998</v>
      </c>
      <c r="AC466">
        <f t="shared" si="79"/>
        <v>0.66008897818599321</v>
      </c>
      <c r="AD466">
        <f t="shared" si="74"/>
        <v>1.3201779563719864</v>
      </c>
    </row>
    <row r="467" spans="1:30" x14ac:dyDescent="0.25">
      <c r="A467">
        <v>280</v>
      </c>
      <c r="B467">
        <f>IFERROR(VLOOKUP(A467,Capacity!$A$3:$D$532,4,), "0")</f>
        <v>14.431691006249999</v>
      </c>
      <c r="C467" s="4">
        <f>IFERROR(VLOOKUP(A467,Capacity!$A$3:$F$532,6,), "0")</f>
        <v>0.17499999999999999</v>
      </c>
      <c r="D467">
        <v>485</v>
      </c>
      <c r="E467">
        <f>IFERROR(VLOOKUP(D467,Capacity!$A$3:$D$532,4,), "0")</f>
        <v>15.393803739999997</v>
      </c>
      <c r="F467" s="4">
        <f>IFERROR(VLOOKUP(D467,Capacity!$A$3:$F$532,6,), "0")</f>
        <v>0.17499999999999999</v>
      </c>
      <c r="G467">
        <v>484</v>
      </c>
      <c r="H467">
        <f>IFERROR(VLOOKUP(G467,Capacity!$A$3:$D$532,4,), "0")</f>
        <v>15.393803739999997</v>
      </c>
      <c r="I467" s="4">
        <f>IFERROR(VLOOKUP(G467,Capacity!$A$3:$F$532,6,), "0")</f>
        <v>0.17499999999999999</v>
      </c>
      <c r="J467">
        <v>124</v>
      </c>
      <c r="K467">
        <f>IFERROR(VLOOKUP(J467,Capacity!$A$3:$D$532,4,), "0")</f>
        <v>9.1400709706249987</v>
      </c>
      <c r="L467" s="4">
        <f>IFERROR(VLOOKUP(J467,Capacity!$A$3:$F$532,6,), "0")</f>
        <v>0.17499999999999999</v>
      </c>
      <c r="M467" s="5">
        <f t="shared" si="70"/>
        <v>39.927678450624995</v>
      </c>
      <c r="N467" s="5">
        <f t="shared" si="71"/>
        <v>0.52499999999999991</v>
      </c>
      <c r="O467">
        <v>285</v>
      </c>
      <c r="P467">
        <f>IFERROR(VLOOKUP(O467,Capacity!$A$3:$D$532,4,), "0")</f>
        <v>58.904861250000003</v>
      </c>
      <c r="Q467" s="4">
        <f>IFERROR(VLOOKUP(O467,Capacity!$A$3:$F$532,6,), "0")</f>
        <v>0.5</v>
      </c>
      <c r="R467" s="5">
        <f t="shared" si="75"/>
        <v>58.904861250000003</v>
      </c>
      <c r="S467" s="5">
        <f t="shared" si="76"/>
        <v>0.5</v>
      </c>
      <c r="T467">
        <v>280</v>
      </c>
      <c r="U467">
        <v>3</v>
      </c>
      <c r="V467">
        <v>3</v>
      </c>
      <c r="W467">
        <v>1</v>
      </c>
      <c r="X467">
        <f t="shared" si="72"/>
        <v>0.67783333333333318</v>
      </c>
      <c r="Y467">
        <f t="shared" si="73"/>
        <v>2.7666666666666666</v>
      </c>
      <c r="Z467">
        <f t="shared" si="77"/>
        <v>1.0499999999999998</v>
      </c>
      <c r="AA467">
        <f t="shared" si="78"/>
        <v>2.9999999999999996</v>
      </c>
      <c r="AC467">
        <f t="shared" si="79"/>
        <v>0.5444444444444444</v>
      </c>
      <c r="AD467">
        <f t="shared" si="74"/>
        <v>1.6333333333333333</v>
      </c>
    </row>
    <row r="468" spans="1:30" x14ac:dyDescent="0.25">
      <c r="A468">
        <v>493</v>
      </c>
      <c r="B468">
        <f>IFERROR(VLOOKUP(A468,Capacity!$A$3:$D$532,4,), "0")</f>
        <v>14.431691006249999</v>
      </c>
      <c r="C468" s="4">
        <f>IFERROR(VLOOKUP(A468,Capacity!$A$3:$F$532,6,), "0")</f>
        <v>0.17499999999999999</v>
      </c>
      <c r="E468" t="str">
        <f>IFERROR(VLOOKUP(D468,Capacity!$A$3:$D$532,4,), "0")</f>
        <v>0</v>
      </c>
      <c r="F468" s="4" t="str">
        <f>IFERROR(VLOOKUP(D468,Capacity!$A$3:$F$532,6,), "0")</f>
        <v>0</v>
      </c>
      <c r="H468" t="str">
        <f>IFERROR(VLOOKUP(G468,Capacity!$A$3:$D$532,4,), "0")</f>
        <v>0</v>
      </c>
      <c r="I468" s="4" t="str">
        <f>IFERROR(VLOOKUP(G468,Capacity!$A$3:$F$532,6,), "0")</f>
        <v>0</v>
      </c>
      <c r="K468" t="str">
        <f>IFERROR(VLOOKUP(J468,Capacity!$A$3:$D$532,4,), "0")</f>
        <v>0</v>
      </c>
      <c r="L468" s="4" t="str">
        <f>IFERROR(VLOOKUP(J468,Capacity!$A$3:$F$532,6,), "0")</f>
        <v>0</v>
      </c>
      <c r="M468" s="5">
        <f t="shared" si="70"/>
        <v>0</v>
      </c>
      <c r="N468" s="5">
        <f t="shared" si="71"/>
        <v>0</v>
      </c>
      <c r="O468">
        <v>294</v>
      </c>
      <c r="P468">
        <f>IFERROR(VLOOKUP(O468,Capacity!$A$3:$D$532,4,), "0")</f>
        <v>7.6969018699999987</v>
      </c>
      <c r="Q468" s="4">
        <f>IFERROR(VLOOKUP(O468,Capacity!$A$3:$F$532,6,), "0")</f>
        <v>0.17499999999999999</v>
      </c>
      <c r="R468" s="5">
        <f t="shared" si="75"/>
        <v>7.6969018699999987</v>
      </c>
      <c r="S468" s="5">
        <f t="shared" si="76"/>
        <v>0.17499999999999999</v>
      </c>
      <c r="T468">
        <v>493</v>
      </c>
      <c r="U468">
        <v>0</v>
      </c>
      <c r="V468">
        <v>0</v>
      </c>
      <c r="W468">
        <v>1</v>
      </c>
      <c r="X468">
        <f t="shared" si="72"/>
        <v>0</v>
      </c>
      <c r="Y468">
        <f t="shared" si="73"/>
        <v>0</v>
      </c>
      <c r="Z468">
        <f t="shared" si="77"/>
        <v>0</v>
      </c>
      <c r="AA468">
        <f t="shared" si="78"/>
        <v>0</v>
      </c>
      <c r="AC468">
        <f t="shared" si="79"/>
        <v>0</v>
      </c>
      <c r="AD468">
        <f t="shared" si="74"/>
        <v>0</v>
      </c>
    </row>
    <row r="469" spans="1:30" x14ac:dyDescent="0.25">
      <c r="A469">
        <v>287</v>
      </c>
      <c r="B469">
        <f>IFERROR(VLOOKUP(A469,Capacity!$A$3:$D$532,4,), "0")</f>
        <v>14.431691006249999</v>
      </c>
      <c r="C469" s="4">
        <f>IFERROR(VLOOKUP(A469,Capacity!$A$3:$F$532,6,), "0")</f>
        <v>0.17499999999999999</v>
      </c>
      <c r="D469">
        <v>491</v>
      </c>
      <c r="E469">
        <f>IFERROR(VLOOKUP(D469,Capacity!$A$3:$D$532,4,), "0")</f>
        <v>7.2158455031249993</v>
      </c>
      <c r="F469" s="4">
        <f>IFERROR(VLOOKUP(D469,Capacity!$A$3:$F$532,6,), "0")</f>
        <v>0.17499999999999999</v>
      </c>
      <c r="H469" t="str">
        <f>IFERROR(VLOOKUP(G469,Capacity!$A$3:$D$532,4,), "0")</f>
        <v>0</v>
      </c>
      <c r="I469" s="4" t="str">
        <f>IFERROR(VLOOKUP(G469,Capacity!$A$3:$F$532,6,), "0")</f>
        <v>0</v>
      </c>
      <c r="K469" t="str">
        <f>IFERROR(VLOOKUP(J469,Capacity!$A$3:$D$532,4,), "0")</f>
        <v>0</v>
      </c>
      <c r="L469" s="4" t="str">
        <f>IFERROR(VLOOKUP(J469,Capacity!$A$3:$F$532,6,), "0")</f>
        <v>0</v>
      </c>
      <c r="M469" s="5">
        <f t="shared" si="70"/>
        <v>7.2158455031249993</v>
      </c>
      <c r="N469" s="5">
        <f t="shared" si="71"/>
        <v>0.17499999999999999</v>
      </c>
      <c r="O469">
        <v>294</v>
      </c>
      <c r="P469">
        <f>IFERROR(VLOOKUP(O469,Capacity!$A$3:$D$532,4,), "0")</f>
        <v>7.6969018699999987</v>
      </c>
      <c r="Q469" s="4">
        <f>IFERROR(VLOOKUP(O469,Capacity!$A$3:$F$532,6,), "0")</f>
        <v>0.17499999999999999</v>
      </c>
      <c r="R469" s="5">
        <f t="shared" si="75"/>
        <v>7.6969018699999987</v>
      </c>
      <c r="S469" s="5">
        <f t="shared" si="76"/>
        <v>0.17499999999999999</v>
      </c>
      <c r="T469">
        <v>287</v>
      </c>
      <c r="U469">
        <v>1</v>
      </c>
      <c r="V469">
        <v>1</v>
      </c>
      <c r="W469">
        <v>1</v>
      </c>
      <c r="X469">
        <f t="shared" si="72"/>
        <v>0.93750000000000011</v>
      </c>
      <c r="Y469">
        <f t="shared" si="73"/>
        <v>0.5</v>
      </c>
      <c r="Z469">
        <f t="shared" si="77"/>
        <v>1</v>
      </c>
      <c r="AA469">
        <f t="shared" si="78"/>
        <v>1</v>
      </c>
      <c r="AC469">
        <f t="shared" si="79"/>
        <v>0.32608695652173914</v>
      </c>
      <c r="AD469">
        <f t="shared" si="74"/>
        <v>0.32608695652173914</v>
      </c>
    </row>
    <row r="470" spans="1:30" x14ac:dyDescent="0.25">
      <c r="A470">
        <v>288</v>
      </c>
      <c r="B470">
        <f>IFERROR(VLOOKUP(A470,Capacity!$A$3:$D$532,4,), "0")</f>
        <v>22.619466720000005</v>
      </c>
      <c r="C470" s="4">
        <f>IFERROR(VLOOKUP(A470,Capacity!$A$3:$F$532,6,), "0")</f>
        <v>0.2</v>
      </c>
      <c r="D470">
        <v>492</v>
      </c>
      <c r="E470">
        <f>IFERROR(VLOOKUP(D470,Capacity!$A$3:$D$532,4,), "0")</f>
        <v>14.912747373124999</v>
      </c>
      <c r="F470" s="4">
        <f>IFERROR(VLOOKUP(D470,Capacity!$A$3:$F$532,6,), "0")</f>
        <v>0.17499999999999999</v>
      </c>
      <c r="H470" t="str">
        <f>IFERROR(VLOOKUP(G470,Capacity!$A$3:$D$532,4,), "0")</f>
        <v>0</v>
      </c>
      <c r="I470" s="4" t="str">
        <f>IFERROR(VLOOKUP(G470,Capacity!$A$3:$F$532,6,), "0")</f>
        <v>0</v>
      </c>
      <c r="K470" t="str">
        <f>IFERROR(VLOOKUP(J470,Capacity!$A$3:$D$532,4,), "0")</f>
        <v>0</v>
      </c>
      <c r="L470" s="4" t="str">
        <f>IFERROR(VLOOKUP(J470,Capacity!$A$3:$F$532,6,), "0")</f>
        <v>0</v>
      </c>
      <c r="M470" s="5">
        <f t="shared" si="70"/>
        <v>14.912747373124999</v>
      </c>
      <c r="N470" s="5">
        <f t="shared" si="71"/>
        <v>0.17499999999999999</v>
      </c>
      <c r="O470">
        <v>293</v>
      </c>
      <c r="P470">
        <f>IFERROR(VLOOKUP(O470,Capacity!$A$3:$D$532,4,), "0")</f>
        <v>70.685833500000001</v>
      </c>
      <c r="Q470" s="4">
        <f>IFERROR(VLOOKUP(O470,Capacity!$A$3:$F$532,6,), "0")</f>
        <v>0.5</v>
      </c>
      <c r="R470" s="5">
        <f t="shared" si="75"/>
        <v>70.685833500000001</v>
      </c>
      <c r="S470" s="5">
        <f t="shared" si="76"/>
        <v>0.5</v>
      </c>
      <c r="T470">
        <v>288</v>
      </c>
      <c r="U470">
        <v>1</v>
      </c>
      <c r="V470">
        <v>1</v>
      </c>
      <c r="W470">
        <v>1</v>
      </c>
      <c r="X470">
        <f t="shared" si="72"/>
        <v>0.2109722222222222</v>
      </c>
      <c r="Y470">
        <f t="shared" si="73"/>
        <v>0.6592881944444442</v>
      </c>
      <c r="Z470">
        <f t="shared" si="77"/>
        <v>0.35</v>
      </c>
      <c r="AA470">
        <f t="shared" si="78"/>
        <v>0.87499999999999989</v>
      </c>
      <c r="AC470">
        <f t="shared" si="79"/>
        <v>0.15982744107744104</v>
      </c>
      <c r="AD470">
        <f t="shared" si="74"/>
        <v>0.15982744107744104</v>
      </c>
    </row>
    <row r="471" spans="1:30" x14ac:dyDescent="0.25">
      <c r="A471">
        <v>292</v>
      </c>
      <c r="B471">
        <f>IFERROR(VLOOKUP(A471,Capacity!$A$3:$D$532,4,), "0")</f>
        <v>121.73671325000001</v>
      </c>
      <c r="C471" s="4">
        <f>IFERROR(VLOOKUP(A471,Capacity!$A$3:$F$532,6,), "0")</f>
        <v>0.5</v>
      </c>
      <c r="D471">
        <v>290</v>
      </c>
      <c r="E471">
        <f>IFERROR(VLOOKUP(D471,Capacity!$A$3:$D$532,4,), "0")</f>
        <v>125.663704</v>
      </c>
      <c r="F471" s="4">
        <f>IFERROR(VLOOKUP(D471,Capacity!$A$3:$F$532,6,), "0")</f>
        <v>0.5</v>
      </c>
      <c r="G471">
        <v>289</v>
      </c>
      <c r="H471">
        <f>IFERROR(VLOOKUP(G471,Capacity!$A$3:$D$532,4,), "0")</f>
        <v>24.268017436850005</v>
      </c>
      <c r="I471" s="4">
        <f>IFERROR(VLOOKUP(G471,Capacity!$A$3:$F$532,6,), "0")</f>
        <v>0.26500000000000001</v>
      </c>
      <c r="J471">
        <v>271</v>
      </c>
      <c r="K471">
        <f>IFERROR(VLOOKUP(J471,Capacity!$A$3:$D$532,4,), "0")</f>
        <v>24.052818343749998</v>
      </c>
      <c r="L471" s="4">
        <f>IFERROR(VLOOKUP(J471,Capacity!$A$3:$F$532,6,), "0")</f>
        <v>0.17499999999999999</v>
      </c>
      <c r="M471" s="5">
        <f t="shared" si="70"/>
        <v>173.98453978060002</v>
      </c>
      <c r="N471" s="5">
        <f t="shared" si="71"/>
        <v>0.94</v>
      </c>
      <c r="O471">
        <v>293</v>
      </c>
      <c r="P471">
        <f>IFERROR(VLOOKUP(O471,Capacity!$A$3:$D$532,4,), "0")</f>
        <v>70.685833500000001</v>
      </c>
      <c r="Q471" s="4">
        <f>IFERROR(VLOOKUP(O471,Capacity!$A$3:$F$532,6,), "0")</f>
        <v>0.5</v>
      </c>
      <c r="R471" s="5">
        <f t="shared" si="75"/>
        <v>70.685833500000001</v>
      </c>
      <c r="S471" s="5">
        <f t="shared" si="76"/>
        <v>0.5</v>
      </c>
      <c r="T471">
        <v>292</v>
      </c>
      <c r="U471">
        <v>3</v>
      </c>
      <c r="V471">
        <v>3</v>
      </c>
      <c r="W471">
        <v>1</v>
      </c>
      <c r="X471">
        <f t="shared" si="72"/>
        <v>2.4613777777777779</v>
      </c>
      <c r="Y471">
        <f t="shared" si="73"/>
        <v>1.4291870967741935</v>
      </c>
      <c r="Z471">
        <f t="shared" si="77"/>
        <v>1.88</v>
      </c>
      <c r="AA471">
        <f t="shared" si="78"/>
        <v>1.88</v>
      </c>
      <c r="AC471">
        <f t="shared" si="79"/>
        <v>0.90417959183673469</v>
      </c>
      <c r="AD471">
        <f t="shared" si="74"/>
        <v>2.7125387755102039</v>
      </c>
    </row>
    <row r="472" spans="1:30" x14ac:dyDescent="0.25">
      <c r="A472">
        <v>90</v>
      </c>
      <c r="B472">
        <f>IFERROR(VLOOKUP(A472,Capacity!$A$3:$D$532,4,), "0")</f>
        <v>35.298934453600005</v>
      </c>
      <c r="C472" s="4">
        <f>IFERROR(VLOOKUP(A472,Capacity!$A$3:$F$532,6,), "0")</f>
        <v>0.26500000000000001</v>
      </c>
      <c r="D472">
        <v>440</v>
      </c>
      <c r="E472">
        <f>IFERROR(VLOOKUP(D472,Capacity!$A$3:$D$532,4,), "0")</f>
        <v>10.58324007125</v>
      </c>
      <c r="F472" s="4">
        <f>IFERROR(VLOOKUP(D472,Capacity!$A$3:$F$532,6,), "0")</f>
        <v>0.17499999999999999</v>
      </c>
      <c r="G472">
        <v>79</v>
      </c>
      <c r="H472">
        <f>IFERROR(VLOOKUP(G472,Capacity!$A$3:$D$532,4,), "0")</f>
        <v>33.092751050250008</v>
      </c>
      <c r="I472" s="4">
        <f>IFERROR(VLOOKUP(G472,Capacity!$A$3:$F$532,6,), "0")</f>
        <v>0.26500000000000001</v>
      </c>
      <c r="K472" t="str">
        <f>IFERROR(VLOOKUP(J472,Capacity!$A$3:$D$532,4,), "0")</f>
        <v>0</v>
      </c>
      <c r="L472" s="4" t="str">
        <f>IFERROR(VLOOKUP(J472,Capacity!$A$3:$F$532,6,), "0")</f>
        <v>0</v>
      </c>
      <c r="M472" s="5">
        <f t="shared" si="70"/>
        <v>43.675991121500005</v>
      </c>
      <c r="N472" s="5">
        <f t="shared" si="71"/>
        <v>0.44</v>
      </c>
      <c r="O472">
        <v>101</v>
      </c>
      <c r="P472">
        <f>IFERROR(VLOOKUP(O472,Capacity!$A$3:$D$532,4,), "0")</f>
        <v>19.855650630150002</v>
      </c>
      <c r="Q472" s="4">
        <f>IFERROR(VLOOKUP(O472,Capacity!$A$3:$F$532,6,), "0")</f>
        <v>0.26500000000000001</v>
      </c>
      <c r="R472" s="5">
        <f t="shared" si="75"/>
        <v>19.855650630150002</v>
      </c>
      <c r="S472" s="5">
        <f t="shared" si="76"/>
        <v>0.26500000000000001</v>
      </c>
      <c r="T472">
        <v>90</v>
      </c>
      <c r="U472">
        <v>2</v>
      </c>
      <c r="V472">
        <v>2</v>
      </c>
      <c r="W472">
        <v>1</v>
      </c>
      <c r="X472">
        <f t="shared" si="72"/>
        <v>2.1996756457418614</v>
      </c>
      <c r="Y472">
        <f t="shared" si="73"/>
        <v>1.2373175507297971</v>
      </c>
      <c r="Z472">
        <f t="shared" si="77"/>
        <v>1.6603773584905659</v>
      </c>
      <c r="AA472">
        <f t="shared" si="78"/>
        <v>1.6603773584905659</v>
      </c>
      <c r="AC472">
        <f t="shared" si="79"/>
        <v>0.79188323246707015</v>
      </c>
      <c r="AD472">
        <f t="shared" si="74"/>
        <v>1.5837664649341403</v>
      </c>
    </row>
    <row r="473" spans="1:30" x14ac:dyDescent="0.25">
      <c r="A473">
        <v>485</v>
      </c>
      <c r="B473">
        <f>IFERROR(VLOOKUP(A473,Capacity!$A$3:$D$532,4,), "0")</f>
        <v>15.393803739999997</v>
      </c>
      <c r="C473" s="4">
        <f>IFERROR(VLOOKUP(A473,Capacity!$A$3:$F$532,6,), "0")</f>
        <v>0.17499999999999999</v>
      </c>
      <c r="E473" t="str">
        <f>IFERROR(VLOOKUP(D473,Capacity!$A$3:$D$532,4,), "0")</f>
        <v>0</v>
      </c>
      <c r="F473" s="4" t="str">
        <f>IFERROR(VLOOKUP(D473,Capacity!$A$3:$F$532,6,), "0")</f>
        <v>0</v>
      </c>
      <c r="H473" t="str">
        <f>IFERROR(VLOOKUP(G473,Capacity!$A$3:$D$532,4,), "0")</f>
        <v>0</v>
      </c>
      <c r="I473" s="4" t="str">
        <f>IFERROR(VLOOKUP(G473,Capacity!$A$3:$F$532,6,), "0")</f>
        <v>0</v>
      </c>
      <c r="K473" t="str">
        <f>IFERROR(VLOOKUP(J473,Capacity!$A$3:$D$532,4,), "0")</f>
        <v>0</v>
      </c>
      <c r="L473" s="4" t="str">
        <f>IFERROR(VLOOKUP(J473,Capacity!$A$3:$F$532,6,), "0")</f>
        <v>0</v>
      </c>
      <c r="M473" s="5">
        <f t="shared" si="70"/>
        <v>0</v>
      </c>
      <c r="N473" s="5">
        <f t="shared" si="71"/>
        <v>0</v>
      </c>
      <c r="O473">
        <v>280</v>
      </c>
      <c r="P473">
        <f>IFERROR(VLOOKUP(O473,Capacity!$A$3:$D$532,4,), "0")</f>
        <v>14.431691006249999</v>
      </c>
      <c r="Q473" s="4">
        <f>IFERROR(VLOOKUP(O473,Capacity!$A$3:$F$532,6,), "0")</f>
        <v>0.17499999999999999</v>
      </c>
      <c r="R473" s="5">
        <f t="shared" si="75"/>
        <v>14.431691006249999</v>
      </c>
      <c r="S473" s="5">
        <f t="shared" si="76"/>
        <v>0.17499999999999999</v>
      </c>
      <c r="T473">
        <v>485</v>
      </c>
      <c r="U473">
        <v>0</v>
      </c>
      <c r="V473">
        <v>0</v>
      </c>
      <c r="W473">
        <v>1</v>
      </c>
      <c r="X473">
        <f t="shared" si="72"/>
        <v>0</v>
      </c>
      <c r="Y473">
        <f t="shared" si="73"/>
        <v>0</v>
      </c>
      <c r="Z473">
        <f t="shared" si="77"/>
        <v>0</v>
      </c>
      <c r="AA473">
        <f t="shared" si="78"/>
        <v>0</v>
      </c>
      <c r="AC473">
        <f t="shared" si="79"/>
        <v>0</v>
      </c>
      <c r="AD473">
        <f t="shared" si="74"/>
        <v>0</v>
      </c>
    </row>
    <row r="474" spans="1:30" x14ac:dyDescent="0.25">
      <c r="A474">
        <v>484</v>
      </c>
      <c r="B474">
        <f>IFERROR(VLOOKUP(A474,Capacity!$A$3:$D$532,4,), "0")</f>
        <v>15.393803739999997</v>
      </c>
      <c r="C474" s="4">
        <f>IFERROR(VLOOKUP(A474,Capacity!$A$3:$F$532,6,), "0")</f>
        <v>0.17499999999999999</v>
      </c>
      <c r="E474" t="str">
        <f>IFERROR(VLOOKUP(D474,Capacity!$A$3:$D$532,4,), "0")</f>
        <v>0</v>
      </c>
      <c r="F474" s="4" t="str">
        <f>IFERROR(VLOOKUP(D474,Capacity!$A$3:$F$532,6,), "0")</f>
        <v>0</v>
      </c>
      <c r="H474" t="str">
        <f>IFERROR(VLOOKUP(G474,Capacity!$A$3:$D$532,4,), "0")</f>
        <v>0</v>
      </c>
      <c r="I474" s="4" t="str">
        <f>IFERROR(VLOOKUP(G474,Capacity!$A$3:$F$532,6,), "0")</f>
        <v>0</v>
      </c>
      <c r="K474" t="str">
        <f>IFERROR(VLOOKUP(J474,Capacity!$A$3:$D$532,4,), "0")</f>
        <v>0</v>
      </c>
      <c r="L474" s="4" t="str">
        <f>IFERROR(VLOOKUP(J474,Capacity!$A$3:$F$532,6,), "0")</f>
        <v>0</v>
      </c>
      <c r="M474" s="5">
        <f t="shared" si="70"/>
        <v>0</v>
      </c>
      <c r="N474" s="5">
        <f t="shared" si="71"/>
        <v>0</v>
      </c>
      <c r="O474">
        <v>280</v>
      </c>
      <c r="P474">
        <f>IFERROR(VLOOKUP(O474,Capacity!$A$3:$D$532,4,), "0")</f>
        <v>14.431691006249999</v>
      </c>
      <c r="Q474" s="4">
        <f>IFERROR(VLOOKUP(O474,Capacity!$A$3:$F$532,6,), "0")</f>
        <v>0.17499999999999999</v>
      </c>
      <c r="R474" s="5">
        <f t="shared" si="75"/>
        <v>14.431691006249999</v>
      </c>
      <c r="S474" s="5">
        <f t="shared" si="76"/>
        <v>0.17499999999999999</v>
      </c>
      <c r="T474">
        <v>484</v>
      </c>
      <c r="U474">
        <v>0</v>
      </c>
      <c r="V474">
        <v>0</v>
      </c>
      <c r="W474">
        <v>1</v>
      </c>
      <c r="X474">
        <f t="shared" si="72"/>
        <v>0</v>
      </c>
      <c r="Y474">
        <f t="shared" si="73"/>
        <v>0</v>
      </c>
      <c r="Z474">
        <f t="shared" si="77"/>
        <v>0</v>
      </c>
      <c r="AA474">
        <f t="shared" si="78"/>
        <v>0</v>
      </c>
      <c r="AC474">
        <f t="shared" si="79"/>
        <v>0</v>
      </c>
      <c r="AD474">
        <f t="shared" si="74"/>
        <v>0</v>
      </c>
    </row>
    <row r="475" spans="1:30" x14ac:dyDescent="0.25">
      <c r="A475">
        <v>124</v>
      </c>
      <c r="B475">
        <f>IFERROR(VLOOKUP(A475,Capacity!$A$3:$D$532,4,), "0")</f>
        <v>9.1400709706249987</v>
      </c>
      <c r="C475" s="4">
        <f>IFERROR(VLOOKUP(A475,Capacity!$A$3:$F$532,6,), "0")</f>
        <v>0.17499999999999999</v>
      </c>
      <c r="E475" t="str">
        <f>IFERROR(VLOOKUP(D475,Capacity!$A$3:$D$532,4,), "0")</f>
        <v>0</v>
      </c>
      <c r="F475" s="4" t="str">
        <f>IFERROR(VLOOKUP(D475,Capacity!$A$3:$F$532,6,), "0")</f>
        <v>0</v>
      </c>
      <c r="H475" t="str">
        <f>IFERROR(VLOOKUP(G475,Capacity!$A$3:$D$532,4,), "0")</f>
        <v>0</v>
      </c>
      <c r="I475" s="4" t="str">
        <f>IFERROR(VLOOKUP(G475,Capacity!$A$3:$F$532,6,), "0")</f>
        <v>0</v>
      </c>
      <c r="K475" t="str">
        <f>IFERROR(VLOOKUP(J475,Capacity!$A$3:$D$532,4,), "0")</f>
        <v>0</v>
      </c>
      <c r="L475" s="4" t="str">
        <f>IFERROR(VLOOKUP(J475,Capacity!$A$3:$F$532,6,), "0")</f>
        <v>0</v>
      </c>
      <c r="M475" s="5">
        <f t="shared" si="70"/>
        <v>0</v>
      </c>
      <c r="N475" s="5">
        <f t="shared" si="71"/>
        <v>0</v>
      </c>
      <c r="O475">
        <v>280</v>
      </c>
      <c r="P475">
        <f>IFERROR(VLOOKUP(O475,Capacity!$A$3:$D$532,4,), "0")</f>
        <v>14.431691006249999</v>
      </c>
      <c r="Q475" s="4">
        <f>IFERROR(VLOOKUP(O475,Capacity!$A$3:$F$532,6,), "0")</f>
        <v>0.17499999999999999</v>
      </c>
      <c r="R475" s="5">
        <f t="shared" si="75"/>
        <v>14.431691006249999</v>
      </c>
      <c r="S475" s="5">
        <f t="shared" si="76"/>
        <v>0.17499999999999999</v>
      </c>
      <c r="T475">
        <v>124</v>
      </c>
      <c r="U475">
        <v>0</v>
      </c>
      <c r="V475">
        <v>0</v>
      </c>
      <c r="W475">
        <v>1</v>
      </c>
      <c r="X475">
        <f t="shared" si="72"/>
        <v>0</v>
      </c>
      <c r="Y475">
        <f t="shared" si="73"/>
        <v>0</v>
      </c>
      <c r="Z475">
        <f t="shared" si="77"/>
        <v>0</v>
      </c>
      <c r="AA475">
        <f t="shared" si="78"/>
        <v>0</v>
      </c>
      <c r="AC475">
        <f t="shared" si="79"/>
        <v>0</v>
      </c>
      <c r="AD475">
        <f t="shared" si="74"/>
        <v>0</v>
      </c>
    </row>
    <row r="476" spans="1:30" x14ac:dyDescent="0.25">
      <c r="A476">
        <v>490</v>
      </c>
      <c r="B476">
        <f>IFERROR(VLOOKUP(A476,Capacity!$A$3:$D$532,4,), "0")</f>
        <v>14.912747373124999</v>
      </c>
      <c r="C476" s="4">
        <f>IFERROR(VLOOKUP(A476,Capacity!$A$3:$F$532,6,), "0")</f>
        <v>0.17499999999999999</v>
      </c>
      <c r="E476" t="str">
        <f>IFERROR(VLOOKUP(D476,Capacity!$A$3:$D$532,4,), "0")</f>
        <v>0</v>
      </c>
      <c r="F476" s="4" t="str">
        <f>IFERROR(VLOOKUP(D476,Capacity!$A$3:$F$532,6,), "0")</f>
        <v>0</v>
      </c>
      <c r="H476" t="str">
        <f>IFERROR(VLOOKUP(G476,Capacity!$A$3:$D$532,4,), "0")</f>
        <v>0</v>
      </c>
      <c r="I476" s="4" t="str">
        <f>IFERROR(VLOOKUP(G476,Capacity!$A$3:$F$532,6,), "0")</f>
        <v>0</v>
      </c>
      <c r="K476" t="str">
        <f>IFERROR(VLOOKUP(J476,Capacity!$A$3:$D$532,4,), "0")</f>
        <v>0</v>
      </c>
      <c r="L476" s="4" t="str">
        <f>IFERROR(VLOOKUP(J476,Capacity!$A$3:$F$532,6,), "0")</f>
        <v>0</v>
      </c>
      <c r="M476" s="5">
        <f t="shared" si="70"/>
        <v>0</v>
      </c>
      <c r="N476" s="5">
        <f t="shared" si="71"/>
        <v>0</v>
      </c>
      <c r="O476">
        <v>286</v>
      </c>
      <c r="P476">
        <f>IFERROR(VLOOKUP(O476,Capacity!$A$3:$D$532,4,), "0")</f>
        <v>77.911496480000025</v>
      </c>
      <c r="Q476" s="4">
        <f>IFERROR(VLOOKUP(O476,Capacity!$A$3:$F$532,6,), "0")</f>
        <v>0.4</v>
      </c>
      <c r="R476" s="5">
        <f t="shared" si="75"/>
        <v>77.911496480000025</v>
      </c>
      <c r="S476" s="5">
        <f t="shared" si="76"/>
        <v>0.4</v>
      </c>
      <c r="T476">
        <v>490</v>
      </c>
      <c r="U476">
        <v>0</v>
      </c>
      <c r="V476">
        <v>0</v>
      </c>
      <c r="W476">
        <v>1</v>
      </c>
      <c r="X476">
        <f t="shared" si="72"/>
        <v>0</v>
      </c>
      <c r="Y476">
        <f t="shared" si="73"/>
        <v>0</v>
      </c>
      <c r="Z476">
        <f t="shared" si="77"/>
        <v>0</v>
      </c>
      <c r="AA476">
        <f t="shared" si="78"/>
        <v>0</v>
      </c>
      <c r="AC476">
        <f t="shared" si="79"/>
        <v>0</v>
      </c>
      <c r="AD476">
        <f t="shared" si="74"/>
        <v>0</v>
      </c>
    </row>
    <row r="477" spans="1:30" x14ac:dyDescent="0.25">
      <c r="A477">
        <v>278</v>
      </c>
      <c r="B477">
        <f>IFERROR(VLOOKUP(A477,Capacity!$A$3:$D$532,4,), "0")</f>
        <v>75.398222400000023</v>
      </c>
      <c r="C477" s="4">
        <f>IFERROR(VLOOKUP(A477,Capacity!$A$3:$F$532,6,), "0")</f>
        <v>0.4</v>
      </c>
      <c r="D477">
        <v>268</v>
      </c>
      <c r="E477">
        <f>IFERROR(VLOOKUP(D477,Capacity!$A$3:$D$532,4,), "0")</f>
        <v>40.212385280000007</v>
      </c>
      <c r="F477" s="4">
        <f>IFERROR(VLOOKUP(D477,Capacity!$A$3:$F$532,6,), "0")</f>
        <v>0.4</v>
      </c>
      <c r="G477">
        <v>135</v>
      </c>
      <c r="H477">
        <f>IFERROR(VLOOKUP(G477,Capacity!$A$3:$D$532,4,), "0")</f>
        <v>11.545352804999998</v>
      </c>
      <c r="I477" s="4">
        <f>IFERROR(VLOOKUP(G477,Capacity!$A$3:$F$532,6,), "0")</f>
        <v>0.17499999999999999</v>
      </c>
      <c r="K477" t="str">
        <f>IFERROR(VLOOKUP(J477,Capacity!$A$3:$D$532,4,), "0")</f>
        <v>0</v>
      </c>
      <c r="L477" s="4" t="str">
        <f>IFERROR(VLOOKUP(J477,Capacity!$A$3:$F$532,6,), "0")</f>
        <v>0</v>
      </c>
      <c r="M477" s="5">
        <f t="shared" si="70"/>
        <v>51.757738085000007</v>
      </c>
      <c r="N477" s="5">
        <f t="shared" si="71"/>
        <v>0.57499999999999996</v>
      </c>
      <c r="O477">
        <v>286</v>
      </c>
      <c r="P477">
        <f>IFERROR(VLOOKUP(O477,Capacity!$A$3:$D$532,4,), "0")</f>
        <v>77.911496480000025</v>
      </c>
      <c r="Q477" s="4">
        <f>IFERROR(VLOOKUP(O477,Capacity!$A$3:$F$532,6,), "0")</f>
        <v>0.4</v>
      </c>
      <c r="R477" s="5">
        <f t="shared" si="75"/>
        <v>77.911496480000025</v>
      </c>
      <c r="S477" s="5">
        <f t="shared" si="76"/>
        <v>0.4</v>
      </c>
      <c r="T477">
        <v>278</v>
      </c>
      <c r="U477">
        <v>2</v>
      </c>
      <c r="V477">
        <v>2</v>
      </c>
      <c r="W477">
        <v>1</v>
      </c>
      <c r="X477">
        <f t="shared" si="72"/>
        <v>0.66431451612903214</v>
      </c>
      <c r="Y477">
        <f t="shared" si="73"/>
        <v>0.68645833333333317</v>
      </c>
      <c r="Z477">
        <f t="shared" si="77"/>
        <v>1.4374999999999998</v>
      </c>
      <c r="AA477">
        <f t="shared" si="78"/>
        <v>1.4374999999999998</v>
      </c>
      <c r="AC477">
        <f t="shared" si="79"/>
        <v>0.33760245901639341</v>
      </c>
      <c r="AD477">
        <f t="shared" si="74"/>
        <v>0.67520491803278682</v>
      </c>
    </row>
    <row r="478" spans="1:30" x14ac:dyDescent="0.25">
      <c r="A478">
        <v>491</v>
      </c>
      <c r="B478">
        <f>IFERROR(VLOOKUP(A478,Capacity!$A$3:$D$532,4,), "0")</f>
        <v>7.2158455031249993</v>
      </c>
      <c r="C478" s="4">
        <f>IFERROR(VLOOKUP(A478,Capacity!$A$3:$F$532,6,), "0")</f>
        <v>0.17499999999999999</v>
      </c>
      <c r="E478" t="str">
        <f>IFERROR(VLOOKUP(D478,Capacity!$A$3:$D$532,4,), "0")</f>
        <v>0</v>
      </c>
      <c r="F478" s="4" t="str">
        <f>IFERROR(VLOOKUP(D478,Capacity!$A$3:$F$532,6,), "0")</f>
        <v>0</v>
      </c>
      <c r="H478" t="str">
        <f>IFERROR(VLOOKUP(G478,Capacity!$A$3:$D$532,4,), "0")</f>
        <v>0</v>
      </c>
      <c r="I478" s="4" t="str">
        <f>IFERROR(VLOOKUP(G478,Capacity!$A$3:$F$532,6,), "0")</f>
        <v>0</v>
      </c>
      <c r="K478" t="str">
        <f>IFERROR(VLOOKUP(J478,Capacity!$A$3:$D$532,4,), "0")</f>
        <v>0</v>
      </c>
      <c r="L478" s="4" t="str">
        <f>IFERROR(VLOOKUP(J478,Capacity!$A$3:$F$532,6,), "0")</f>
        <v>0</v>
      </c>
      <c r="M478" s="5">
        <f t="shared" si="70"/>
        <v>0</v>
      </c>
      <c r="N478" s="5">
        <f t="shared" si="71"/>
        <v>0</v>
      </c>
      <c r="O478">
        <v>287</v>
      </c>
      <c r="P478">
        <f>IFERROR(VLOOKUP(O478,Capacity!$A$3:$D$532,4,), "0")</f>
        <v>14.431691006249999</v>
      </c>
      <c r="Q478" s="4">
        <f>IFERROR(VLOOKUP(O478,Capacity!$A$3:$F$532,6,), "0")</f>
        <v>0.17499999999999999</v>
      </c>
      <c r="R478" s="5">
        <f t="shared" si="75"/>
        <v>14.431691006249999</v>
      </c>
      <c r="S478" s="5">
        <f t="shared" si="76"/>
        <v>0.17499999999999999</v>
      </c>
      <c r="T478">
        <v>491</v>
      </c>
      <c r="U478">
        <v>0</v>
      </c>
      <c r="V478">
        <v>0</v>
      </c>
      <c r="W478">
        <v>1</v>
      </c>
      <c r="X478">
        <f t="shared" si="72"/>
        <v>0</v>
      </c>
      <c r="Y478">
        <f t="shared" si="73"/>
        <v>0</v>
      </c>
      <c r="Z478">
        <f t="shared" si="77"/>
        <v>0</v>
      </c>
      <c r="AA478">
        <f t="shared" si="78"/>
        <v>0</v>
      </c>
      <c r="AC478">
        <f t="shared" si="79"/>
        <v>0</v>
      </c>
      <c r="AD478">
        <f t="shared" si="74"/>
        <v>0</v>
      </c>
    </row>
    <row r="479" spans="1:30" x14ac:dyDescent="0.25">
      <c r="A479">
        <v>290</v>
      </c>
      <c r="B479">
        <f>IFERROR(VLOOKUP(A479,Capacity!$A$3:$D$532,4,), "0")</f>
        <v>125.663704</v>
      </c>
      <c r="C479" s="4">
        <f>IFERROR(VLOOKUP(A479,Capacity!$A$3:$F$532,6,), "0")</f>
        <v>0.5</v>
      </c>
      <c r="D479">
        <v>291</v>
      </c>
      <c r="E479">
        <f>IFERROR(VLOOKUP(D479,Capacity!$A$3:$D$532,4,), "0")</f>
        <v>65.345126080000014</v>
      </c>
      <c r="F479" s="4">
        <f>IFERROR(VLOOKUP(D479,Capacity!$A$3:$F$532,6,), "0")</f>
        <v>0.4</v>
      </c>
      <c r="G479">
        <v>317</v>
      </c>
      <c r="H479">
        <f>IFERROR(VLOOKUP(G479,Capacity!$A$3:$D$532,4,), "0")</f>
        <v>85.451318720000017</v>
      </c>
      <c r="I479" s="4">
        <f>IFERROR(VLOOKUP(G479,Capacity!$A$3:$F$532,6,), "0")</f>
        <v>0.4</v>
      </c>
      <c r="K479" t="str">
        <f>IFERROR(VLOOKUP(J479,Capacity!$A$3:$D$532,4,), "0")</f>
        <v>0</v>
      </c>
      <c r="L479" s="4" t="str">
        <f>IFERROR(VLOOKUP(J479,Capacity!$A$3:$F$532,6,), "0")</f>
        <v>0</v>
      </c>
      <c r="M479" s="5">
        <f t="shared" si="70"/>
        <v>150.79644480000002</v>
      </c>
      <c r="N479" s="5">
        <f t="shared" si="71"/>
        <v>0.8</v>
      </c>
      <c r="O479">
        <v>292</v>
      </c>
      <c r="P479">
        <f>IFERROR(VLOOKUP(O479,Capacity!$A$3:$D$532,4,), "0")</f>
        <v>121.73671325000001</v>
      </c>
      <c r="Q479" s="4">
        <f>IFERROR(VLOOKUP(O479,Capacity!$A$3:$F$532,6,), "0")</f>
        <v>0.5</v>
      </c>
      <c r="R479" s="5">
        <f t="shared" si="75"/>
        <v>121.73671325000001</v>
      </c>
      <c r="S479" s="5">
        <f t="shared" si="76"/>
        <v>0.5</v>
      </c>
      <c r="T479">
        <v>290</v>
      </c>
      <c r="U479">
        <v>2</v>
      </c>
      <c r="V479">
        <v>2</v>
      </c>
      <c r="W479">
        <v>1</v>
      </c>
      <c r="X479">
        <f t="shared" si="72"/>
        <v>1.2387096774193549</v>
      </c>
      <c r="Y479">
        <f t="shared" si="73"/>
        <v>1.2000000000000002</v>
      </c>
      <c r="Z479">
        <f t="shared" si="77"/>
        <v>1.6</v>
      </c>
      <c r="AA479">
        <f t="shared" si="78"/>
        <v>1.6</v>
      </c>
      <c r="AC479">
        <f t="shared" si="79"/>
        <v>0.60952380952380958</v>
      </c>
      <c r="AD479">
        <f t="shared" si="74"/>
        <v>1.2190476190476192</v>
      </c>
    </row>
    <row r="480" spans="1:30" x14ac:dyDescent="0.25">
      <c r="A480">
        <v>271</v>
      </c>
      <c r="B480">
        <f>IFERROR(VLOOKUP(A480,Capacity!$A$3:$D$532,4,), "0")</f>
        <v>24.052818343749998</v>
      </c>
      <c r="C480" s="4">
        <f>IFERROR(VLOOKUP(A480,Capacity!$A$3:$F$532,6,), "0")</f>
        <v>0.17499999999999999</v>
      </c>
      <c r="E480" t="str">
        <f>IFERROR(VLOOKUP(D480,Capacity!$A$3:$D$532,4,), "0")</f>
        <v>0</v>
      </c>
      <c r="F480" s="4" t="str">
        <f>IFERROR(VLOOKUP(D480,Capacity!$A$3:$F$532,6,), "0")</f>
        <v>0</v>
      </c>
      <c r="H480" t="str">
        <f>IFERROR(VLOOKUP(G480,Capacity!$A$3:$D$532,4,), "0")</f>
        <v>0</v>
      </c>
      <c r="I480" s="4" t="str">
        <f>IFERROR(VLOOKUP(G480,Capacity!$A$3:$F$532,6,), "0")</f>
        <v>0</v>
      </c>
      <c r="K480" t="str">
        <f>IFERROR(VLOOKUP(J480,Capacity!$A$3:$D$532,4,), "0")</f>
        <v>0</v>
      </c>
      <c r="L480" s="4" t="str">
        <f>IFERROR(VLOOKUP(J480,Capacity!$A$3:$F$532,6,), "0")</f>
        <v>0</v>
      </c>
      <c r="M480" s="5">
        <f t="shared" si="70"/>
        <v>0</v>
      </c>
      <c r="N480" s="5">
        <f t="shared" si="71"/>
        <v>0</v>
      </c>
      <c r="O480">
        <v>292</v>
      </c>
      <c r="P480">
        <f>IFERROR(VLOOKUP(O480,Capacity!$A$3:$D$532,4,), "0")</f>
        <v>121.73671325000001</v>
      </c>
      <c r="Q480" s="4">
        <f>IFERROR(VLOOKUP(O480,Capacity!$A$3:$F$532,6,), "0")</f>
        <v>0.5</v>
      </c>
      <c r="R480" s="5">
        <f t="shared" si="75"/>
        <v>121.73671325000001</v>
      </c>
      <c r="S480" s="5">
        <f t="shared" si="76"/>
        <v>0.5</v>
      </c>
      <c r="T480">
        <v>271</v>
      </c>
      <c r="U480">
        <v>0</v>
      </c>
      <c r="V480">
        <v>0</v>
      </c>
      <c r="W480">
        <v>1</v>
      </c>
      <c r="X480">
        <f t="shared" si="72"/>
        <v>0</v>
      </c>
      <c r="Y480">
        <f t="shared" si="73"/>
        <v>0</v>
      </c>
      <c r="Z480">
        <f t="shared" si="77"/>
        <v>0</v>
      </c>
      <c r="AA480">
        <f t="shared" si="78"/>
        <v>0</v>
      </c>
      <c r="AC480">
        <f t="shared" si="79"/>
        <v>0</v>
      </c>
      <c r="AD480">
        <f t="shared" si="74"/>
        <v>0</v>
      </c>
    </row>
    <row r="481" spans="1:30" x14ac:dyDescent="0.25">
      <c r="A481">
        <v>289</v>
      </c>
      <c r="B481">
        <f>IFERROR(VLOOKUP(A481,Capacity!$A$3:$D$532,4,), "0")</f>
        <v>24.268017436850005</v>
      </c>
      <c r="C481" s="4">
        <f>IFERROR(VLOOKUP(A481,Capacity!$A$3:$F$532,6,), "0")</f>
        <v>0.26500000000000001</v>
      </c>
      <c r="D481">
        <v>224</v>
      </c>
      <c r="E481">
        <f>IFERROR(VLOOKUP(D481,Capacity!$A$3:$D$532,4,), "0")</f>
        <v>33.092751050250008</v>
      </c>
      <c r="F481" s="4">
        <f>IFERROR(VLOOKUP(D481,Capacity!$A$3:$F$532,6,), "0")</f>
        <v>0.26500000000000001</v>
      </c>
      <c r="H481" t="str">
        <f>IFERROR(VLOOKUP(G481,Capacity!$A$3:$D$532,4,), "0")</f>
        <v>0</v>
      </c>
      <c r="I481" s="4" t="str">
        <f>IFERROR(VLOOKUP(G481,Capacity!$A$3:$F$532,6,), "0")</f>
        <v>0</v>
      </c>
      <c r="K481" t="str">
        <f>IFERROR(VLOOKUP(J481,Capacity!$A$3:$D$532,4,), "0")</f>
        <v>0</v>
      </c>
      <c r="L481" s="4" t="str">
        <f>IFERROR(VLOOKUP(J481,Capacity!$A$3:$F$532,6,), "0")</f>
        <v>0</v>
      </c>
      <c r="M481" s="5">
        <f t="shared" si="70"/>
        <v>33.092751050250008</v>
      </c>
      <c r="N481" s="5">
        <f t="shared" si="71"/>
        <v>0.26500000000000001</v>
      </c>
      <c r="O481">
        <v>292</v>
      </c>
      <c r="P481">
        <f>IFERROR(VLOOKUP(O481,Capacity!$A$3:$D$532,4,), "0")</f>
        <v>121.73671325000001</v>
      </c>
      <c r="Q481" s="4">
        <f>IFERROR(VLOOKUP(O481,Capacity!$A$3:$F$532,6,), "0")</f>
        <v>0.5</v>
      </c>
      <c r="R481" s="5">
        <f t="shared" si="75"/>
        <v>121.73671325000001</v>
      </c>
      <c r="S481" s="5">
        <f t="shared" si="76"/>
        <v>0.5</v>
      </c>
      <c r="T481">
        <v>289</v>
      </c>
      <c r="U481">
        <v>1</v>
      </c>
      <c r="V481">
        <v>1</v>
      </c>
      <c r="W481">
        <v>1</v>
      </c>
      <c r="X481">
        <f t="shared" si="72"/>
        <v>0.27183870967741941</v>
      </c>
      <c r="Y481">
        <f t="shared" si="73"/>
        <v>1.3636363636363638</v>
      </c>
      <c r="Z481">
        <f t="shared" si="77"/>
        <v>0.53</v>
      </c>
      <c r="AA481">
        <f t="shared" si="78"/>
        <v>1</v>
      </c>
      <c r="AC481">
        <f t="shared" si="79"/>
        <v>0.22665533434822135</v>
      </c>
      <c r="AD481">
        <f t="shared" si="74"/>
        <v>0.22665533434822135</v>
      </c>
    </row>
    <row r="482" spans="1:30" x14ac:dyDescent="0.25">
      <c r="A482">
        <v>492</v>
      </c>
      <c r="B482">
        <f>IFERROR(VLOOKUP(A482,Capacity!$A$3:$D$532,4,), "0")</f>
        <v>14.912747373124999</v>
      </c>
      <c r="C482" s="4">
        <f>IFERROR(VLOOKUP(A482,Capacity!$A$3:$F$532,6,), "0")</f>
        <v>0.17499999999999999</v>
      </c>
      <c r="E482" t="str">
        <f>IFERROR(VLOOKUP(D482,Capacity!$A$3:$D$532,4,), "0")</f>
        <v>0</v>
      </c>
      <c r="F482" s="4" t="str">
        <f>IFERROR(VLOOKUP(D482,Capacity!$A$3:$F$532,6,), "0")</f>
        <v>0</v>
      </c>
      <c r="H482" t="str">
        <f>IFERROR(VLOOKUP(G482,Capacity!$A$3:$D$532,4,), "0")</f>
        <v>0</v>
      </c>
      <c r="I482" s="4" t="str">
        <f>IFERROR(VLOOKUP(G482,Capacity!$A$3:$F$532,6,), "0")</f>
        <v>0</v>
      </c>
      <c r="K482" t="str">
        <f>IFERROR(VLOOKUP(J482,Capacity!$A$3:$D$532,4,), "0")</f>
        <v>0</v>
      </c>
      <c r="L482" s="4" t="str">
        <f>IFERROR(VLOOKUP(J482,Capacity!$A$3:$F$532,6,), "0")</f>
        <v>0</v>
      </c>
      <c r="M482" s="5">
        <f t="shared" si="70"/>
        <v>0</v>
      </c>
      <c r="N482" s="5">
        <f t="shared" si="71"/>
        <v>0</v>
      </c>
      <c r="O482">
        <v>288</v>
      </c>
      <c r="P482">
        <f>IFERROR(VLOOKUP(O482,Capacity!$A$3:$D$532,4,), "0")</f>
        <v>22.619466720000005</v>
      </c>
      <c r="Q482" s="4">
        <f>IFERROR(VLOOKUP(O482,Capacity!$A$3:$F$532,6,), "0")</f>
        <v>0.2</v>
      </c>
      <c r="R482" s="5">
        <f t="shared" si="75"/>
        <v>22.619466720000005</v>
      </c>
      <c r="S482" s="5">
        <f t="shared" si="76"/>
        <v>0.2</v>
      </c>
      <c r="T482">
        <v>492</v>
      </c>
      <c r="U482">
        <v>0</v>
      </c>
      <c r="V482">
        <v>0</v>
      </c>
      <c r="W482">
        <v>1</v>
      </c>
      <c r="X482">
        <f t="shared" si="72"/>
        <v>0</v>
      </c>
      <c r="Y482">
        <f t="shared" si="73"/>
        <v>0</v>
      </c>
      <c r="Z482">
        <f t="shared" si="77"/>
        <v>0</v>
      </c>
      <c r="AA482">
        <f t="shared" si="78"/>
        <v>0</v>
      </c>
      <c r="AC482">
        <f t="shared" si="79"/>
        <v>0</v>
      </c>
      <c r="AD482">
        <f t="shared" si="74"/>
        <v>0</v>
      </c>
    </row>
    <row r="483" spans="1:30" x14ac:dyDescent="0.25">
      <c r="A483">
        <v>440</v>
      </c>
      <c r="B483">
        <f>IFERROR(VLOOKUP(A483,Capacity!$A$3:$D$532,4,), "0")</f>
        <v>10.58324007125</v>
      </c>
      <c r="C483" s="4">
        <f>IFERROR(VLOOKUP(A483,Capacity!$A$3:$F$532,6,), "0")</f>
        <v>0.17499999999999999</v>
      </c>
      <c r="E483" t="str">
        <f>IFERROR(VLOOKUP(D483,Capacity!$A$3:$D$532,4,), "0")</f>
        <v>0</v>
      </c>
      <c r="F483" s="4" t="str">
        <f>IFERROR(VLOOKUP(D483,Capacity!$A$3:$F$532,6,), "0")</f>
        <v>0</v>
      </c>
      <c r="H483" t="str">
        <f>IFERROR(VLOOKUP(G483,Capacity!$A$3:$D$532,4,), "0")</f>
        <v>0</v>
      </c>
      <c r="I483" s="4" t="str">
        <f>IFERROR(VLOOKUP(G483,Capacity!$A$3:$F$532,6,), "0")</f>
        <v>0</v>
      </c>
      <c r="K483" t="str">
        <f>IFERROR(VLOOKUP(J483,Capacity!$A$3:$D$532,4,), "0")</f>
        <v>0</v>
      </c>
      <c r="L483" s="4" t="str">
        <f>IFERROR(VLOOKUP(J483,Capacity!$A$3:$F$532,6,), "0")</f>
        <v>0</v>
      </c>
      <c r="M483" s="5">
        <f t="shared" si="70"/>
        <v>0</v>
      </c>
      <c r="N483" s="5">
        <f t="shared" si="71"/>
        <v>0</v>
      </c>
      <c r="O483">
        <v>90</v>
      </c>
      <c r="P483">
        <f>IFERROR(VLOOKUP(O483,Capacity!$A$3:$D$532,4,), "0")</f>
        <v>35.298934453600005</v>
      </c>
      <c r="Q483" s="4">
        <f>IFERROR(VLOOKUP(O483,Capacity!$A$3:$F$532,6,), "0")</f>
        <v>0.26500000000000001</v>
      </c>
      <c r="R483" s="5">
        <f t="shared" si="75"/>
        <v>35.298934453600005</v>
      </c>
      <c r="S483" s="5">
        <f t="shared" si="76"/>
        <v>0.26500000000000001</v>
      </c>
      <c r="T483">
        <v>440</v>
      </c>
      <c r="U483">
        <v>0</v>
      </c>
      <c r="V483">
        <v>0</v>
      </c>
      <c r="W483">
        <v>1</v>
      </c>
      <c r="X483">
        <f t="shared" si="72"/>
        <v>0</v>
      </c>
      <c r="Y483">
        <f t="shared" si="73"/>
        <v>0</v>
      </c>
      <c r="Z483">
        <f t="shared" si="77"/>
        <v>0</v>
      </c>
      <c r="AA483">
        <f t="shared" si="78"/>
        <v>0</v>
      </c>
      <c r="AC483">
        <f t="shared" si="79"/>
        <v>0</v>
      </c>
      <c r="AD483">
        <f t="shared" si="74"/>
        <v>0</v>
      </c>
    </row>
    <row r="484" spans="1:30" x14ac:dyDescent="0.25">
      <c r="A484">
        <v>79</v>
      </c>
      <c r="B484">
        <f>IFERROR(VLOOKUP(A484,Capacity!$A$3:$D$532,4,), "0")</f>
        <v>33.092751050250008</v>
      </c>
      <c r="C484" s="4">
        <f>IFERROR(VLOOKUP(A484,Capacity!$A$3:$F$532,6,), "0")</f>
        <v>0.26500000000000001</v>
      </c>
      <c r="D484">
        <v>68</v>
      </c>
      <c r="E484">
        <f>IFERROR(VLOOKUP(D484,Capacity!$A$3:$D$532,4,), "0")</f>
        <v>17.649467226800002</v>
      </c>
      <c r="F484" s="4">
        <f>IFERROR(VLOOKUP(D484,Capacity!$A$3:$F$532,6,), "0")</f>
        <v>0.26500000000000001</v>
      </c>
      <c r="H484" t="str">
        <f>IFERROR(VLOOKUP(G484,Capacity!$A$3:$D$532,4,), "0")</f>
        <v>0</v>
      </c>
      <c r="I484" s="4" t="str">
        <f>IFERROR(VLOOKUP(G484,Capacity!$A$3:$F$532,6,), "0")</f>
        <v>0</v>
      </c>
      <c r="K484" t="str">
        <f>IFERROR(VLOOKUP(J484,Capacity!$A$3:$D$532,4,), "0")</f>
        <v>0</v>
      </c>
      <c r="L484" s="4" t="str">
        <f>IFERROR(VLOOKUP(J484,Capacity!$A$3:$F$532,6,), "0")</f>
        <v>0</v>
      </c>
      <c r="M484" s="5">
        <f t="shared" si="70"/>
        <v>17.649467226800002</v>
      </c>
      <c r="N484" s="5">
        <f t="shared" si="71"/>
        <v>0.26500000000000001</v>
      </c>
      <c r="O484">
        <v>90</v>
      </c>
      <c r="P484">
        <f>IFERROR(VLOOKUP(O484,Capacity!$A$3:$D$532,4,), "0")</f>
        <v>35.298934453600005</v>
      </c>
      <c r="Q484" s="4">
        <f>IFERROR(VLOOKUP(O484,Capacity!$A$3:$F$532,6,), "0")</f>
        <v>0.26500000000000001</v>
      </c>
      <c r="R484" s="5">
        <f t="shared" si="75"/>
        <v>35.298934453600005</v>
      </c>
      <c r="S484" s="5">
        <f t="shared" si="76"/>
        <v>0.26500000000000001</v>
      </c>
      <c r="T484">
        <v>79</v>
      </c>
      <c r="U484">
        <v>1</v>
      </c>
      <c r="V484">
        <v>1</v>
      </c>
      <c r="W484">
        <v>1</v>
      </c>
      <c r="X484">
        <f t="shared" si="72"/>
        <v>0.5</v>
      </c>
      <c r="Y484">
        <f t="shared" si="73"/>
        <v>0.53333333333333321</v>
      </c>
      <c r="Z484">
        <f t="shared" si="77"/>
        <v>1</v>
      </c>
      <c r="AA484">
        <f t="shared" si="78"/>
        <v>1</v>
      </c>
      <c r="AC484">
        <f t="shared" si="79"/>
        <v>0.25806451612903225</v>
      </c>
      <c r="AD484">
        <f t="shared" si="74"/>
        <v>0.25806451612903225</v>
      </c>
    </row>
    <row r="485" spans="1:30" x14ac:dyDescent="0.25">
      <c r="A485">
        <v>268</v>
      </c>
      <c r="B485">
        <f>IFERROR(VLOOKUP(A485,Capacity!$A$3:$D$532,4,), "0")</f>
        <v>40.212385280000007</v>
      </c>
      <c r="C485" s="4">
        <f>IFERROR(VLOOKUP(A485,Capacity!$A$3:$F$532,6,), "0")</f>
        <v>0.4</v>
      </c>
      <c r="D485">
        <v>257</v>
      </c>
      <c r="E485">
        <f>IFERROR(VLOOKUP(D485,Capacity!$A$3:$D$532,4,), "0")</f>
        <v>17.649467226800002</v>
      </c>
      <c r="F485" s="4">
        <f>IFERROR(VLOOKUP(D485,Capacity!$A$3:$F$532,6,), "0")</f>
        <v>0.26500000000000001</v>
      </c>
      <c r="G485">
        <v>146</v>
      </c>
      <c r="H485">
        <f>IFERROR(VLOOKUP(G485,Capacity!$A$3:$D$532,4,), "0")</f>
        <v>12.026409171874999</v>
      </c>
      <c r="I485" s="4">
        <f>IFERROR(VLOOKUP(G485,Capacity!$A$3:$F$532,6,), "0")</f>
        <v>0.17499999999999999</v>
      </c>
      <c r="K485" t="str">
        <f>IFERROR(VLOOKUP(J485,Capacity!$A$3:$D$532,4,), "0")</f>
        <v>0</v>
      </c>
      <c r="L485" s="4" t="str">
        <f>IFERROR(VLOOKUP(J485,Capacity!$A$3:$F$532,6,), "0")</f>
        <v>0</v>
      </c>
      <c r="M485" s="5">
        <f t="shared" si="70"/>
        <v>29.675876398675001</v>
      </c>
      <c r="N485" s="5">
        <f t="shared" si="71"/>
        <v>0.44</v>
      </c>
      <c r="O485">
        <v>278</v>
      </c>
      <c r="P485">
        <f>IFERROR(VLOOKUP(O485,Capacity!$A$3:$D$532,4,), "0")</f>
        <v>75.398222400000023</v>
      </c>
      <c r="Q485" s="4">
        <f>IFERROR(VLOOKUP(O485,Capacity!$A$3:$F$532,6,), "0")</f>
        <v>0.4</v>
      </c>
      <c r="R485" s="5">
        <f t="shared" si="75"/>
        <v>75.398222400000023</v>
      </c>
      <c r="S485" s="5">
        <f t="shared" si="76"/>
        <v>0.4</v>
      </c>
      <c r="T485">
        <v>268</v>
      </c>
      <c r="U485">
        <v>2</v>
      </c>
      <c r="V485">
        <v>2</v>
      </c>
      <c r="W485">
        <v>1</v>
      </c>
      <c r="X485">
        <f t="shared" si="72"/>
        <v>0.39358854166666657</v>
      </c>
      <c r="Y485">
        <f t="shared" si="73"/>
        <v>0.73797851562499994</v>
      </c>
      <c r="Z485">
        <f t="shared" si="77"/>
        <v>1.0999999999999999</v>
      </c>
      <c r="AA485">
        <f t="shared" si="78"/>
        <v>1.0999999999999999</v>
      </c>
      <c r="AC485">
        <f t="shared" si="79"/>
        <v>0.25668817934782601</v>
      </c>
      <c r="AD485">
        <f t="shared" si="74"/>
        <v>0.51337635869565201</v>
      </c>
    </row>
    <row r="486" spans="1:30" x14ac:dyDescent="0.25">
      <c r="A486">
        <v>135</v>
      </c>
      <c r="B486">
        <f>IFERROR(VLOOKUP(A486,Capacity!$A$3:$D$532,4,), "0")</f>
        <v>11.545352804999998</v>
      </c>
      <c r="C486" s="4">
        <f>IFERROR(VLOOKUP(A486,Capacity!$A$3:$F$532,6,), "0")</f>
        <v>0.17499999999999999</v>
      </c>
      <c r="D486">
        <v>410</v>
      </c>
      <c r="E486">
        <f>IFERROR(VLOOKUP(D486,Capacity!$A$3:$D$532,4,), "0")</f>
        <v>9.621127337499999</v>
      </c>
      <c r="F486" s="4">
        <f>IFERROR(VLOOKUP(D486,Capacity!$A$3:$F$532,6,), "0")</f>
        <v>0.17499999999999999</v>
      </c>
      <c r="H486" t="str">
        <f>IFERROR(VLOOKUP(G486,Capacity!$A$3:$D$532,4,), "0")</f>
        <v>0</v>
      </c>
      <c r="I486" s="4" t="str">
        <f>IFERROR(VLOOKUP(G486,Capacity!$A$3:$F$532,6,), "0")</f>
        <v>0</v>
      </c>
      <c r="K486" t="str">
        <f>IFERROR(VLOOKUP(J486,Capacity!$A$3:$D$532,4,), "0")</f>
        <v>0</v>
      </c>
      <c r="L486" s="4" t="str">
        <f>IFERROR(VLOOKUP(J486,Capacity!$A$3:$F$532,6,), "0")</f>
        <v>0</v>
      </c>
      <c r="M486" s="5">
        <f t="shared" si="70"/>
        <v>9.621127337499999</v>
      </c>
      <c r="N486" s="5">
        <f t="shared" si="71"/>
        <v>0.17499999999999999</v>
      </c>
      <c r="O486">
        <v>278</v>
      </c>
      <c r="P486">
        <f>IFERROR(VLOOKUP(O486,Capacity!$A$3:$D$532,4,), "0")</f>
        <v>75.398222400000023</v>
      </c>
      <c r="Q486" s="4">
        <f>IFERROR(VLOOKUP(O486,Capacity!$A$3:$F$532,6,), "0")</f>
        <v>0.4</v>
      </c>
      <c r="R486" s="5">
        <f t="shared" si="75"/>
        <v>75.398222400000023</v>
      </c>
      <c r="S486" s="5">
        <f t="shared" si="76"/>
        <v>0.4</v>
      </c>
      <c r="T486">
        <v>135</v>
      </c>
      <c r="U486">
        <v>1</v>
      </c>
      <c r="V486">
        <v>1</v>
      </c>
      <c r="W486">
        <v>1</v>
      </c>
      <c r="X486">
        <f t="shared" si="72"/>
        <v>0.1276041666666666</v>
      </c>
      <c r="Y486">
        <f t="shared" si="73"/>
        <v>0.83333333333333337</v>
      </c>
      <c r="Z486">
        <f t="shared" si="77"/>
        <v>0.43749999999999994</v>
      </c>
      <c r="AA486">
        <f t="shared" si="78"/>
        <v>1</v>
      </c>
      <c r="AC486">
        <f t="shared" si="79"/>
        <v>0.11065943992773258</v>
      </c>
      <c r="AD486">
        <f t="shared" si="74"/>
        <v>0.11065943992773258</v>
      </c>
    </row>
    <row r="487" spans="1:30" x14ac:dyDescent="0.25">
      <c r="A487">
        <v>224</v>
      </c>
      <c r="B487">
        <f>IFERROR(VLOOKUP(A487,Capacity!$A$3:$D$532,4,), "0")</f>
        <v>33.092751050250008</v>
      </c>
      <c r="C487" s="4">
        <f>IFERROR(VLOOKUP(A487,Capacity!$A$3:$F$532,6,), "0")</f>
        <v>0.26500000000000001</v>
      </c>
      <c r="D487">
        <v>482</v>
      </c>
      <c r="E487">
        <f>IFERROR(VLOOKUP(D487,Capacity!$A$3:$D$532,4,), "0")</f>
        <v>7.6969018699999987</v>
      </c>
      <c r="F487" s="4">
        <f>IFERROR(VLOOKUP(D487,Capacity!$A$3:$F$532,6,), "0")</f>
        <v>0.17499999999999999</v>
      </c>
      <c r="G487">
        <v>212</v>
      </c>
      <c r="H487">
        <f>IFERROR(VLOOKUP(G487,Capacity!$A$3:$D$532,4,), "0")</f>
        <v>5.7726764024999992</v>
      </c>
      <c r="I487" s="4">
        <f>IFERROR(VLOOKUP(G487,Capacity!$A$3:$F$532,6,), "0")</f>
        <v>0.17499999999999999</v>
      </c>
      <c r="J487">
        <v>190</v>
      </c>
      <c r="K487">
        <f>IFERROR(VLOOKUP(J487,Capacity!$A$3:$D$532,4,), "0")</f>
        <v>35.298934453600005</v>
      </c>
      <c r="L487" s="4">
        <f>IFERROR(VLOOKUP(J487,Capacity!$A$3:$F$532,6,), "0")</f>
        <v>0.26500000000000001</v>
      </c>
      <c r="M487" s="5">
        <f t="shared" si="70"/>
        <v>48.768512726099999</v>
      </c>
      <c r="N487" s="5">
        <f t="shared" si="71"/>
        <v>0.61499999999999999</v>
      </c>
      <c r="O487">
        <v>289</v>
      </c>
      <c r="P487">
        <f>IFERROR(VLOOKUP(O487,Capacity!$A$3:$D$532,4,), "0")</f>
        <v>24.268017436850005</v>
      </c>
      <c r="Q487" s="4">
        <f>IFERROR(VLOOKUP(O487,Capacity!$A$3:$F$532,6,), "0")</f>
        <v>0.26500000000000001</v>
      </c>
      <c r="R487" s="5">
        <f t="shared" si="75"/>
        <v>24.268017436850005</v>
      </c>
      <c r="S487" s="5">
        <f t="shared" si="76"/>
        <v>0.26500000000000001</v>
      </c>
      <c r="T487">
        <v>224</v>
      </c>
      <c r="U487">
        <v>3</v>
      </c>
      <c r="V487">
        <v>3</v>
      </c>
      <c r="W487">
        <v>1</v>
      </c>
      <c r="X487">
        <f t="shared" si="72"/>
        <v>2.0095795980452436</v>
      </c>
      <c r="Y487">
        <f t="shared" si="73"/>
        <v>1.4736917052331786</v>
      </c>
      <c r="Z487">
        <f t="shared" si="77"/>
        <v>2.3207547169811318</v>
      </c>
      <c r="AA487">
        <f t="shared" si="78"/>
        <v>2.3207547169811318</v>
      </c>
      <c r="AC487">
        <f t="shared" si="79"/>
        <v>0.8502067530191415</v>
      </c>
      <c r="AD487">
        <f t="shared" si="74"/>
        <v>2.5506202590574247</v>
      </c>
    </row>
    <row r="488" spans="1:30" x14ac:dyDescent="0.25">
      <c r="A488">
        <v>317</v>
      </c>
      <c r="B488">
        <f>IFERROR(VLOOKUP(A488,Capacity!$A$3:$D$532,4,), "0")</f>
        <v>85.451318720000017</v>
      </c>
      <c r="C488" s="4">
        <f>IFERROR(VLOOKUP(A488,Capacity!$A$3:$F$532,6,), "0")</f>
        <v>0.4</v>
      </c>
      <c r="D488">
        <v>519</v>
      </c>
      <c r="E488">
        <f>IFERROR(VLOOKUP(D488,Capacity!$A$3:$D$532,4,), "0")</f>
        <v>10.679451344624999</v>
      </c>
      <c r="F488" s="4">
        <f>IFERROR(VLOOKUP(D488,Capacity!$A$3:$F$532,6,), "0")</f>
        <v>0.17499999999999999</v>
      </c>
      <c r="G488">
        <v>477</v>
      </c>
      <c r="H488">
        <f>IFERROR(VLOOKUP(G488,Capacity!$A$3:$D$532,4,), "0")</f>
        <v>5.2916200356249998</v>
      </c>
      <c r="I488" s="4">
        <f>IFERROR(VLOOKUP(G488,Capacity!$A$3:$F$532,6,), "0")</f>
        <v>0.17499999999999999</v>
      </c>
      <c r="J488">
        <v>306</v>
      </c>
      <c r="K488">
        <f>IFERROR(VLOOKUP(J488,Capacity!$A$3:$D$532,4,), "0")</f>
        <v>75.398222400000023</v>
      </c>
      <c r="L488" s="4">
        <f>IFERROR(VLOOKUP(J488,Capacity!$A$3:$F$532,6,), "0")</f>
        <v>0.4</v>
      </c>
      <c r="M488" s="5">
        <f t="shared" si="70"/>
        <v>91.369293780250018</v>
      </c>
      <c r="N488" s="5">
        <f t="shared" si="71"/>
        <v>0.75</v>
      </c>
      <c r="O488">
        <v>290</v>
      </c>
      <c r="P488">
        <f>IFERROR(VLOOKUP(O488,Capacity!$A$3:$D$532,4,), "0")</f>
        <v>125.663704</v>
      </c>
      <c r="Q488" s="4">
        <f>IFERROR(VLOOKUP(O488,Capacity!$A$3:$F$532,6,), "0")</f>
        <v>0.5</v>
      </c>
      <c r="R488" s="5">
        <f t="shared" si="75"/>
        <v>125.663704</v>
      </c>
      <c r="S488" s="5">
        <f t="shared" si="76"/>
        <v>0.5</v>
      </c>
      <c r="T488">
        <v>317</v>
      </c>
      <c r="U488">
        <v>3</v>
      </c>
      <c r="V488">
        <v>3</v>
      </c>
      <c r="W488">
        <v>1</v>
      </c>
      <c r="X488">
        <f t="shared" si="72"/>
        <v>0.72709375000000021</v>
      </c>
      <c r="Y488">
        <f t="shared" si="73"/>
        <v>1.0692555147058824</v>
      </c>
      <c r="Z488">
        <f t="shared" si="77"/>
        <v>1.5</v>
      </c>
      <c r="AA488">
        <f t="shared" si="78"/>
        <v>1.875</v>
      </c>
      <c r="AC488">
        <f t="shared" si="79"/>
        <v>0.43279389880952385</v>
      </c>
      <c r="AD488">
        <f t="shared" si="74"/>
        <v>1.2983816964285715</v>
      </c>
    </row>
    <row r="489" spans="1:30" x14ac:dyDescent="0.25">
      <c r="A489">
        <v>291</v>
      </c>
      <c r="B489">
        <f>IFERROR(VLOOKUP(A489,Capacity!$A$3:$D$532,4,), "0")</f>
        <v>65.345126080000014</v>
      </c>
      <c r="C489" s="4">
        <f>IFERROR(VLOOKUP(A489,Capacity!$A$3:$F$532,6,), "0")</f>
        <v>0.4</v>
      </c>
      <c r="D489">
        <v>328</v>
      </c>
      <c r="E489">
        <f>IFERROR(VLOOKUP(D489,Capacity!$A$3:$D$532,4,), "0")</f>
        <v>55.292029760000013</v>
      </c>
      <c r="F489" s="4">
        <f>IFERROR(VLOOKUP(D489,Capacity!$A$3:$F$532,6,), "0")</f>
        <v>0.4</v>
      </c>
      <c r="H489" t="str">
        <f>IFERROR(VLOOKUP(G489,Capacity!$A$3:$D$532,4,), "0")</f>
        <v>0</v>
      </c>
      <c r="I489" s="4" t="str">
        <f>IFERROR(VLOOKUP(G489,Capacity!$A$3:$F$532,6,), "0")</f>
        <v>0</v>
      </c>
      <c r="K489" t="str">
        <f>IFERROR(VLOOKUP(J489,Capacity!$A$3:$D$532,4,), "0")</f>
        <v>0</v>
      </c>
      <c r="L489" s="4" t="str">
        <f>IFERROR(VLOOKUP(J489,Capacity!$A$3:$F$532,6,), "0")</f>
        <v>0</v>
      </c>
      <c r="M489" s="5">
        <f t="shared" si="70"/>
        <v>55.292029760000013</v>
      </c>
      <c r="N489" s="5">
        <f t="shared" si="71"/>
        <v>0.4</v>
      </c>
      <c r="O489">
        <v>290</v>
      </c>
      <c r="P489">
        <f>IFERROR(VLOOKUP(O489,Capacity!$A$3:$D$532,4,), "0")</f>
        <v>125.663704</v>
      </c>
      <c r="Q489" s="4">
        <f>IFERROR(VLOOKUP(O489,Capacity!$A$3:$F$532,6,), "0")</f>
        <v>0.5</v>
      </c>
      <c r="R489" s="5">
        <f t="shared" si="75"/>
        <v>125.663704</v>
      </c>
      <c r="S489" s="5">
        <f t="shared" si="76"/>
        <v>0.5</v>
      </c>
      <c r="T489">
        <v>291</v>
      </c>
      <c r="U489">
        <v>1</v>
      </c>
      <c r="V489">
        <v>1</v>
      </c>
      <c r="W489">
        <v>1</v>
      </c>
      <c r="X489">
        <f t="shared" si="72"/>
        <v>0.44000000000000011</v>
      </c>
      <c r="Y489">
        <f t="shared" si="73"/>
        <v>0.84615384615384615</v>
      </c>
      <c r="Z489">
        <f t="shared" si="77"/>
        <v>0.8</v>
      </c>
      <c r="AA489">
        <f t="shared" si="78"/>
        <v>1</v>
      </c>
      <c r="AC489">
        <f t="shared" si="79"/>
        <v>0.28947368421052638</v>
      </c>
      <c r="AD489">
        <f t="shared" si="74"/>
        <v>0.28947368421052638</v>
      </c>
    </row>
    <row r="490" spans="1:30" x14ac:dyDescent="0.25">
      <c r="A490">
        <v>68</v>
      </c>
      <c r="B490">
        <f>IFERROR(VLOOKUP(A490,Capacity!$A$3:$D$532,4,), "0")</f>
        <v>17.649467226800002</v>
      </c>
      <c r="C490" s="4">
        <f>IFERROR(VLOOKUP(A490,Capacity!$A$3:$F$532,6,), "0")</f>
        <v>0.26500000000000001</v>
      </c>
      <c r="D490">
        <v>447</v>
      </c>
      <c r="E490">
        <f>IFERROR(VLOOKUP(D490,Capacity!$A$3:$D$532,4,), "0")</f>
        <v>9.621127337499999</v>
      </c>
      <c r="F490" s="4">
        <f>IFERROR(VLOOKUP(D490,Capacity!$A$3:$F$532,6,), "0")</f>
        <v>0.17499999999999999</v>
      </c>
      <c r="G490">
        <v>57</v>
      </c>
      <c r="H490">
        <f>IFERROR(VLOOKUP(G490,Capacity!$A$3:$D$532,4,), "0")</f>
        <v>17.649467226800002</v>
      </c>
      <c r="I490" s="4">
        <f>IFERROR(VLOOKUP(G490,Capacity!$A$3:$F$532,6,), "0")</f>
        <v>0.26500000000000001</v>
      </c>
      <c r="K490" t="str">
        <f>IFERROR(VLOOKUP(J490,Capacity!$A$3:$D$532,4,), "0")</f>
        <v>0</v>
      </c>
      <c r="L490" s="4" t="str">
        <f>IFERROR(VLOOKUP(J490,Capacity!$A$3:$F$532,6,), "0")</f>
        <v>0</v>
      </c>
      <c r="M490" s="5">
        <f t="shared" si="70"/>
        <v>27.270594564300001</v>
      </c>
      <c r="N490" s="5">
        <f t="shared" si="71"/>
        <v>0.44</v>
      </c>
      <c r="O490">
        <v>79</v>
      </c>
      <c r="P490">
        <f>IFERROR(VLOOKUP(O490,Capacity!$A$3:$D$532,4,), "0")</f>
        <v>33.092751050250008</v>
      </c>
      <c r="Q490" s="4">
        <f>IFERROR(VLOOKUP(O490,Capacity!$A$3:$F$532,6,), "0")</f>
        <v>0.26500000000000001</v>
      </c>
      <c r="R490" s="5">
        <f t="shared" si="75"/>
        <v>33.092751050250008</v>
      </c>
      <c r="S490" s="5">
        <f t="shared" si="76"/>
        <v>0.26500000000000001</v>
      </c>
      <c r="T490">
        <v>68</v>
      </c>
      <c r="U490">
        <v>2</v>
      </c>
      <c r="V490">
        <v>2</v>
      </c>
      <c r="W490">
        <v>1</v>
      </c>
      <c r="X490">
        <f t="shared" si="72"/>
        <v>0.82406550373798493</v>
      </c>
      <c r="Y490">
        <f t="shared" si="73"/>
        <v>1.5451228195087219</v>
      </c>
      <c r="Z490">
        <f t="shared" si="77"/>
        <v>1.6603773584905659</v>
      </c>
      <c r="AA490">
        <f t="shared" si="78"/>
        <v>1.6603773584905659</v>
      </c>
      <c r="AC490">
        <f t="shared" si="79"/>
        <v>0.53743402417694663</v>
      </c>
      <c r="AD490">
        <f t="shared" si="74"/>
        <v>1.0748680483538933</v>
      </c>
    </row>
    <row r="491" spans="1:30" x14ac:dyDescent="0.25">
      <c r="A491">
        <v>410</v>
      </c>
      <c r="B491">
        <f>IFERROR(VLOOKUP(A491,Capacity!$A$3:$D$532,4,), "0")</f>
        <v>9.621127337499999</v>
      </c>
      <c r="C491" s="4">
        <f>IFERROR(VLOOKUP(A491,Capacity!$A$3:$F$532,6,), "0")</f>
        <v>0.17499999999999999</v>
      </c>
      <c r="E491" t="str">
        <f>IFERROR(VLOOKUP(D491,Capacity!$A$3:$D$532,4,), "0")</f>
        <v>0</v>
      </c>
      <c r="F491" s="4" t="str">
        <f>IFERROR(VLOOKUP(D491,Capacity!$A$3:$F$532,6,), "0")</f>
        <v>0</v>
      </c>
      <c r="H491" t="str">
        <f>IFERROR(VLOOKUP(G491,Capacity!$A$3:$D$532,4,), "0")</f>
        <v>0</v>
      </c>
      <c r="I491" s="4" t="str">
        <f>IFERROR(VLOOKUP(G491,Capacity!$A$3:$F$532,6,), "0")</f>
        <v>0</v>
      </c>
      <c r="K491" t="str">
        <f>IFERROR(VLOOKUP(J491,Capacity!$A$3:$D$532,4,), "0")</f>
        <v>0</v>
      </c>
      <c r="L491" s="4" t="str">
        <f>IFERROR(VLOOKUP(J491,Capacity!$A$3:$F$532,6,), "0")</f>
        <v>0</v>
      </c>
      <c r="M491" s="5">
        <f t="shared" si="70"/>
        <v>0</v>
      </c>
      <c r="N491" s="5">
        <f t="shared" si="71"/>
        <v>0</v>
      </c>
      <c r="O491">
        <v>135</v>
      </c>
      <c r="P491">
        <f>IFERROR(VLOOKUP(O491,Capacity!$A$3:$D$532,4,), "0")</f>
        <v>11.545352804999998</v>
      </c>
      <c r="Q491" s="4">
        <f>IFERROR(VLOOKUP(O491,Capacity!$A$3:$F$532,6,), "0")</f>
        <v>0.17499999999999999</v>
      </c>
      <c r="R491" s="5">
        <f t="shared" si="75"/>
        <v>11.545352804999998</v>
      </c>
      <c r="S491" s="5">
        <f t="shared" si="76"/>
        <v>0.17499999999999999</v>
      </c>
      <c r="T491">
        <v>410</v>
      </c>
      <c r="U491">
        <v>0</v>
      </c>
      <c r="V491">
        <v>0</v>
      </c>
      <c r="W491">
        <v>1</v>
      </c>
      <c r="X491">
        <f t="shared" si="72"/>
        <v>0</v>
      </c>
      <c r="Y491">
        <f t="shared" si="73"/>
        <v>0</v>
      </c>
      <c r="Z491">
        <f t="shared" si="77"/>
        <v>0</v>
      </c>
      <c r="AA491">
        <f t="shared" si="78"/>
        <v>0</v>
      </c>
      <c r="AC491">
        <f t="shared" si="79"/>
        <v>0</v>
      </c>
      <c r="AD491">
        <f t="shared" si="74"/>
        <v>0</v>
      </c>
    </row>
    <row r="492" spans="1:30" x14ac:dyDescent="0.25">
      <c r="A492">
        <v>257</v>
      </c>
      <c r="B492">
        <f>IFERROR(VLOOKUP(A492,Capacity!$A$3:$D$532,4,), "0")</f>
        <v>17.649467226800002</v>
      </c>
      <c r="C492" s="4">
        <f>IFERROR(VLOOKUP(A492,Capacity!$A$3:$F$532,6,), "0")</f>
        <v>0.26500000000000001</v>
      </c>
      <c r="D492">
        <v>246</v>
      </c>
      <c r="E492">
        <f>IFERROR(VLOOKUP(D492,Capacity!$A$3:$D$532,4,), "0")</f>
        <v>10.053096320000002</v>
      </c>
      <c r="F492" s="4">
        <f>IFERROR(VLOOKUP(D492,Capacity!$A$3:$F$532,6,), "0")</f>
        <v>0.2</v>
      </c>
      <c r="G492">
        <v>157</v>
      </c>
      <c r="H492">
        <f>IFERROR(VLOOKUP(G492,Capacity!$A$3:$D$532,4,), "0")</f>
        <v>12.988521905624998</v>
      </c>
      <c r="I492" s="4">
        <f>IFERROR(VLOOKUP(G492,Capacity!$A$3:$F$532,6,), "0")</f>
        <v>0.17499999999999999</v>
      </c>
      <c r="K492" t="str">
        <f>IFERROR(VLOOKUP(J492,Capacity!$A$3:$D$532,4,), "0")</f>
        <v>0</v>
      </c>
      <c r="L492" s="4" t="str">
        <f>IFERROR(VLOOKUP(J492,Capacity!$A$3:$F$532,6,), "0")</f>
        <v>0</v>
      </c>
      <c r="M492" s="5">
        <f t="shared" si="70"/>
        <v>23.041618225625001</v>
      </c>
      <c r="N492" s="5">
        <f t="shared" si="71"/>
        <v>0.375</v>
      </c>
      <c r="O492">
        <v>268</v>
      </c>
      <c r="P492">
        <f>IFERROR(VLOOKUP(O492,Capacity!$A$3:$D$532,4,), "0")</f>
        <v>40.212385280000007</v>
      </c>
      <c r="Q492" s="4">
        <f>IFERROR(VLOOKUP(O492,Capacity!$A$3:$F$532,6,), "0")</f>
        <v>0.4</v>
      </c>
      <c r="R492" s="5">
        <f t="shared" si="75"/>
        <v>40.212385280000007</v>
      </c>
      <c r="S492" s="5">
        <f t="shared" si="76"/>
        <v>0.4</v>
      </c>
      <c r="T492">
        <v>257</v>
      </c>
      <c r="U492">
        <v>2</v>
      </c>
      <c r="V492">
        <v>2</v>
      </c>
      <c r="W492">
        <v>1</v>
      </c>
      <c r="X492">
        <f t="shared" si="72"/>
        <v>0.57299804687499989</v>
      </c>
      <c r="Y492">
        <f t="shared" si="73"/>
        <v>1.305513527945888</v>
      </c>
      <c r="Z492">
        <f t="shared" si="77"/>
        <v>0.9375</v>
      </c>
      <c r="AA492">
        <f t="shared" si="78"/>
        <v>1.4150943396226414</v>
      </c>
      <c r="AC492">
        <f t="shared" si="79"/>
        <v>0.39821777608860898</v>
      </c>
      <c r="AD492">
        <f t="shared" si="74"/>
        <v>0.79643555217721795</v>
      </c>
    </row>
    <row r="493" spans="1:30" x14ac:dyDescent="0.25">
      <c r="A493">
        <v>146</v>
      </c>
      <c r="B493">
        <f>IFERROR(VLOOKUP(A493,Capacity!$A$3:$D$532,4,), "0")</f>
        <v>12.026409171874999</v>
      </c>
      <c r="C493" s="4">
        <f>IFERROR(VLOOKUP(A493,Capacity!$A$3:$F$532,6,), "0")</f>
        <v>0.17499999999999999</v>
      </c>
      <c r="E493" t="str">
        <f>IFERROR(VLOOKUP(D493,Capacity!$A$3:$D$532,4,), "0")</f>
        <v>0</v>
      </c>
      <c r="F493" s="4" t="str">
        <f>IFERROR(VLOOKUP(D493,Capacity!$A$3:$F$532,6,), "0")</f>
        <v>0</v>
      </c>
      <c r="H493" t="str">
        <f>IFERROR(VLOOKUP(G493,Capacity!$A$3:$D$532,4,), "0")</f>
        <v>0</v>
      </c>
      <c r="I493" s="4" t="str">
        <f>IFERROR(VLOOKUP(G493,Capacity!$A$3:$F$532,6,), "0")</f>
        <v>0</v>
      </c>
      <c r="K493" t="str">
        <f>IFERROR(VLOOKUP(J493,Capacity!$A$3:$D$532,4,), "0")</f>
        <v>0</v>
      </c>
      <c r="L493" s="4" t="str">
        <f>IFERROR(VLOOKUP(J493,Capacity!$A$3:$F$532,6,), "0")</f>
        <v>0</v>
      </c>
      <c r="M493" s="5">
        <f t="shared" si="70"/>
        <v>0</v>
      </c>
      <c r="N493" s="5">
        <f t="shared" si="71"/>
        <v>0</v>
      </c>
      <c r="O493">
        <v>268</v>
      </c>
      <c r="P493">
        <f>IFERROR(VLOOKUP(O493,Capacity!$A$3:$D$532,4,), "0")</f>
        <v>40.212385280000007</v>
      </c>
      <c r="Q493" s="4">
        <f>IFERROR(VLOOKUP(O493,Capacity!$A$3:$F$532,6,), "0")</f>
        <v>0.4</v>
      </c>
      <c r="R493" s="5">
        <f t="shared" si="75"/>
        <v>40.212385280000007</v>
      </c>
      <c r="S493" s="5">
        <f t="shared" si="76"/>
        <v>0.4</v>
      </c>
      <c r="T493">
        <v>146</v>
      </c>
      <c r="U493">
        <v>0</v>
      </c>
      <c r="V493">
        <v>0</v>
      </c>
      <c r="W493">
        <v>1</v>
      </c>
      <c r="X493">
        <f t="shared" si="72"/>
        <v>0</v>
      </c>
      <c r="Y493">
        <f t="shared" si="73"/>
        <v>0</v>
      </c>
      <c r="Z493">
        <f t="shared" si="77"/>
        <v>0</v>
      </c>
      <c r="AA493">
        <f t="shared" si="78"/>
        <v>0</v>
      </c>
      <c r="AC493">
        <f t="shared" si="79"/>
        <v>0</v>
      </c>
      <c r="AD493">
        <f t="shared" si="74"/>
        <v>0</v>
      </c>
    </row>
    <row r="494" spans="1:30" x14ac:dyDescent="0.25">
      <c r="A494">
        <v>482</v>
      </c>
      <c r="B494">
        <f>IFERROR(VLOOKUP(A494,Capacity!$A$3:$D$532,4,), "0")</f>
        <v>7.6969018699999987</v>
      </c>
      <c r="C494" s="4">
        <f>IFERROR(VLOOKUP(A494,Capacity!$A$3:$F$532,6,), "0")</f>
        <v>0.17499999999999999</v>
      </c>
      <c r="E494" t="str">
        <f>IFERROR(VLOOKUP(D494,Capacity!$A$3:$D$532,4,), "0")</f>
        <v>0</v>
      </c>
      <c r="F494" s="4" t="str">
        <f>IFERROR(VLOOKUP(D494,Capacity!$A$3:$F$532,6,), "0")</f>
        <v>0</v>
      </c>
      <c r="H494" t="str">
        <f>IFERROR(VLOOKUP(G494,Capacity!$A$3:$D$532,4,), "0")</f>
        <v>0</v>
      </c>
      <c r="I494" s="4" t="str">
        <f>IFERROR(VLOOKUP(G494,Capacity!$A$3:$F$532,6,), "0")</f>
        <v>0</v>
      </c>
      <c r="K494" t="str">
        <f>IFERROR(VLOOKUP(J494,Capacity!$A$3:$D$532,4,), "0")</f>
        <v>0</v>
      </c>
      <c r="L494" s="4" t="str">
        <f>IFERROR(VLOOKUP(J494,Capacity!$A$3:$F$532,6,), "0")</f>
        <v>0</v>
      </c>
      <c r="M494" s="5">
        <f t="shared" si="70"/>
        <v>0</v>
      </c>
      <c r="N494" s="5">
        <f t="shared" si="71"/>
        <v>0</v>
      </c>
      <c r="O494">
        <v>224</v>
      </c>
      <c r="P494">
        <f>IFERROR(VLOOKUP(O494,Capacity!$A$3:$D$532,4,), "0")</f>
        <v>33.092751050250008</v>
      </c>
      <c r="Q494" s="4">
        <f>IFERROR(VLOOKUP(O494,Capacity!$A$3:$F$532,6,), "0")</f>
        <v>0.26500000000000001</v>
      </c>
      <c r="R494" s="5">
        <f t="shared" si="75"/>
        <v>33.092751050250008</v>
      </c>
      <c r="S494" s="5">
        <f t="shared" si="76"/>
        <v>0.26500000000000001</v>
      </c>
      <c r="T494">
        <v>482</v>
      </c>
      <c r="U494">
        <v>0</v>
      </c>
      <c r="V494">
        <v>0</v>
      </c>
      <c r="W494">
        <v>1</v>
      </c>
      <c r="X494">
        <f t="shared" si="72"/>
        <v>0</v>
      </c>
      <c r="Y494">
        <f t="shared" si="73"/>
        <v>0</v>
      </c>
      <c r="Z494">
        <f t="shared" si="77"/>
        <v>0</v>
      </c>
      <c r="AA494">
        <f t="shared" si="78"/>
        <v>0</v>
      </c>
      <c r="AC494">
        <f t="shared" si="79"/>
        <v>0</v>
      </c>
      <c r="AD494">
        <f t="shared" si="74"/>
        <v>0</v>
      </c>
    </row>
    <row r="495" spans="1:30" x14ac:dyDescent="0.25">
      <c r="A495">
        <v>212</v>
      </c>
      <c r="B495">
        <f>IFERROR(VLOOKUP(A495,Capacity!$A$3:$D$532,4,), "0")</f>
        <v>5.7726764024999992</v>
      </c>
      <c r="C495" s="4">
        <f>IFERROR(VLOOKUP(A495,Capacity!$A$3:$F$532,6,), "0")</f>
        <v>0.17499999999999999</v>
      </c>
      <c r="D495">
        <v>201</v>
      </c>
      <c r="E495">
        <f>IFERROR(VLOOKUP(D495,Capacity!$A$3:$D$532,4,), "0")</f>
        <v>16.355916473749996</v>
      </c>
      <c r="F495" s="4">
        <f>IFERROR(VLOOKUP(D495,Capacity!$A$3:$F$532,6,), "0")</f>
        <v>0.17499999999999999</v>
      </c>
      <c r="H495" t="str">
        <f>IFERROR(VLOOKUP(G495,Capacity!$A$3:$D$532,4,), "0")</f>
        <v>0</v>
      </c>
      <c r="I495" s="4" t="str">
        <f>IFERROR(VLOOKUP(G495,Capacity!$A$3:$F$532,6,), "0")</f>
        <v>0</v>
      </c>
      <c r="K495" t="str">
        <f>IFERROR(VLOOKUP(J495,Capacity!$A$3:$D$532,4,), "0")</f>
        <v>0</v>
      </c>
      <c r="L495" s="4" t="str">
        <f>IFERROR(VLOOKUP(J495,Capacity!$A$3:$F$532,6,), "0")</f>
        <v>0</v>
      </c>
      <c r="M495" s="5">
        <f t="shared" si="70"/>
        <v>16.355916473749996</v>
      </c>
      <c r="N495" s="5">
        <f t="shared" si="71"/>
        <v>0.17499999999999999</v>
      </c>
      <c r="O495">
        <v>224</v>
      </c>
      <c r="P495">
        <f>IFERROR(VLOOKUP(O495,Capacity!$A$3:$D$532,4,), "0")</f>
        <v>33.092751050250008</v>
      </c>
      <c r="Q495" s="4">
        <f>IFERROR(VLOOKUP(O495,Capacity!$A$3:$F$532,6,), "0")</f>
        <v>0.26500000000000001</v>
      </c>
      <c r="R495" s="5">
        <f t="shared" si="75"/>
        <v>33.092751050250008</v>
      </c>
      <c r="S495" s="5">
        <f t="shared" si="76"/>
        <v>0.26500000000000001</v>
      </c>
      <c r="T495">
        <v>212</v>
      </c>
      <c r="U495">
        <v>1</v>
      </c>
      <c r="V495">
        <v>1</v>
      </c>
      <c r="W495">
        <v>1</v>
      </c>
      <c r="X495">
        <f t="shared" si="72"/>
        <v>0.49424468968790769</v>
      </c>
      <c r="Y495">
        <f t="shared" si="73"/>
        <v>2.833333333333333</v>
      </c>
      <c r="Z495">
        <f t="shared" si="77"/>
        <v>0.660377358490566</v>
      </c>
      <c r="AA495">
        <f t="shared" si="78"/>
        <v>1</v>
      </c>
      <c r="AC495">
        <f t="shared" si="79"/>
        <v>0.42083459634232578</v>
      </c>
      <c r="AD495">
        <f t="shared" si="74"/>
        <v>0.42083459634232578</v>
      </c>
    </row>
    <row r="496" spans="1:30" x14ac:dyDescent="0.25">
      <c r="A496">
        <v>190</v>
      </c>
      <c r="B496">
        <f>IFERROR(VLOOKUP(A496,Capacity!$A$3:$D$532,4,), "0")</f>
        <v>35.298934453600005</v>
      </c>
      <c r="C496" s="4">
        <f>IFERROR(VLOOKUP(A496,Capacity!$A$3:$F$532,6,), "0")</f>
        <v>0.26500000000000001</v>
      </c>
      <c r="D496">
        <v>24</v>
      </c>
      <c r="E496">
        <f>IFERROR(VLOOKUP(D496,Capacity!$A$3:$D$532,4,), "0")</f>
        <v>9.621127337499999</v>
      </c>
      <c r="F496" s="4">
        <f>IFERROR(VLOOKUP(D496,Capacity!$A$3:$F$532,6,), "0")</f>
        <v>0.17499999999999999</v>
      </c>
      <c r="H496" t="str">
        <f>IFERROR(VLOOKUP(G496,Capacity!$A$3:$D$532,4,), "0")</f>
        <v>0</v>
      </c>
      <c r="I496" s="4" t="str">
        <f>IFERROR(VLOOKUP(G496,Capacity!$A$3:$F$532,6,), "0")</f>
        <v>0</v>
      </c>
      <c r="K496" t="str">
        <f>IFERROR(VLOOKUP(J496,Capacity!$A$3:$D$532,4,), "0")</f>
        <v>0</v>
      </c>
      <c r="L496" s="4" t="str">
        <f>IFERROR(VLOOKUP(J496,Capacity!$A$3:$F$532,6,), "0")</f>
        <v>0</v>
      </c>
      <c r="M496" s="5">
        <f t="shared" si="70"/>
        <v>9.621127337499999</v>
      </c>
      <c r="N496" s="5">
        <f t="shared" si="71"/>
        <v>0.17499999999999999</v>
      </c>
      <c r="O496">
        <v>224</v>
      </c>
      <c r="P496">
        <f>IFERROR(VLOOKUP(O496,Capacity!$A$3:$D$532,4,), "0")</f>
        <v>33.092751050250008</v>
      </c>
      <c r="Q496" s="4">
        <f>IFERROR(VLOOKUP(O496,Capacity!$A$3:$F$532,6,), "0")</f>
        <v>0.26500000000000001</v>
      </c>
      <c r="R496" s="5">
        <f t="shared" si="75"/>
        <v>33.092751050250008</v>
      </c>
      <c r="S496" s="5">
        <f t="shared" si="76"/>
        <v>0.26500000000000001</v>
      </c>
      <c r="T496">
        <v>190</v>
      </c>
      <c r="U496">
        <v>1</v>
      </c>
      <c r="V496">
        <v>1</v>
      </c>
      <c r="W496">
        <v>1</v>
      </c>
      <c r="X496">
        <f t="shared" si="72"/>
        <v>0.2907321704046516</v>
      </c>
      <c r="Y496">
        <f t="shared" si="73"/>
        <v>0.27256140975436094</v>
      </c>
      <c r="Z496">
        <f t="shared" si="77"/>
        <v>0.660377358490566</v>
      </c>
      <c r="AA496">
        <f t="shared" si="78"/>
        <v>0.660377358490566</v>
      </c>
      <c r="AC496">
        <f t="shared" si="79"/>
        <v>0.14067685664741209</v>
      </c>
      <c r="AD496">
        <f t="shared" si="74"/>
        <v>0.14067685664741209</v>
      </c>
    </row>
    <row r="497" spans="1:30" x14ac:dyDescent="0.25">
      <c r="A497">
        <v>328</v>
      </c>
      <c r="B497">
        <f>IFERROR(VLOOKUP(A497,Capacity!$A$3:$D$532,4,), "0")</f>
        <v>55.292029760000013</v>
      </c>
      <c r="C497" s="4">
        <f>IFERROR(VLOOKUP(A497,Capacity!$A$3:$F$532,6,), "0")</f>
        <v>0.4</v>
      </c>
      <c r="D497">
        <v>339</v>
      </c>
      <c r="E497">
        <f>IFERROR(VLOOKUP(D497,Capacity!$A$3:$D$532,4,), "0")</f>
        <v>25.132740800000008</v>
      </c>
      <c r="F497" s="4">
        <f>IFERROR(VLOOKUP(D497,Capacity!$A$3:$F$532,6,), "0")</f>
        <v>0.4</v>
      </c>
      <c r="H497" t="str">
        <f>IFERROR(VLOOKUP(G497,Capacity!$A$3:$D$532,4,), "0")</f>
        <v>0</v>
      </c>
      <c r="I497" s="4" t="str">
        <f>IFERROR(VLOOKUP(G497,Capacity!$A$3:$F$532,6,), "0")</f>
        <v>0</v>
      </c>
      <c r="K497" t="str">
        <f>IFERROR(VLOOKUP(J497,Capacity!$A$3:$D$532,4,), "0")</f>
        <v>0</v>
      </c>
      <c r="L497" s="4" t="str">
        <f>IFERROR(VLOOKUP(J497,Capacity!$A$3:$F$532,6,), "0")</f>
        <v>0</v>
      </c>
      <c r="M497" s="5">
        <f t="shared" si="70"/>
        <v>25.132740800000008</v>
      </c>
      <c r="N497" s="5">
        <f t="shared" si="71"/>
        <v>0.4</v>
      </c>
      <c r="O497">
        <v>291</v>
      </c>
      <c r="P497">
        <f>IFERROR(VLOOKUP(O497,Capacity!$A$3:$D$532,4,), "0")</f>
        <v>65.345126080000014</v>
      </c>
      <c r="Q497" s="4">
        <f>IFERROR(VLOOKUP(O497,Capacity!$A$3:$F$532,6,), "0")</f>
        <v>0.4</v>
      </c>
      <c r="R497" s="5">
        <f t="shared" si="75"/>
        <v>65.345126080000014</v>
      </c>
      <c r="S497" s="5">
        <f t="shared" si="76"/>
        <v>0.4</v>
      </c>
      <c r="T497">
        <v>328</v>
      </c>
      <c r="U497">
        <v>1</v>
      </c>
      <c r="V497">
        <v>1</v>
      </c>
      <c r="W497">
        <v>1</v>
      </c>
      <c r="X497">
        <f t="shared" si="72"/>
        <v>0.38461538461538464</v>
      </c>
      <c r="Y497">
        <f t="shared" si="73"/>
        <v>0.45454545454545459</v>
      </c>
      <c r="Z497">
        <f t="shared" si="77"/>
        <v>1</v>
      </c>
      <c r="AA497">
        <f t="shared" si="78"/>
        <v>1</v>
      </c>
      <c r="AC497">
        <f t="shared" si="79"/>
        <v>0.20833333333333337</v>
      </c>
      <c r="AD497">
        <f t="shared" si="74"/>
        <v>0.20833333333333337</v>
      </c>
    </row>
    <row r="498" spans="1:30" x14ac:dyDescent="0.25">
      <c r="A498">
        <v>519</v>
      </c>
      <c r="B498">
        <f>IFERROR(VLOOKUP(A498,Capacity!$A$3:$D$532,4,), "0")</f>
        <v>10.679451344624999</v>
      </c>
      <c r="C498" s="4">
        <f>IFERROR(VLOOKUP(A498,Capacity!$A$3:$F$532,6,), "0")</f>
        <v>0.17499999999999999</v>
      </c>
      <c r="E498" t="str">
        <f>IFERROR(VLOOKUP(D498,Capacity!$A$3:$D$532,4,), "0")</f>
        <v>0</v>
      </c>
      <c r="F498" s="4" t="str">
        <f>IFERROR(VLOOKUP(D498,Capacity!$A$3:$F$532,6,), "0")</f>
        <v>0</v>
      </c>
      <c r="H498" t="str">
        <f>IFERROR(VLOOKUP(G498,Capacity!$A$3:$D$532,4,), "0")</f>
        <v>0</v>
      </c>
      <c r="I498" s="4" t="str">
        <f>IFERROR(VLOOKUP(G498,Capacity!$A$3:$F$532,6,), "0")</f>
        <v>0</v>
      </c>
      <c r="K498" t="str">
        <f>IFERROR(VLOOKUP(J498,Capacity!$A$3:$D$532,4,), "0")</f>
        <v>0</v>
      </c>
      <c r="L498" s="4" t="str">
        <f>IFERROR(VLOOKUP(J498,Capacity!$A$3:$F$532,6,), "0")</f>
        <v>0</v>
      </c>
      <c r="M498" s="5">
        <f t="shared" si="70"/>
        <v>0</v>
      </c>
      <c r="N498" s="5">
        <f t="shared" si="71"/>
        <v>0</v>
      </c>
      <c r="O498">
        <v>317</v>
      </c>
      <c r="P498">
        <f>IFERROR(VLOOKUP(O498,Capacity!$A$3:$D$532,4,), "0")</f>
        <v>85.451318720000017</v>
      </c>
      <c r="Q498" s="4">
        <f>IFERROR(VLOOKUP(O498,Capacity!$A$3:$F$532,6,), "0")</f>
        <v>0.4</v>
      </c>
      <c r="R498" s="5">
        <f t="shared" si="75"/>
        <v>85.451318720000017</v>
      </c>
      <c r="S498" s="5">
        <f t="shared" si="76"/>
        <v>0.4</v>
      </c>
      <c r="T498">
        <v>519</v>
      </c>
      <c r="U498">
        <v>0</v>
      </c>
      <c r="V498">
        <v>0</v>
      </c>
      <c r="W498">
        <v>1</v>
      </c>
      <c r="X498">
        <f t="shared" si="72"/>
        <v>0</v>
      </c>
      <c r="Y498">
        <f t="shared" si="73"/>
        <v>0</v>
      </c>
      <c r="Z498">
        <f t="shared" si="77"/>
        <v>0</v>
      </c>
      <c r="AA498">
        <f t="shared" si="78"/>
        <v>0</v>
      </c>
      <c r="AC498">
        <f t="shared" si="79"/>
        <v>0</v>
      </c>
      <c r="AD498">
        <f t="shared" si="74"/>
        <v>0</v>
      </c>
    </row>
    <row r="499" spans="1:30" x14ac:dyDescent="0.25">
      <c r="A499">
        <v>477</v>
      </c>
      <c r="B499">
        <f>IFERROR(VLOOKUP(A499,Capacity!$A$3:$D$532,4,), "0")</f>
        <v>5.2916200356249998</v>
      </c>
      <c r="C499" s="4">
        <f>IFERROR(VLOOKUP(A499,Capacity!$A$3:$F$532,6,), "0")</f>
        <v>0.17499999999999999</v>
      </c>
      <c r="E499" t="str">
        <f>IFERROR(VLOOKUP(D499,Capacity!$A$3:$D$532,4,), "0")</f>
        <v>0</v>
      </c>
      <c r="F499" s="4" t="str">
        <f>IFERROR(VLOOKUP(D499,Capacity!$A$3:$F$532,6,), "0")</f>
        <v>0</v>
      </c>
      <c r="H499" t="str">
        <f>IFERROR(VLOOKUP(G499,Capacity!$A$3:$D$532,4,), "0")</f>
        <v>0</v>
      </c>
      <c r="I499" s="4" t="str">
        <f>IFERROR(VLOOKUP(G499,Capacity!$A$3:$F$532,6,), "0")</f>
        <v>0</v>
      </c>
      <c r="K499" t="str">
        <f>IFERROR(VLOOKUP(J499,Capacity!$A$3:$D$532,4,), "0")</f>
        <v>0</v>
      </c>
      <c r="L499" s="4" t="str">
        <f>IFERROR(VLOOKUP(J499,Capacity!$A$3:$F$532,6,), "0")</f>
        <v>0</v>
      </c>
      <c r="M499" s="5">
        <f t="shared" si="70"/>
        <v>0</v>
      </c>
      <c r="N499" s="5">
        <f t="shared" si="71"/>
        <v>0</v>
      </c>
      <c r="O499">
        <v>317</v>
      </c>
      <c r="P499">
        <f>IFERROR(VLOOKUP(O499,Capacity!$A$3:$D$532,4,), "0")</f>
        <v>85.451318720000017</v>
      </c>
      <c r="Q499" s="4">
        <f>IFERROR(VLOOKUP(O499,Capacity!$A$3:$F$532,6,), "0")</f>
        <v>0.4</v>
      </c>
      <c r="R499" s="5">
        <f t="shared" si="75"/>
        <v>85.451318720000017</v>
      </c>
      <c r="S499" s="5">
        <f t="shared" si="76"/>
        <v>0.4</v>
      </c>
      <c r="T499">
        <v>477</v>
      </c>
      <c r="U499">
        <v>0</v>
      </c>
      <c r="V499">
        <v>0</v>
      </c>
      <c r="W499">
        <v>1</v>
      </c>
      <c r="X499">
        <f t="shared" si="72"/>
        <v>0</v>
      </c>
      <c r="Y499">
        <f t="shared" si="73"/>
        <v>0</v>
      </c>
      <c r="Z499">
        <f t="shared" si="77"/>
        <v>0</v>
      </c>
      <c r="AA499">
        <f t="shared" si="78"/>
        <v>0</v>
      </c>
      <c r="AC499">
        <f t="shared" si="79"/>
        <v>0</v>
      </c>
      <c r="AD499">
        <f t="shared" si="74"/>
        <v>0</v>
      </c>
    </row>
    <row r="500" spans="1:30" x14ac:dyDescent="0.25">
      <c r="A500">
        <v>306</v>
      </c>
      <c r="B500">
        <f>IFERROR(VLOOKUP(A500,Capacity!$A$3:$D$532,4,), "0")</f>
        <v>75.398222400000023</v>
      </c>
      <c r="C500" s="4">
        <f>IFERROR(VLOOKUP(A500,Capacity!$A$3:$F$532,6,), "0")</f>
        <v>0.4</v>
      </c>
      <c r="D500">
        <v>295</v>
      </c>
      <c r="E500">
        <f>IFERROR(VLOOKUP(D500,Capacity!$A$3:$D$532,4,), "0")</f>
        <v>16.964600040000001</v>
      </c>
      <c r="F500" s="4">
        <f>IFERROR(VLOOKUP(D500,Capacity!$A$3:$F$532,6,), "0")</f>
        <v>0.3</v>
      </c>
      <c r="G500">
        <v>2</v>
      </c>
      <c r="H500">
        <f>IFERROR(VLOOKUP(G500,Capacity!$A$3:$D$532,4,), "0")</f>
        <v>11.545352804999998</v>
      </c>
      <c r="I500" s="4">
        <f>IFERROR(VLOOKUP(G500,Capacity!$A$3:$F$532,6,), "0")</f>
        <v>0.17499999999999999</v>
      </c>
      <c r="K500" t="str">
        <f>IFERROR(VLOOKUP(J500,Capacity!$A$3:$D$532,4,), "0")</f>
        <v>0</v>
      </c>
      <c r="L500" s="4" t="str">
        <f>IFERROR(VLOOKUP(J500,Capacity!$A$3:$F$532,6,), "0")</f>
        <v>0</v>
      </c>
      <c r="M500" s="5">
        <f t="shared" si="70"/>
        <v>28.509952845000001</v>
      </c>
      <c r="N500" s="5">
        <f t="shared" si="71"/>
        <v>0.47499999999999998</v>
      </c>
      <c r="O500">
        <v>317</v>
      </c>
      <c r="P500">
        <f>IFERROR(VLOOKUP(O500,Capacity!$A$3:$D$532,4,), "0")</f>
        <v>85.451318720000017</v>
      </c>
      <c r="Q500" s="4">
        <f>IFERROR(VLOOKUP(O500,Capacity!$A$3:$F$532,6,), "0")</f>
        <v>0.4</v>
      </c>
      <c r="R500" s="5">
        <f t="shared" si="75"/>
        <v>85.451318720000017</v>
      </c>
      <c r="S500" s="5">
        <f t="shared" si="76"/>
        <v>0.4</v>
      </c>
      <c r="T500">
        <v>306</v>
      </c>
      <c r="U500">
        <v>2</v>
      </c>
      <c r="V500">
        <v>2</v>
      </c>
      <c r="W500">
        <v>1</v>
      </c>
      <c r="X500">
        <f t="shared" si="72"/>
        <v>0.33363970588235287</v>
      </c>
      <c r="Y500">
        <f t="shared" si="73"/>
        <v>0.37812499999999988</v>
      </c>
      <c r="Z500">
        <f t="shared" si="77"/>
        <v>1.1874999999999998</v>
      </c>
      <c r="AA500">
        <f t="shared" si="78"/>
        <v>1.1874999999999998</v>
      </c>
      <c r="AC500">
        <f t="shared" si="79"/>
        <v>0.17724609374999997</v>
      </c>
      <c r="AD500">
        <f t="shared" si="74"/>
        <v>0.35449218749999994</v>
      </c>
    </row>
    <row r="501" spans="1:30" x14ac:dyDescent="0.25">
      <c r="A501">
        <v>447</v>
      </c>
      <c r="B501">
        <f>IFERROR(VLOOKUP(A501,Capacity!$A$3:$D$532,4,), "0")</f>
        <v>9.621127337499999</v>
      </c>
      <c r="C501" s="4">
        <f>IFERROR(VLOOKUP(A501,Capacity!$A$3:$F$532,6,), "0")</f>
        <v>0.17499999999999999</v>
      </c>
      <c r="E501" t="str">
        <f>IFERROR(VLOOKUP(D501,Capacity!$A$3:$D$532,4,), "0")</f>
        <v>0</v>
      </c>
      <c r="F501" s="4" t="str">
        <f>IFERROR(VLOOKUP(D501,Capacity!$A$3:$F$532,6,), "0")</f>
        <v>0</v>
      </c>
      <c r="H501" t="str">
        <f>IFERROR(VLOOKUP(G501,Capacity!$A$3:$D$532,4,), "0")</f>
        <v>0</v>
      </c>
      <c r="I501" s="4" t="str">
        <f>IFERROR(VLOOKUP(G501,Capacity!$A$3:$F$532,6,), "0")</f>
        <v>0</v>
      </c>
      <c r="K501" t="str">
        <f>IFERROR(VLOOKUP(J501,Capacity!$A$3:$D$532,4,), "0")</f>
        <v>0</v>
      </c>
      <c r="L501" s="4" t="str">
        <f>IFERROR(VLOOKUP(J501,Capacity!$A$3:$F$532,6,), "0")</f>
        <v>0</v>
      </c>
      <c r="M501" s="5">
        <f t="shared" si="70"/>
        <v>0</v>
      </c>
      <c r="N501" s="5">
        <f t="shared" si="71"/>
        <v>0</v>
      </c>
      <c r="O501">
        <v>68</v>
      </c>
      <c r="P501">
        <f>IFERROR(VLOOKUP(O501,Capacity!$A$3:$D$532,4,), "0")</f>
        <v>17.649467226800002</v>
      </c>
      <c r="Q501" s="4">
        <f>IFERROR(VLOOKUP(O501,Capacity!$A$3:$F$532,6,), "0")</f>
        <v>0.26500000000000001</v>
      </c>
      <c r="R501" s="5">
        <f t="shared" si="75"/>
        <v>17.649467226800002</v>
      </c>
      <c r="S501" s="5">
        <f t="shared" si="76"/>
        <v>0.26500000000000001</v>
      </c>
      <c r="T501">
        <v>447</v>
      </c>
      <c r="U501">
        <v>0</v>
      </c>
      <c r="V501">
        <v>0</v>
      </c>
      <c r="W501">
        <v>1</v>
      </c>
      <c r="X501">
        <f t="shared" si="72"/>
        <v>0</v>
      </c>
      <c r="Y501">
        <f t="shared" si="73"/>
        <v>0</v>
      </c>
      <c r="Z501">
        <f t="shared" si="77"/>
        <v>0</v>
      </c>
      <c r="AA501">
        <f t="shared" si="78"/>
        <v>0</v>
      </c>
      <c r="AC501">
        <f t="shared" si="79"/>
        <v>0</v>
      </c>
      <c r="AD501">
        <f t="shared" si="74"/>
        <v>0</v>
      </c>
    </row>
    <row r="502" spans="1:30" x14ac:dyDescent="0.25">
      <c r="A502">
        <v>57</v>
      </c>
      <c r="B502">
        <f>IFERROR(VLOOKUP(A502,Capacity!$A$3:$D$532,4,), "0")</f>
        <v>17.649467226800002</v>
      </c>
      <c r="C502" s="4">
        <f>IFERROR(VLOOKUP(A502,Capacity!$A$3:$F$532,6,), "0")</f>
        <v>0.26500000000000001</v>
      </c>
      <c r="D502">
        <v>46</v>
      </c>
      <c r="E502">
        <f>IFERROR(VLOOKUP(D502,Capacity!$A$3:$D$532,4,), "0")</f>
        <v>10.053096320000002</v>
      </c>
      <c r="F502" s="4">
        <f>IFERROR(VLOOKUP(D502,Capacity!$A$3:$F$532,6,), "0")</f>
        <v>0.2</v>
      </c>
      <c r="H502" t="str">
        <f>IFERROR(VLOOKUP(G502,Capacity!$A$3:$D$532,4,), "0")</f>
        <v>0</v>
      </c>
      <c r="I502" s="4" t="str">
        <f>IFERROR(VLOOKUP(G502,Capacity!$A$3:$F$532,6,), "0")</f>
        <v>0</v>
      </c>
      <c r="K502" t="str">
        <f>IFERROR(VLOOKUP(J502,Capacity!$A$3:$D$532,4,), "0")</f>
        <v>0</v>
      </c>
      <c r="L502" s="4" t="str">
        <f>IFERROR(VLOOKUP(J502,Capacity!$A$3:$F$532,6,), "0")</f>
        <v>0</v>
      </c>
      <c r="M502" s="5">
        <f t="shared" si="70"/>
        <v>10.053096320000002</v>
      </c>
      <c r="N502" s="5">
        <f t="shared" si="71"/>
        <v>0.2</v>
      </c>
      <c r="O502">
        <v>68</v>
      </c>
      <c r="P502">
        <f>IFERROR(VLOOKUP(O502,Capacity!$A$3:$D$532,4,), "0")</f>
        <v>17.649467226800002</v>
      </c>
      <c r="Q502" s="4">
        <f>IFERROR(VLOOKUP(O502,Capacity!$A$3:$F$532,6,), "0")</f>
        <v>0.26500000000000001</v>
      </c>
      <c r="R502" s="5">
        <f t="shared" si="75"/>
        <v>17.649467226800002</v>
      </c>
      <c r="S502" s="5">
        <f t="shared" si="76"/>
        <v>0.26500000000000001</v>
      </c>
      <c r="T502">
        <v>57</v>
      </c>
      <c r="U502">
        <v>1</v>
      </c>
      <c r="V502">
        <v>1</v>
      </c>
      <c r="W502">
        <v>1</v>
      </c>
      <c r="X502">
        <f t="shared" si="72"/>
        <v>0.56959772160911359</v>
      </c>
      <c r="Y502">
        <f t="shared" si="73"/>
        <v>0.56959772160911359</v>
      </c>
      <c r="Z502">
        <f t="shared" si="77"/>
        <v>0.75471698113207553</v>
      </c>
      <c r="AA502">
        <f t="shared" si="78"/>
        <v>0.75471698113207553</v>
      </c>
      <c r="AC502">
        <f t="shared" si="79"/>
        <v>0.2847988608045568</v>
      </c>
      <c r="AD502">
        <f t="shared" si="74"/>
        <v>0.2847988608045568</v>
      </c>
    </row>
    <row r="503" spans="1:30" x14ac:dyDescent="0.25">
      <c r="A503">
        <v>246</v>
      </c>
      <c r="B503">
        <f>IFERROR(VLOOKUP(A503,Capacity!$A$3:$D$532,4,), "0")</f>
        <v>10.053096320000002</v>
      </c>
      <c r="C503" s="4">
        <f>IFERROR(VLOOKUP(A503,Capacity!$A$3:$F$532,6,), "0")</f>
        <v>0.2</v>
      </c>
      <c r="D503">
        <v>235</v>
      </c>
      <c r="E503">
        <f>IFERROR(VLOOKUP(D503,Capacity!$A$3:$D$532,4,), "0")</f>
        <v>10.053096320000002</v>
      </c>
      <c r="F503" s="4">
        <f>IFERROR(VLOOKUP(D503,Capacity!$A$3:$F$532,6,), "0")</f>
        <v>0.2</v>
      </c>
      <c r="G503">
        <v>168</v>
      </c>
      <c r="H503">
        <f>IFERROR(VLOOKUP(G503,Capacity!$A$3:$D$532,4,), "0")</f>
        <v>13.950634639374998</v>
      </c>
      <c r="I503" s="4">
        <f>IFERROR(VLOOKUP(G503,Capacity!$A$3:$F$532,6,), "0")</f>
        <v>0.17499999999999999</v>
      </c>
      <c r="K503" t="str">
        <f>IFERROR(VLOOKUP(J503,Capacity!$A$3:$D$532,4,), "0")</f>
        <v>0</v>
      </c>
      <c r="L503" s="4" t="str">
        <f>IFERROR(VLOOKUP(J503,Capacity!$A$3:$F$532,6,), "0")</f>
        <v>0</v>
      </c>
      <c r="M503" s="5">
        <f t="shared" si="70"/>
        <v>24.003730959374998</v>
      </c>
      <c r="N503" s="5">
        <f t="shared" si="71"/>
        <v>0.375</v>
      </c>
      <c r="O503">
        <v>257</v>
      </c>
      <c r="P503">
        <f>IFERROR(VLOOKUP(O503,Capacity!$A$3:$D$532,4,), "0")</f>
        <v>17.649467226800002</v>
      </c>
      <c r="Q503" s="4">
        <f>IFERROR(VLOOKUP(O503,Capacity!$A$3:$F$532,6,), "0")</f>
        <v>0.26500000000000001</v>
      </c>
      <c r="R503" s="5">
        <f t="shared" si="75"/>
        <v>17.649467226800002</v>
      </c>
      <c r="S503" s="5">
        <f t="shared" si="76"/>
        <v>0.26500000000000001</v>
      </c>
      <c r="T503">
        <v>246</v>
      </c>
      <c r="U503">
        <v>2</v>
      </c>
      <c r="V503">
        <v>2</v>
      </c>
      <c r="W503">
        <v>1</v>
      </c>
      <c r="X503">
        <f t="shared" si="72"/>
        <v>1.3600258098967601</v>
      </c>
      <c r="Y503">
        <f t="shared" si="73"/>
        <v>2.3876953124999996</v>
      </c>
      <c r="Z503">
        <f t="shared" si="77"/>
        <v>1.4150943396226414</v>
      </c>
      <c r="AA503">
        <f t="shared" si="78"/>
        <v>1.875</v>
      </c>
      <c r="AC503">
        <f t="shared" si="79"/>
        <v>0.8664804944431842</v>
      </c>
      <c r="AD503">
        <f t="shared" si="74"/>
        <v>1.7329609888863684</v>
      </c>
    </row>
    <row r="504" spans="1:30" x14ac:dyDescent="0.25">
      <c r="A504">
        <v>157</v>
      </c>
      <c r="B504">
        <f>IFERROR(VLOOKUP(A504,Capacity!$A$3:$D$532,4,), "0")</f>
        <v>12.988521905624998</v>
      </c>
      <c r="C504" s="4">
        <f>IFERROR(VLOOKUP(A504,Capacity!$A$3:$F$532,6,), "0")</f>
        <v>0.17499999999999999</v>
      </c>
      <c r="D504">
        <v>383</v>
      </c>
      <c r="E504">
        <f>IFERROR(VLOOKUP(D504,Capacity!$A$3:$D$532,4,), "0")</f>
        <v>9.621127337499999</v>
      </c>
      <c r="F504" s="4">
        <f>IFERROR(VLOOKUP(D504,Capacity!$A$3:$F$532,6,), "0")</f>
        <v>0.17499999999999999</v>
      </c>
      <c r="H504" t="str">
        <f>IFERROR(VLOOKUP(G504,Capacity!$A$3:$D$532,4,), "0")</f>
        <v>0</v>
      </c>
      <c r="I504" s="4" t="str">
        <f>IFERROR(VLOOKUP(G504,Capacity!$A$3:$F$532,6,), "0")</f>
        <v>0</v>
      </c>
      <c r="K504" t="str">
        <f>IFERROR(VLOOKUP(J504,Capacity!$A$3:$D$532,4,), "0")</f>
        <v>0</v>
      </c>
      <c r="L504" s="4" t="str">
        <f>IFERROR(VLOOKUP(J504,Capacity!$A$3:$F$532,6,), "0")</f>
        <v>0</v>
      </c>
      <c r="M504" s="5">
        <f t="shared" si="70"/>
        <v>9.621127337499999</v>
      </c>
      <c r="N504" s="5">
        <f t="shared" si="71"/>
        <v>0.17499999999999999</v>
      </c>
      <c r="O504">
        <v>257</v>
      </c>
      <c r="P504">
        <f>IFERROR(VLOOKUP(O504,Capacity!$A$3:$D$532,4,), "0")</f>
        <v>17.649467226800002</v>
      </c>
      <c r="Q504" s="4">
        <f>IFERROR(VLOOKUP(O504,Capacity!$A$3:$F$532,6,), "0")</f>
        <v>0.26500000000000001</v>
      </c>
      <c r="R504" s="5">
        <f t="shared" si="75"/>
        <v>17.649467226800002</v>
      </c>
      <c r="S504" s="5">
        <f t="shared" si="76"/>
        <v>0.26500000000000001</v>
      </c>
      <c r="T504">
        <v>157</v>
      </c>
      <c r="U504">
        <v>1</v>
      </c>
      <c r="V504">
        <v>1</v>
      </c>
      <c r="W504">
        <v>1</v>
      </c>
      <c r="X504">
        <f t="shared" si="72"/>
        <v>0.54512281950872188</v>
      </c>
      <c r="Y504">
        <f t="shared" si="73"/>
        <v>0.74074074074074081</v>
      </c>
      <c r="Z504">
        <f t="shared" si="77"/>
        <v>0.660377358490566</v>
      </c>
      <c r="AA504">
        <f t="shared" si="78"/>
        <v>1</v>
      </c>
      <c r="AC504">
        <f t="shared" si="79"/>
        <v>0.31402607057255283</v>
      </c>
      <c r="AD504">
        <f t="shared" si="74"/>
        <v>0.31402607057255283</v>
      </c>
    </row>
    <row r="505" spans="1:30" x14ac:dyDescent="0.25">
      <c r="A505">
        <v>24</v>
      </c>
      <c r="B505">
        <f>IFERROR(VLOOKUP(A505,Capacity!$A$3:$D$532,4,), "0")</f>
        <v>9.621127337499999</v>
      </c>
      <c r="C505" s="4">
        <f>IFERROR(VLOOKUP(A505,Capacity!$A$3:$F$532,6,), "0")</f>
        <v>0.17499999999999999</v>
      </c>
      <c r="E505" t="str">
        <f>IFERROR(VLOOKUP(D505,Capacity!$A$3:$D$532,4,), "0")</f>
        <v>0</v>
      </c>
      <c r="F505" s="4" t="str">
        <f>IFERROR(VLOOKUP(D505,Capacity!$A$3:$F$532,6,), "0")</f>
        <v>0</v>
      </c>
      <c r="H505" t="str">
        <f>IFERROR(VLOOKUP(G505,Capacity!$A$3:$D$532,4,), "0")</f>
        <v>0</v>
      </c>
      <c r="I505" s="4" t="str">
        <f>IFERROR(VLOOKUP(G505,Capacity!$A$3:$F$532,6,), "0")</f>
        <v>0</v>
      </c>
      <c r="K505" t="str">
        <f>IFERROR(VLOOKUP(J505,Capacity!$A$3:$D$532,4,), "0")</f>
        <v>0</v>
      </c>
      <c r="L505" s="4" t="str">
        <f>IFERROR(VLOOKUP(J505,Capacity!$A$3:$F$532,6,), "0")</f>
        <v>0</v>
      </c>
      <c r="M505" s="5">
        <f t="shared" si="70"/>
        <v>0</v>
      </c>
      <c r="N505" s="5">
        <f t="shared" si="71"/>
        <v>0</v>
      </c>
      <c r="O505">
        <v>190</v>
      </c>
      <c r="P505">
        <f>IFERROR(VLOOKUP(O505,Capacity!$A$3:$D$532,4,), "0")</f>
        <v>35.298934453600005</v>
      </c>
      <c r="Q505" s="4">
        <f>IFERROR(VLOOKUP(O505,Capacity!$A$3:$F$532,6,), "0")</f>
        <v>0.26500000000000001</v>
      </c>
      <c r="R505" s="5">
        <f t="shared" si="75"/>
        <v>35.298934453600005</v>
      </c>
      <c r="S505" s="5">
        <f t="shared" si="76"/>
        <v>0.26500000000000001</v>
      </c>
      <c r="T505">
        <v>24</v>
      </c>
      <c r="U505">
        <v>0</v>
      </c>
      <c r="V505">
        <v>0</v>
      </c>
      <c r="W505">
        <v>1</v>
      </c>
      <c r="X505">
        <f t="shared" si="72"/>
        <v>0</v>
      </c>
      <c r="Y505">
        <f t="shared" si="73"/>
        <v>0</v>
      </c>
      <c r="Z505">
        <f t="shared" si="77"/>
        <v>0</v>
      </c>
      <c r="AA505">
        <f t="shared" si="78"/>
        <v>0</v>
      </c>
      <c r="AC505">
        <f t="shared" si="79"/>
        <v>0</v>
      </c>
      <c r="AD505">
        <f t="shared" si="74"/>
        <v>0</v>
      </c>
    </row>
    <row r="506" spans="1:30" x14ac:dyDescent="0.25">
      <c r="A506">
        <v>201</v>
      </c>
      <c r="B506">
        <f>IFERROR(VLOOKUP(A506,Capacity!$A$3:$D$532,4,), "0")</f>
        <v>16.355916473749996</v>
      </c>
      <c r="C506" s="4">
        <f>IFERROR(VLOOKUP(A506,Capacity!$A$3:$F$532,6,), "0")</f>
        <v>0.17499999999999999</v>
      </c>
      <c r="D506">
        <v>13</v>
      </c>
      <c r="E506">
        <f>IFERROR(VLOOKUP(D506,Capacity!$A$3:$D$532,4,), "0")</f>
        <v>9.621127337499999</v>
      </c>
      <c r="F506" s="4">
        <f>IFERROR(VLOOKUP(D506,Capacity!$A$3:$F$532,6,), "0")</f>
        <v>0.17499999999999999</v>
      </c>
      <c r="H506" t="str">
        <f>IFERROR(VLOOKUP(G506,Capacity!$A$3:$D$532,4,), "0")</f>
        <v>0</v>
      </c>
      <c r="I506" s="4" t="str">
        <f>IFERROR(VLOOKUP(G506,Capacity!$A$3:$F$532,6,), "0")</f>
        <v>0</v>
      </c>
      <c r="K506" t="str">
        <f>IFERROR(VLOOKUP(J506,Capacity!$A$3:$D$532,4,), "0")</f>
        <v>0</v>
      </c>
      <c r="L506" s="4" t="str">
        <f>IFERROR(VLOOKUP(J506,Capacity!$A$3:$F$532,6,), "0")</f>
        <v>0</v>
      </c>
      <c r="M506" s="5">
        <f t="shared" si="70"/>
        <v>9.621127337499999</v>
      </c>
      <c r="N506" s="5">
        <f t="shared" si="71"/>
        <v>0.17499999999999999</v>
      </c>
      <c r="O506">
        <v>212</v>
      </c>
      <c r="P506">
        <f>IFERROR(VLOOKUP(O506,Capacity!$A$3:$D$532,4,), "0")</f>
        <v>5.7726764024999992</v>
      </c>
      <c r="Q506" s="4">
        <f>IFERROR(VLOOKUP(O506,Capacity!$A$3:$F$532,6,), "0")</f>
        <v>0.17499999999999999</v>
      </c>
      <c r="R506" s="5">
        <f t="shared" si="75"/>
        <v>5.7726764024999992</v>
      </c>
      <c r="S506" s="5">
        <f t="shared" si="76"/>
        <v>0.17499999999999999</v>
      </c>
      <c r="T506">
        <v>201</v>
      </c>
      <c r="U506">
        <v>1</v>
      </c>
      <c r="V506">
        <v>1</v>
      </c>
      <c r="W506">
        <v>1</v>
      </c>
      <c r="X506">
        <f t="shared" si="72"/>
        <v>1.6666666666666667</v>
      </c>
      <c r="Y506">
        <f t="shared" si="73"/>
        <v>0.58823529411764719</v>
      </c>
      <c r="Z506">
        <f t="shared" si="77"/>
        <v>1</v>
      </c>
      <c r="AA506">
        <f t="shared" si="78"/>
        <v>1</v>
      </c>
      <c r="AC506">
        <f t="shared" si="79"/>
        <v>0.43478260869565222</v>
      </c>
      <c r="AD506">
        <f t="shared" si="74"/>
        <v>0.43478260869565222</v>
      </c>
    </row>
    <row r="507" spans="1:30" x14ac:dyDescent="0.25">
      <c r="A507">
        <v>339</v>
      </c>
      <c r="B507">
        <f>IFERROR(VLOOKUP(A507,Capacity!$A$3:$D$532,4,), "0")</f>
        <v>25.132740800000008</v>
      </c>
      <c r="C507" s="4">
        <f>IFERROR(VLOOKUP(A507,Capacity!$A$3:$F$532,6,), "0")</f>
        <v>0.4</v>
      </c>
      <c r="D507">
        <v>112</v>
      </c>
      <c r="E507">
        <f>IFERROR(VLOOKUP(D507,Capacity!$A$3:$D$532,4,), "0")</f>
        <v>31.989659348575007</v>
      </c>
      <c r="F507" s="4">
        <f>IFERROR(VLOOKUP(D507,Capacity!$A$3:$F$532,6,), "0")</f>
        <v>0.26500000000000001</v>
      </c>
      <c r="H507" t="str">
        <f>IFERROR(VLOOKUP(G507,Capacity!$A$3:$D$532,4,), "0")</f>
        <v>0</v>
      </c>
      <c r="I507" s="4" t="str">
        <f>IFERROR(VLOOKUP(G507,Capacity!$A$3:$F$532,6,), "0")</f>
        <v>0</v>
      </c>
      <c r="K507" t="str">
        <f>IFERROR(VLOOKUP(J507,Capacity!$A$3:$D$532,4,), "0")</f>
        <v>0</v>
      </c>
      <c r="L507" s="4" t="str">
        <f>IFERROR(VLOOKUP(J507,Capacity!$A$3:$F$532,6,), "0")</f>
        <v>0</v>
      </c>
      <c r="M507" s="5">
        <f t="shared" si="70"/>
        <v>31.989659348575007</v>
      </c>
      <c r="N507" s="5">
        <f t="shared" si="71"/>
        <v>0.26500000000000001</v>
      </c>
      <c r="O507">
        <v>328</v>
      </c>
      <c r="P507">
        <f>IFERROR(VLOOKUP(O507,Capacity!$A$3:$D$532,4,), "0")</f>
        <v>55.292029760000013</v>
      </c>
      <c r="Q507" s="4">
        <f>IFERROR(VLOOKUP(O507,Capacity!$A$3:$F$532,6,), "0")</f>
        <v>0.4</v>
      </c>
      <c r="R507" s="5">
        <f t="shared" si="75"/>
        <v>55.292029760000013</v>
      </c>
      <c r="S507" s="5">
        <f t="shared" si="76"/>
        <v>0.4</v>
      </c>
      <c r="T507">
        <v>339</v>
      </c>
      <c r="U507">
        <v>1</v>
      </c>
      <c r="V507">
        <v>1</v>
      </c>
      <c r="W507">
        <v>1</v>
      </c>
      <c r="X507">
        <f t="shared" si="72"/>
        <v>0.57855823863636358</v>
      </c>
      <c r="Y507">
        <f t="shared" si="73"/>
        <v>1.272828125</v>
      </c>
      <c r="Z507">
        <f t="shared" si="77"/>
        <v>0.66249999999999998</v>
      </c>
      <c r="AA507">
        <f t="shared" si="78"/>
        <v>0.66249999999999998</v>
      </c>
      <c r="AC507">
        <f t="shared" si="79"/>
        <v>0.39775878906250001</v>
      </c>
      <c r="AD507">
        <f t="shared" si="74"/>
        <v>0.39775878906250001</v>
      </c>
    </row>
    <row r="508" spans="1:30" x14ac:dyDescent="0.25">
      <c r="A508">
        <v>295</v>
      </c>
      <c r="B508">
        <f>IFERROR(VLOOKUP(A508,Capacity!$A$3:$D$532,4,), "0")</f>
        <v>16.964600040000001</v>
      </c>
      <c r="C508" s="4">
        <f>IFERROR(VLOOKUP(A508,Capacity!$A$3:$F$532,6,), "0")</f>
        <v>0.3</v>
      </c>
      <c r="D508">
        <v>284</v>
      </c>
      <c r="E508">
        <f>IFERROR(VLOOKUP(D508,Capacity!$A$3:$D$532,4,), "0")</f>
        <v>3.7699111200000006</v>
      </c>
      <c r="F508" s="4">
        <f>IFERROR(VLOOKUP(D508,Capacity!$A$3:$F$532,6,), "0")</f>
        <v>0.2</v>
      </c>
      <c r="G508">
        <v>266</v>
      </c>
      <c r="H508">
        <f>IFERROR(VLOOKUP(G508,Capacity!$A$3:$D$532,4,), "0")</f>
        <v>11.545352804999998</v>
      </c>
      <c r="I508" s="4">
        <f>IFERROR(VLOOKUP(G508,Capacity!$A$3:$F$532,6,), "0")</f>
        <v>0.17499999999999999</v>
      </c>
      <c r="K508" t="str">
        <f>IFERROR(VLOOKUP(J508,Capacity!$A$3:$D$532,4,), "0")</f>
        <v>0</v>
      </c>
      <c r="L508" s="4" t="str">
        <f>IFERROR(VLOOKUP(J508,Capacity!$A$3:$F$532,6,), "0")</f>
        <v>0</v>
      </c>
      <c r="M508" s="5">
        <f t="shared" si="70"/>
        <v>15.315263925</v>
      </c>
      <c r="N508" s="5">
        <f t="shared" si="71"/>
        <v>0.375</v>
      </c>
      <c r="O508">
        <v>306</v>
      </c>
      <c r="P508">
        <f>IFERROR(VLOOKUP(O508,Capacity!$A$3:$D$532,4,), "0")</f>
        <v>75.398222400000023</v>
      </c>
      <c r="Q508" s="4">
        <f>IFERROR(VLOOKUP(O508,Capacity!$A$3:$F$532,6,), "0")</f>
        <v>0.4</v>
      </c>
      <c r="R508" s="5">
        <f t="shared" si="75"/>
        <v>75.398222400000023</v>
      </c>
      <c r="S508" s="5">
        <f t="shared" si="76"/>
        <v>0.4</v>
      </c>
      <c r="T508">
        <v>295</v>
      </c>
      <c r="U508">
        <v>2</v>
      </c>
      <c r="V508">
        <v>2</v>
      </c>
      <c r="W508">
        <v>1</v>
      </c>
      <c r="X508">
        <f t="shared" si="72"/>
        <v>0.20312499999999994</v>
      </c>
      <c r="Y508">
        <f t="shared" si="73"/>
        <v>0.90277777777777779</v>
      </c>
      <c r="Z508">
        <f t="shared" si="77"/>
        <v>0.9375</v>
      </c>
      <c r="AA508">
        <f t="shared" si="78"/>
        <v>1.25</v>
      </c>
      <c r="AC508">
        <f t="shared" si="79"/>
        <v>0.16581632653061218</v>
      </c>
      <c r="AD508">
        <f t="shared" si="74"/>
        <v>0.33163265306122436</v>
      </c>
    </row>
    <row r="509" spans="1:30" x14ac:dyDescent="0.25">
      <c r="A509">
        <v>2</v>
      </c>
      <c r="B509">
        <f>IFERROR(VLOOKUP(A509,Capacity!$A$3:$D$532,4,), "0")</f>
        <v>11.545352804999998</v>
      </c>
      <c r="C509" s="4">
        <f>IFERROR(VLOOKUP(A509,Capacity!$A$3:$F$532,6,), "0")</f>
        <v>0.17499999999999999</v>
      </c>
      <c r="E509" t="str">
        <f>IFERROR(VLOOKUP(D509,Capacity!$A$3:$D$532,4,), "0")</f>
        <v>0</v>
      </c>
      <c r="F509" s="4" t="str">
        <f>IFERROR(VLOOKUP(D509,Capacity!$A$3:$F$532,6,), "0")</f>
        <v>0</v>
      </c>
      <c r="H509" t="str">
        <f>IFERROR(VLOOKUP(G509,Capacity!$A$3:$D$532,4,), "0")</f>
        <v>0</v>
      </c>
      <c r="I509" s="4" t="str">
        <f>IFERROR(VLOOKUP(G509,Capacity!$A$3:$F$532,6,), "0")</f>
        <v>0</v>
      </c>
      <c r="K509" t="str">
        <f>IFERROR(VLOOKUP(J509,Capacity!$A$3:$D$532,4,), "0")</f>
        <v>0</v>
      </c>
      <c r="L509" s="4" t="str">
        <f>IFERROR(VLOOKUP(J509,Capacity!$A$3:$F$532,6,), "0")</f>
        <v>0</v>
      </c>
      <c r="M509" s="5">
        <f t="shared" si="70"/>
        <v>0</v>
      </c>
      <c r="N509" s="5">
        <f t="shared" si="71"/>
        <v>0</v>
      </c>
      <c r="O509">
        <v>306</v>
      </c>
      <c r="P509">
        <f>IFERROR(VLOOKUP(O509,Capacity!$A$3:$D$532,4,), "0")</f>
        <v>75.398222400000023</v>
      </c>
      <c r="Q509" s="4">
        <f>IFERROR(VLOOKUP(O509,Capacity!$A$3:$F$532,6,), "0")</f>
        <v>0.4</v>
      </c>
      <c r="R509" s="5">
        <f t="shared" si="75"/>
        <v>75.398222400000023</v>
      </c>
      <c r="S509" s="5">
        <f t="shared" si="76"/>
        <v>0.4</v>
      </c>
      <c r="T509">
        <v>2</v>
      </c>
      <c r="U509">
        <v>0</v>
      </c>
      <c r="V509">
        <v>0</v>
      </c>
      <c r="W509">
        <v>1</v>
      </c>
      <c r="X509">
        <f t="shared" si="72"/>
        <v>0</v>
      </c>
      <c r="Y509">
        <f t="shared" si="73"/>
        <v>0</v>
      </c>
      <c r="Z509">
        <f t="shared" si="77"/>
        <v>0</v>
      </c>
      <c r="AA509">
        <f t="shared" si="78"/>
        <v>0</v>
      </c>
      <c r="AC509">
        <f t="shared" si="79"/>
        <v>0</v>
      </c>
      <c r="AD509">
        <f t="shared" si="74"/>
        <v>0</v>
      </c>
    </row>
    <row r="510" spans="1:30" x14ac:dyDescent="0.25">
      <c r="A510">
        <v>46</v>
      </c>
      <c r="B510">
        <f>IFERROR(VLOOKUP(A510,Capacity!$A$3:$D$532,4,), "0")</f>
        <v>10.053096320000002</v>
      </c>
      <c r="C510" s="4">
        <f>IFERROR(VLOOKUP(A510,Capacity!$A$3:$F$532,6,), "0")</f>
        <v>0.2</v>
      </c>
      <c r="D510">
        <v>454</v>
      </c>
      <c r="E510">
        <f>IFERROR(VLOOKUP(D510,Capacity!$A$3:$D$532,4,), "0")</f>
        <v>9.621127337499999</v>
      </c>
      <c r="F510" s="4">
        <f>IFERROR(VLOOKUP(D510,Capacity!$A$3:$F$532,6,), "0")</f>
        <v>0.17499999999999999</v>
      </c>
      <c r="G510">
        <v>35</v>
      </c>
      <c r="H510">
        <f>IFERROR(VLOOKUP(G510,Capacity!$A$3:$D$532,4,), "0")</f>
        <v>10.053096320000002</v>
      </c>
      <c r="I510" s="4">
        <f>IFERROR(VLOOKUP(G510,Capacity!$A$3:$F$532,6,), "0")</f>
        <v>0.2</v>
      </c>
      <c r="K510" t="str">
        <f>IFERROR(VLOOKUP(J510,Capacity!$A$3:$D$532,4,), "0")</f>
        <v>0</v>
      </c>
      <c r="L510" s="4" t="str">
        <f>IFERROR(VLOOKUP(J510,Capacity!$A$3:$F$532,6,), "0")</f>
        <v>0</v>
      </c>
      <c r="M510" s="5">
        <f t="shared" si="70"/>
        <v>19.674223657500001</v>
      </c>
      <c r="N510" s="5">
        <f t="shared" si="71"/>
        <v>0.375</v>
      </c>
      <c r="O510">
        <v>57</v>
      </c>
      <c r="P510">
        <f>IFERROR(VLOOKUP(O510,Capacity!$A$3:$D$532,4,), "0")</f>
        <v>17.649467226800002</v>
      </c>
      <c r="Q510" s="4">
        <f>IFERROR(VLOOKUP(O510,Capacity!$A$3:$F$532,6,), "0")</f>
        <v>0.26500000000000001</v>
      </c>
      <c r="R510" s="5">
        <f t="shared" si="75"/>
        <v>17.649467226800002</v>
      </c>
      <c r="S510" s="5">
        <f t="shared" si="76"/>
        <v>0.26500000000000001</v>
      </c>
      <c r="T510">
        <v>46</v>
      </c>
      <c r="U510">
        <v>2</v>
      </c>
      <c r="V510">
        <v>2</v>
      </c>
      <c r="W510">
        <v>1</v>
      </c>
      <c r="X510">
        <f t="shared" si="72"/>
        <v>1.1147205411178354</v>
      </c>
      <c r="Y510">
        <f t="shared" si="73"/>
        <v>1.9570312499999998</v>
      </c>
      <c r="Z510">
        <f t="shared" si="77"/>
        <v>1.4150943396226414</v>
      </c>
      <c r="AA510">
        <f t="shared" si="78"/>
        <v>1.875</v>
      </c>
      <c r="AC510">
        <f t="shared" si="79"/>
        <v>0.71019505556815599</v>
      </c>
      <c r="AD510">
        <f t="shared" si="74"/>
        <v>1.420390111136312</v>
      </c>
    </row>
    <row r="511" spans="1:30" x14ac:dyDescent="0.25">
      <c r="A511">
        <v>383</v>
      </c>
      <c r="B511">
        <f>IFERROR(VLOOKUP(A511,Capacity!$A$3:$D$532,4,), "0")</f>
        <v>9.621127337499999</v>
      </c>
      <c r="C511" s="4">
        <f>IFERROR(VLOOKUP(A511,Capacity!$A$3:$F$532,6,), "0")</f>
        <v>0.17499999999999999</v>
      </c>
      <c r="E511" t="str">
        <f>IFERROR(VLOOKUP(D511,Capacity!$A$3:$D$532,4,), "0")</f>
        <v>0</v>
      </c>
      <c r="F511" s="4" t="str">
        <f>IFERROR(VLOOKUP(D511,Capacity!$A$3:$F$532,6,), "0")</f>
        <v>0</v>
      </c>
      <c r="H511" t="str">
        <f>IFERROR(VLOOKUP(G511,Capacity!$A$3:$D$532,4,), "0")</f>
        <v>0</v>
      </c>
      <c r="I511" s="4" t="str">
        <f>IFERROR(VLOOKUP(G511,Capacity!$A$3:$F$532,6,), "0")</f>
        <v>0</v>
      </c>
      <c r="K511" t="str">
        <f>IFERROR(VLOOKUP(J511,Capacity!$A$3:$D$532,4,), "0")</f>
        <v>0</v>
      </c>
      <c r="L511" s="4" t="str">
        <f>IFERROR(VLOOKUP(J511,Capacity!$A$3:$F$532,6,), "0")</f>
        <v>0</v>
      </c>
      <c r="M511" s="5">
        <f t="shared" si="70"/>
        <v>0</v>
      </c>
      <c r="N511" s="5">
        <f t="shared" si="71"/>
        <v>0</v>
      </c>
      <c r="O511">
        <v>157</v>
      </c>
      <c r="P511">
        <f>IFERROR(VLOOKUP(O511,Capacity!$A$3:$D$532,4,), "0")</f>
        <v>12.988521905624998</v>
      </c>
      <c r="Q511" s="4">
        <f>IFERROR(VLOOKUP(O511,Capacity!$A$3:$F$532,6,), "0")</f>
        <v>0.17499999999999999</v>
      </c>
      <c r="R511" s="5">
        <f t="shared" si="75"/>
        <v>12.988521905624998</v>
      </c>
      <c r="S511" s="5">
        <f t="shared" si="76"/>
        <v>0.17499999999999999</v>
      </c>
      <c r="T511">
        <v>383</v>
      </c>
      <c r="U511">
        <v>0</v>
      </c>
      <c r="V511">
        <v>0</v>
      </c>
      <c r="W511">
        <v>1</v>
      </c>
      <c r="X511">
        <f t="shared" si="72"/>
        <v>0</v>
      </c>
      <c r="Y511">
        <f t="shared" si="73"/>
        <v>0</v>
      </c>
      <c r="Z511">
        <f t="shared" si="77"/>
        <v>0</v>
      </c>
      <c r="AA511">
        <f t="shared" si="78"/>
        <v>0</v>
      </c>
      <c r="AC511">
        <f t="shared" si="79"/>
        <v>0</v>
      </c>
      <c r="AD511">
        <f t="shared" si="74"/>
        <v>0</v>
      </c>
    </row>
    <row r="512" spans="1:30" x14ac:dyDescent="0.25">
      <c r="A512">
        <v>235</v>
      </c>
      <c r="B512">
        <f>IFERROR(VLOOKUP(A512,Capacity!$A$3:$D$532,4,), "0")</f>
        <v>10.053096320000002</v>
      </c>
      <c r="C512" s="4">
        <f>IFERROR(VLOOKUP(A512,Capacity!$A$3:$F$532,6,), "0")</f>
        <v>0.2</v>
      </c>
      <c r="D512">
        <v>179</v>
      </c>
      <c r="E512">
        <f>IFERROR(VLOOKUP(D512,Capacity!$A$3:$D$532,4,), "0")</f>
        <v>486.94685300000003</v>
      </c>
      <c r="F512" s="4">
        <f>IFERROR(VLOOKUP(D512,Capacity!$A$3:$F$532,6,), "0")</f>
        <v>1</v>
      </c>
      <c r="H512" t="str">
        <f>IFERROR(VLOOKUP(G512,Capacity!$A$3:$D$532,4,), "0")</f>
        <v>0</v>
      </c>
      <c r="I512" s="4" t="str">
        <f>IFERROR(VLOOKUP(G512,Capacity!$A$3:$F$532,6,), "0")</f>
        <v>0</v>
      </c>
      <c r="K512" t="str">
        <f>IFERROR(VLOOKUP(J512,Capacity!$A$3:$D$532,4,), "0")</f>
        <v>0</v>
      </c>
      <c r="L512" s="4" t="str">
        <f>IFERROR(VLOOKUP(J512,Capacity!$A$3:$F$532,6,), "0")</f>
        <v>0</v>
      </c>
      <c r="M512" s="5">
        <f t="shared" si="70"/>
        <v>486.94685300000003</v>
      </c>
      <c r="N512" s="5">
        <f t="shared" si="71"/>
        <v>1</v>
      </c>
      <c r="O512">
        <v>246</v>
      </c>
      <c r="P512">
        <f>IFERROR(VLOOKUP(O512,Capacity!$A$3:$D$532,4,), "0")</f>
        <v>10.053096320000002</v>
      </c>
      <c r="Q512" s="4">
        <f>IFERROR(VLOOKUP(O512,Capacity!$A$3:$F$532,6,), "0")</f>
        <v>0.2</v>
      </c>
      <c r="R512" s="5">
        <f t="shared" si="75"/>
        <v>10.053096320000002</v>
      </c>
      <c r="S512" s="5">
        <f t="shared" si="76"/>
        <v>0.2</v>
      </c>
      <c r="T512">
        <v>235</v>
      </c>
      <c r="U512">
        <v>1</v>
      </c>
      <c r="V512">
        <v>1</v>
      </c>
      <c r="W512">
        <v>1</v>
      </c>
      <c r="X512">
        <f>($M512/$R512)</f>
        <v>48.437499999999993</v>
      </c>
      <c r="Y512">
        <f>($M512/$B512)</f>
        <v>48.437499999999993</v>
      </c>
      <c r="Z512">
        <f t="shared" si="77"/>
        <v>5</v>
      </c>
      <c r="AA512">
        <f t="shared" si="78"/>
        <v>5</v>
      </c>
      <c r="AC512">
        <f>$M512/($R512+$B512)</f>
        <v>24.218749999999996</v>
      </c>
      <c r="AD512">
        <f t="shared" si="74"/>
        <v>24.218749999999996</v>
      </c>
    </row>
    <row r="513" spans="1:30" x14ac:dyDescent="0.25">
      <c r="A513">
        <v>168</v>
      </c>
      <c r="B513">
        <f>IFERROR(VLOOKUP(A513,Capacity!$A$3:$D$532,4,), "0")</f>
        <v>13.950634639374998</v>
      </c>
      <c r="C513" s="4">
        <f>IFERROR(VLOOKUP(A513,Capacity!$A$3:$F$532,6,), "0")</f>
        <v>0.17499999999999999</v>
      </c>
      <c r="E513" t="str">
        <f>IFERROR(VLOOKUP(D513,Capacity!$A$3:$D$532,4,), "0")</f>
        <v>0</v>
      </c>
      <c r="F513" s="4" t="str">
        <f>IFERROR(VLOOKUP(D513,Capacity!$A$3:$F$532,6,), "0")</f>
        <v>0</v>
      </c>
      <c r="H513" t="str">
        <f>IFERROR(VLOOKUP(G513,Capacity!$A$3:$D$532,4,), "0")</f>
        <v>0</v>
      </c>
      <c r="I513" s="4" t="str">
        <f>IFERROR(VLOOKUP(G513,Capacity!$A$3:$F$532,6,), "0")</f>
        <v>0</v>
      </c>
      <c r="K513" t="str">
        <f>IFERROR(VLOOKUP(J513,Capacity!$A$3:$D$532,4,), "0")</f>
        <v>0</v>
      </c>
      <c r="L513" s="4" t="str">
        <f>IFERROR(VLOOKUP(J513,Capacity!$A$3:$F$532,6,), "0")</f>
        <v>0</v>
      </c>
      <c r="M513" s="5">
        <f t="shared" si="70"/>
        <v>0</v>
      </c>
      <c r="N513" s="5">
        <f t="shared" si="71"/>
        <v>0</v>
      </c>
      <c r="O513">
        <v>246</v>
      </c>
      <c r="P513">
        <f>IFERROR(VLOOKUP(O513,Capacity!$A$3:$D$532,4,), "0")</f>
        <v>10.053096320000002</v>
      </c>
      <c r="Q513" s="4">
        <f>IFERROR(VLOOKUP(O513,Capacity!$A$3:$F$532,6,), "0")</f>
        <v>0.2</v>
      </c>
      <c r="R513" s="5">
        <f t="shared" si="75"/>
        <v>10.053096320000002</v>
      </c>
      <c r="S513" s="5">
        <f t="shared" si="76"/>
        <v>0.2</v>
      </c>
      <c r="T513">
        <v>168</v>
      </c>
      <c r="U513">
        <v>0</v>
      </c>
      <c r="V513">
        <v>0</v>
      </c>
      <c r="W513">
        <v>1</v>
      </c>
      <c r="X513">
        <f t="shared" si="72"/>
        <v>0</v>
      </c>
      <c r="Y513">
        <f t="shared" si="73"/>
        <v>0</v>
      </c>
      <c r="Z513">
        <f t="shared" si="77"/>
        <v>0</v>
      </c>
      <c r="AA513">
        <f t="shared" si="78"/>
        <v>0</v>
      </c>
      <c r="AC513">
        <f t="shared" si="79"/>
        <v>0</v>
      </c>
      <c r="AD513">
        <f t="shared" si="74"/>
        <v>0</v>
      </c>
    </row>
    <row r="514" spans="1:30" x14ac:dyDescent="0.25">
      <c r="A514">
        <v>13</v>
      </c>
      <c r="B514">
        <f>IFERROR(VLOOKUP(A514,Capacity!$A$3:$D$532,4,), "0")</f>
        <v>9.621127337499999</v>
      </c>
      <c r="C514" s="4">
        <f>IFERROR(VLOOKUP(A514,Capacity!$A$3:$F$532,6,), "0")</f>
        <v>0.17499999999999999</v>
      </c>
      <c r="D514">
        <v>367</v>
      </c>
      <c r="E514">
        <f>IFERROR(VLOOKUP(D514,Capacity!$A$3:$D$532,4,), "0")</f>
        <v>7.6969018699999987</v>
      </c>
      <c r="F514" s="4">
        <f>IFERROR(VLOOKUP(D514,Capacity!$A$3:$F$532,6,), "0")</f>
        <v>0.17499999999999999</v>
      </c>
      <c r="G514">
        <v>350</v>
      </c>
      <c r="H514">
        <f>IFERROR(VLOOKUP(G514,Capacity!$A$3:$D$532,4,), "0")</f>
        <v>7.6969018699999987</v>
      </c>
      <c r="I514" s="4">
        <f>IFERROR(VLOOKUP(G514,Capacity!$A$3:$F$532,6,), "0")</f>
        <v>0.17499999999999999</v>
      </c>
      <c r="K514" t="str">
        <f>IFERROR(VLOOKUP(J514,Capacity!$A$3:$D$532,4,), "0")</f>
        <v>0</v>
      </c>
      <c r="L514" s="4" t="str">
        <f>IFERROR(VLOOKUP(J514,Capacity!$A$3:$F$532,6,), "0")</f>
        <v>0</v>
      </c>
      <c r="M514" s="5">
        <f t="shared" ref="M514:M531" si="80">$E514+$H514+$K514</f>
        <v>15.393803739999997</v>
      </c>
      <c r="N514" s="5">
        <f t="shared" si="71"/>
        <v>0.35</v>
      </c>
      <c r="O514">
        <v>201</v>
      </c>
      <c r="P514">
        <f>IFERROR(VLOOKUP(O514,Capacity!$A$3:$D$532,4,), "0")</f>
        <v>16.355916473749996</v>
      </c>
      <c r="Q514" s="4">
        <f>IFERROR(VLOOKUP(O514,Capacity!$A$3:$F$532,6,), "0")</f>
        <v>0.17499999999999999</v>
      </c>
      <c r="R514" s="5">
        <f t="shared" si="75"/>
        <v>16.355916473749996</v>
      </c>
      <c r="S514" s="5">
        <f t="shared" si="76"/>
        <v>0.17499999999999999</v>
      </c>
      <c r="T514">
        <v>13</v>
      </c>
      <c r="U514">
        <v>2</v>
      </c>
      <c r="V514">
        <v>2</v>
      </c>
      <c r="W514">
        <v>1</v>
      </c>
      <c r="X514">
        <f t="shared" si="72"/>
        <v>0.94117647058823539</v>
      </c>
      <c r="Y514">
        <f t="shared" si="73"/>
        <v>1.5999999999999999</v>
      </c>
      <c r="Z514">
        <f t="shared" si="77"/>
        <v>2</v>
      </c>
      <c r="AA514">
        <f t="shared" si="78"/>
        <v>2</v>
      </c>
      <c r="AC514">
        <f t="shared" si="79"/>
        <v>0.59259259259259256</v>
      </c>
      <c r="AD514">
        <f t="shared" si="74"/>
        <v>1.1851851851851851</v>
      </c>
    </row>
    <row r="515" spans="1:30" x14ac:dyDescent="0.25">
      <c r="A515">
        <v>112</v>
      </c>
      <c r="B515">
        <f>IFERROR(VLOOKUP(A515,Capacity!$A$3:$D$532,4,), "0")</f>
        <v>31.989659348575007</v>
      </c>
      <c r="C515" s="4">
        <f>IFERROR(VLOOKUP(A515,Capacity!$A$3:$F$532,6,), "0")</f>
        <v>0.26500000000000001</v>
      </c>
      <c r="D515">
        <v>483</v>
      </c>
      <c r="E515">
        <f>IFERROR(VLOOKUP(D515,Capacity!$A$3:$D$532,4,), "0")</f>
        <v>5.7726764024999992</v>
      </c>
      <c r="F515" s="4">
        <f>IFERROR(VLOOKUP(D515,Capacity!$A$3:$F$532,6,), "0")</f>
        <v>0.17499999999999999</v>
      </c>
      <c r="G515">
        <v>232</v>
      </c>
      <c r="H515">
        <f>IFERROR(VLOOKUP(G515,Capacity!$A$3:$D$532,4,), "0")</f>
        <v>26.474200840200002</v>
      </c>
      <c r="I515" s="4">
        <f>IFERROR(VLOOKUP(G515,Capacity!$A$3:$F$532,6,), "0")</f>
        <v>0.26500000000000001</v>
      </c>
      <c r="J515">
        <v>233</v>
      </c>
      <c r="K515">
        <f>IFERROR(VLOOKUP(J515,Capacity!$A$3:$D$532,4,), "0")</f>
        <v>24.838687732640004</v>
      </c>
      <c r="L515" s="4">
        <f>IFERROR(VLOOKUP(J515,Capacity!$A$3:$F$532,6,), "0")</f>
        <v>0.2</v>
      </c>
      <c r="M515" s="5">
        <f t="shared" si="80"/>
        <v>57.085564975340006</v>
      </c>
      <c r="N515" s="5">
        <f t="shared" ref="N515:N531" si="81">$F515+$I515+$L515</f>
        <v>0.64</v>
      </c>
      <c r="O515">
        <v>339</v>
      </c>
      <c r="P515">
        <f>IFERROR(VLOOKUP(O515,Capacity!$A$3:$D$532,4,), "0")</f>
        <v>25.132740800000008</v>
      </c>
      <c r="Q515" s="4">
        <f>IFERROR(VLOOKUP(O515,Capacity!$A$3:$F$532,6,), "0")</f>
        <v>0.4</v>
      </c>
      <c r="R515" s="5">
        <f t="shared" si="75"/>
        <v>25.132740800000008</v>
      </c>
      <c r="S515" s="5">
        <f t="shared" si="76"/>
        <v>0.4</v>
      </c>
      <c r="T515">
        <v>112</v>
      </c>
      <c r="U515">
        <v>3</v>
      </c>
      <c r="V515">
        <v>3</v>
      </c>
      <c r="W515">
        <v>1</v>
      </c>
      <c r="X515">
        <f t="shared" ref="X515:X531" si="82">($M515/$R515)</f>
        <v>2.2713624999999995</v>
      </c>
      <c r="Y515">
        <f t="shared" ref="Y515:Y531" si="83">($M515/$B515)</f>
        <v>1.7845005585494897</v>
      </c>
      <c r="Z515">
        <f t="shared" si="77"/>
        <v>1.5999999999999999</v>
      </c>
      <c r="AA515">
        <f t="shared" si="78"/>
        <v>2.4150943396226414</v>
      </c>
      <c r="AC515">
        <f t="shared" si="79"/>
        <v>0.99935515361505822</v>
      </c>
      <c r="AD515">
        <f t="shared" ref="AD515:AD531" si="84">U515*AC515</f>
        <v>2.9980654608451749</v>
      </c>
    </row>
    <row r="516" spans="1:30" x14ac:dyDescent="0.25">
      <c r="A516">
        <v>266</v>
      </c>
      <c r="B516">
        <f>IFERROR(VLOOKUP(A516,Capacity!$A$3:$D$532,4,), "0")</f>
        <v>11.545352804999998</v>
      </c>
      <c r="C516" s="4">
        <f>IFERROR(VLOOKUP(A516,Capacity!$A$3:$F$532,6,), "0")</f>
        <v>0.17499999999999999</v>
      </c>
      <c r="E516" t="str">
        <f>IFERROR(VLOOKUP(D516,Capacity!$A$3:$D$532,4,), "0")</f>
        <v>0</v>
      </c>
      <c r="F516" s="4" t="str">
        <f>IFERROR(VLOOKUP(D516,Capacity!$A$3:$F$532,6,), "0")</f>
        <v>0</v>
      </c>
      <c r="H516" t="str">
        <f>IFERROR(VLOOKUP(G516,Capacity!$A$3:$D$532,4,), "0")</f>
        <v>0</v>
      </c>
      <c r="I516" s="4" t="str">
        <f>IFERROR(VLOOKUP(G516,Capacity!$A$3:$F$532,6,), "0")</f>
        <v>0</v>
      </c>
      <c r="K516" t="str">
        <f>IFERROR(VLOOKUP(J516,Capacity!$A$3:$D$532,4,), "0")</f>
        <v>0</v>
      </c>
      <c r="L516" s="4" t="str">
        <f>IFERROR(VLOOKUP(J516,Capacity!$A$3:$F$532,6,), "0")</f>
        <v>0</v>
      </c>
      <c r="M516" s="5">
        <f t="shared" si="80"/>
        <v>0</v>
      </c>
      <c r="N516" s="5">
        <f t="shared" si="81"/>
        <v>0</v>
      </c>
      <c r="O516">
        <v>295</v>
      </c>
      <c r="P516">
        <f>IFERROR(VLOOKUP(O516,Capacity!$A$3:$D$532,4,), "0")</f>
        <v>16.964600040000001</v>
      </c>
      <c r="Q516" s="4">
        <f>IFERROR(VLOOKUP(O516,Capacity!$A$3:$F$532,6,), "0")</f>
        <v>0.3</v>
      </c>
      <c r="R516" s="5">
        <f t="shared" ref="R516:R531" si="85">$P516</f>
        <v>16.964600040000001</v>
      </c>
      <c r="S516" s="5">
        <f t="shared" ref="S516:S531" si="86">$Q516</f>
        <v>0.3</v>
      </c>
      <c r="T516">
        <v>266</v>
      </c>
      <c r="U516">
        <v>0</v>
      </c>
      <c r="V516">
        <v>0</v>
      </c>
      <c r="W516">
        <v>1</v>
      </c>
      <c r="X516">
        <f t="shared" si="82"/>
        <v>0</v>
      </c>
      <c r="Y516">
        <f t="shared" si="83"/>
        <v>0</v>
      </c>
      <c r="Z516">
        <f t="shared" ref="Z516:Z531" si="87">($N516/$S516)</f>
        <v>0</v>
      </c>
      <c r="AA516">
        <f t="shared" ref="AA516:AA531" si="88">($N516/$C516)</f>
        <v>0</v>
      </c>
      <c r="AC516">
        <f t="shared" ref="AC516:AC531" si="89">$M516/($R516+$B516)</f>
        <v>0</v>
      </c>
      <c r="AD516">
        <f t="shared" si="84"/>
        <v>0</v>
      </c>
    </row>
    <row r="517" spans="1:30" x14ac:dyDescent="0.25">
      <c r="A517">
        <v>284</v>
      </c>
      <c r="B517">
        <f>IFERROR(VLOOKUP(A517,Capacity!$A$3:$D$532,4,), "0")</f>
        <v>3.7699111200000006</v>
      </c>
      <c r="C517" s="4">
        <f>IFERROR(VLOOKUP(A517,Capacity!$A$3:$F$532,6,), "0")</f>
        <v>0.2</v>
      </c>
      <c r="D517">
        <v>223</v>
      </c>
      <c r="E517">
        <f>IFERROR(VLOOKUP(D517,Capacity!$A$3:$D$532,4,), "0")</f>
        <v>2.8863382012499996</v>
      </c>
      <c r="F517" s="4">
        <f>IFERROR(VLOOKUP(D517,Capacity!$A$3:$F$532,6,), "0")</f>
        <v>0.17499999999999999</v>
      </c>
      <c r="G517">
        <v>267</v>
      </c>
      <c r="H517">
        <f>IFERROR(VLOOKUP(G517,Capacity!$A$3:$D$532,4,), "0")</f>
        <v>11.545352804999998</v>
      </c>
      <c r="I517" s="4">
        <f>IFERROR(VLOOKUP(G517,Capacity!$A$3:$F$532,6,), "0")</f>
        <v>0.17499999999999999</v>
      </c>
      <c r="K517" t="str">
        <f>IFERROR(VLOOKUP(J517,Capacity!$A$3:$D$532,4,), "0")</f>
        <v>0</v>
      </c>
      <c r="L517" s="4" t="str">
        <f>IFERROR(VLOOKUP(J517,Capacity!$A$3:$F$532,6,), "0")</f>
        <v>0</v>
      </c>
      <c r="M517" s="5">
        <f t="shared" si="80"/>
        <v>14.431691006249999</v>
      </c>
      <c r="N517" s="5">
        <f t="shared" si="81"/>
        <v>0.35</v>
      </c>
      <c r="O517">
        <v>295</v>
      </c>
      <c r="P517">
        <f>IFERROR(VLOOKUP(O517,Capacity!$A$3:$D$532,4,), "0")</f>
        <v>16.964600040000001</v>
      </c>
      <c r="Q517" s="4">
        <f>IFERROR(VLOOKUP(O517,Capacity!$A$3:$F$532,6,), "0")</f>
        <v>0.3</v>
      </c>
      <c r="R517" s="5">
        <f t="shared" si="85"/>
        <v>16.964600040000001</v>
      </c>
      <c r="S517" s="5">
        <f t="shared" si="86"/>
        <v>0.3</v>
      </c>
      <c r="T517">
        <v>284</v>
      </c>
      <c r="U517">
        <v>2</v>
      </c>
      <c r="V517">
        <v>2</v>
      </c>
      <c r="W517">
        <v>1</v>
      </c>
      <c r="X517">
        <f t="shared" si="82"/>
        <v>0.85069444444444431</v>
      </c>
      <c r="Y517">
        <f t="shared" si="83"/>
        <v>3.8281249999999991</v>
      </c>
      <c r="Z517">
        <f t="shared" si="87"/>
        <v>1.1666666666666667</v>
      </c>
      <c r="AA517">
        <f t="shared" si="88"/>
        <v>1.7499999999999998</v>
      </c>
      <c r="AC517">
        <f t="shared" si="89"/>
        <v>0.69602272727272718</v>
      </c>
      <c r="AD517">
        <f t="shared" si="84"/>
        <v>1.3920454545454544</v>
      </c>
    </row>
    <row r="518" spans="1:30" x14ac:dyDescent="0.25">
      <c r="A518">
        <v>454</v>
      </c>
      <c r="B518">
        <f>IFERROR(VLOOKUP(A518,Capacity!$A$3:$D$532,4,), "0")</f>
        <v>9.621127337499999</v>
      </c>
      <c r="C518" s="4">
        <f>IFERROR(VLOOKUP(A518,Capacity!$A$3:$F$532,6,), "0")</f>
        <v>0.17499999999999999</v>
      </c>
      <c r="E518" t="str">
        <f>IFERROR(VLOOKUP(D518,Capacity!$A$3:$D$532,4,), "0")</f>
        <v>0</v>
      </c>
      <c r="F518" s="4" t="str">
        <f>IFERROR(VLOOKUP(D518,Capacity!$A$3:$F$532,6,), "0")</f>
        <v>0</v>
      </c>
      <c r="H518" t="str">
        <f>IFERROR(VLOOKUP(G518,Capacity!$A$3:$D$532,4,), "0")</f>
        <v>0</v>
      </c>
      <c r="I518" s="4" t="str">
        <f>IFERROR(VLOOKUP(G518,Capacity!$A$3:$F$532,6,), "0")</f>
        <v>0</v>
      </c>
      <c r="K518" t="str">
        <f>IFERROR(VLOOKUP(J518,Capacity!$A$3:$D$532,4,), "0")</f>
        <v>0</v>
      </c>
      <c r="L518" s="4" t="str">
        <f>IFERROR(VLOOKUP(J518,Capacity!$A$3:$F$532,6,), "0")</f>
        <v>0</v>
      </c>
      <c r="M518" s="5">
        <f t="shared" si="80"/>
        <v>0</v>
      </c>
      <c r="N518" s="5">
        <f t="shared" si="81"/>
        <v>0</v>
      </c>
      <c r="O518">
        <v>46</v>
      </c>
      <c r="P518">
        <f>IFERROR(VLOOKUP(O518,Capacity!$A$3:$D$532,4,), "0")</f>
        <v>10.053096320000002</v>
      </c>
      <c r="Q518" s="4">
        <f>IFERROR(VLOOKUP(O518,Capacity!$A$3:$F$532,6,), "0")</f>
        <v>0.2</v>
      </c>
      <c r="R518" s="5">
        <f t="shared" si="85"/>
        <v>10.053096320000002</v>
      </c>
      <c r="S518" s="5">
        <f t="shared" si="86"/>
        <v>0.2</v>
      </c>
      <c r="T518">
        <v>454</v>
      </c>
      <c r="U518">
        <v>0</v>
      </c>
      <c r="V518">
        <v>0</v>
      </c>
      <c r="W518">
        <v>1</v>
      </c>
      <c r="X518">
        <f t="shared" si="82"/>
        <v>0</v>
      </c>
      <c r="Y518">
        <f t="shared" si="83"/>
        <v>0</v>
      </c>
      <c r="Z518">
        <f t="shared" si="87"/>
        <v>0</v>
      </c>
      <c r="AA518">
        <f t="shared" si="88"/>
        <v>0</v>
      </c>
      <c r="AC518">
        <f t="shared" si="89"/>
        <v>0</v>
      </c>
      <c r="AD518">
        <f t="shared" si="84"/>
        <v>0</v>
      </c>
    </row>
    <row r="519" spans="1:30" x14ac:dyDescent="0.25">
      <c r="A519">
        <v>35</v>
      </c>
      <c r="B519">
        <f>IFERROR(VLOOKUP(A519,Capacity!$A$3:$D$532,4,), "0")</f>
        <v>10.053096320000002</v>
      </c>
      <c r="C519" s="4">
        <f>IFERROR(VLOOKUP(A519,Capacity!$A$3:$F$532,6,), "0")</f>
        <v>0.2</v>
      </c>
      <c r="D519">
        <v>369</v>
      </c>
      <c r="E519">
        <f>IFERROR(VLOOKUP(D519,Capacity!$A$3:$D$532,4,), "0")</f>
        <v>7.6969018699999987</v>
      </c>
      <c r="F519" s="4">
        <f>IFERROR(VLOOKUP(D519,Capacity!$A$3:$F$532,6,), "0")</f>
        <v>0.17499999999999999</v>
      </c>
      <c r="H519" t="str">
        <f>IFERROR(VLOOKUP(G519,Capacity!$A$3:$D$532,4,), "0")</f>
        <v>0</v>
      </c>
      <c r="I519" s="4" t="str">
        <f>IFERROR(VLOOKUP(G519,Capacity!$A$3:$F$532,6,), "0")</f>
        <v>0</v>
      </c>
      <c r="K519" t="str">
        <f>IFERROR(VLOOKUP(J519,Capacity!$A$3:$D$532,4,), "0")</f>
        <v>0</v>
      </c>
      <c r="L519" s="4" t="str">
        <f>IFERROR(VLOOKUP(J519,Capacity!$A$3:$F$532,6,), "0")</f>
        <v>0</v>
      </c>
      <c r="M519" s="5">
        <f t="shared" si="80"/>
        <v>7.6969018699999987</v>
      </c>
      <c r="N519" s="5">
        <f t="shared" si="81"/>
        <v>0.17499999999999999</v>
      </c>
      <c r="O519">
        <v>46</v>
      </c>
      <c r="P519">
        <f>IFERROR(VLOOKUP(O519,Capacity!$A$3:$D$532,4,), "0")</f>
        <v>10.053096320000002</v>
      </c>
      <c r="Q519" s="4">
        <f>IFERROR(VLOOKUP(O519,Capacity!$A$3:$F$532,6,), "0")</f>
        <v>0.2</v>
      </c>
      <c r="R519" s="5">
        <f t="shared" si="85"/>
        <v>10.053096320000002</v>
      </c>
      <c r="S519" s="5">
        <f t="shared" si="86"/>
        <v>0.2</v>
      </c>
      <c r="T519">
        <v>35</v>
      </c>
      <c r="U519">
        <v>1</v>
      </c>
      <c r="V519">
        <v>1</v>
      </c>
      <c r="W519">
        <v>1</v>
      </c>
      <c r="X519">
        <f t="shared" si="82"/>
        <v>0.76562499999999978</v>
      </c>
      <c r="Y519">
        <f t="shared" si="83"/>
        <v>0.76562499999999978</v>
      </c>
      <c r="Z519">
        <f t="shared" si="87"/>
        <v>0.87499999999999989</v>
      </c>
      <c r="AA519">
        <f t="shared" si="88"/>
        <v>0.87499999999999989</v>
      </c>
      <c r="AC519">
        <f t="shared" si="89"/>
        <v>0.38281249999999989</v>
      </c>
      <c r="AD519">
        <f t="shared" si="84"/>
        <v>0.38281249999999989</v>
      </c>
    </row>
    <row r="520" spans="1:30" x14ac:dyDescent="0.25">
      <c r="A520">
        <v>179</v>
      </c>
      <c r="B520">
        <f>IFERROR(VLOOKUP(A520,Capacity!$A$3:$D$532,4,), "0")</f>
        <v>486.94685300000003</v>
      </c>
      <c r="C520" s="4">
        <f>IFERROR(VLOOKUP(A520,Capacity!$A$3:$F$532,6,), "0")</f>
        <v>1</v>
      </c>
      <c r="D520">
        <v>373</v>
      </c>
      <c r="E520">
        <f>IFERROR(VLOOKUP(D520,Capacity!$A$3:$D$532,4,), "0")</f>
        <v>9.621127337499999</v>
      </c>
      <c r="F520" s="4">
        <f>IFERROR(VLOOKUP(D520,Capacity!$A$3:$F$532,6,), "0")</f>
        <v>0.17499999999999999</v>
      </c>
      <c r="H520" t="str">
        <f>IFERROR(VLOOKUP(G520,Capacity!$A$3:$D$532,4,), "0")</f>
        <v>0</v>
      </c>
      <c r="I520" s="4" t="str">
        <f>IFERROR(VLOOKUP(G520,Capacity!$A$3:$F$532,6,), "0")</f>
        <v>0</v>
      </c>
      <c r="K520" t="str">
        <f>IFERROR(VLOOKUP(J520,Capacity!$A$3:$D$532,4,), "0")</f>
        <v>0</v>
      </c>
      <c r="L520" s="4" t="str">
        <f>IFERROR(VLOOKUP(J520,Capacity!$A$3:$F$532,6,), "0")</f>
        <v>0</v>
      </c>
      <c r="M520" s="5">
        <f t="shared" si="80"/>
        <v>9.621127337499999</v>
      </c>
      <c r="N520" s="5">
        <f t="shared" si="81"/>
        <v>0.17499999999999999</v>
      </c>
      <c r="O520">
        <v>235</v>
      </c>
      <c r="P520">
        <f>IFERROR(VLOOKUP(O520,Capacity!$A$3:$D$532,4,), "0")</f>
        <v>10.053096320000002</v>
      </c>
      <c r="Q520" s="4">
        <f>IFERROR(VLOOKUP(O520,Capacity!$A$3:$F$532,6,), "0")</f>
        <v>0.2</v>
      </c>
      <c r="R520" s="5">
        <f t="shared" si="85"/>
        <v>10.053096320000002</v>
      </c>
      <c r="S520" s="5">
        <f t="shared" si="86"/>
        <v>0.2</v>
      </c>
      <c r="T520">
        <v>179</v>
      </c>
      <c r="U520">
        <v>1</v>
      </c>
      <c r="V520">
        <v>1</v>
      </c>
      <c r="W520">
        <v>1</v>
      </c>
      <c r="X520">
        <f t="shared" si="82"/>
        <v>0.95703124999999978</v>
      </c>
      <c r="Y520">
        <f t="shared" si="83"/>
        <v>1.9758064516129031E-2</v>
      </c>
      <c r="Z520">
        <f t="shared" si="87"/>
        <v>0.87499999999999989</v>
      </c>
      <c r="AA520">
        <f t="shared" si="88"/>
        <v>0.17499999999999999</v>
      </c>
      <c r="AC520">
        <f t="shared" si="89"/>
        <v>1.9358407079646013E-2</v>
      </c>
      <c r="AD520">
        <f t="shared" si="84"/>
        <v>1.9358407079646013E-2</v>
      </c>
    </row>
    <row r="521" spans="1:30" x14ac:dyDescent="0.25">
      <c r="A521">
        <v>367</v>
      </c>
      <c r="B521">
        <f>IFERROR(VLOOKUP(A521,Capacity!$A$3:$D$532,4,), "0")</f>
        <v>7.6969018699999987</v>
      </c>
      <c r="C521" s="4">
        <f>IFERROR(VLOOKUP(A521,Capacity!$A$3:$F$532,6,), "0")</f>
        <v>0.17499999999999999</v>
      </c>
      <c r="E521" t="str">
        <f>IFERROR(VLOOKUP(D521,Capacity!$A$3:$D$532,4,), "0")</f>
        <v>0</v>
      </c>
      <c r="F521" s="4" t="str">
        <f>IFERROR(VLOOKUP(D521,Capacity!$A$3:$F$532,6,), "0")</f>
        <v>0</v>
      </c>
      <c r="H521" t="str">
        <f>IFERROR(VLOOKUP(G521,Capacity!$A$3:$D$532,4,), "0")</f>
        <v>0</v>
      </c>
      <c r="I521" s="4" t="str">
        <f>IFERROR(VLOOKUP(G521,Capacity!$A$3:$F$532,6,), "0")</f>
        <v>0</v>
      </c>
      <c r="K521" t="str">
        <f>IFERROR(VLOOKUP(J521,Capacity!$A$3:$D$532,4,), "0")</f>
        <v>0</v>
      </c>
      <c r="L521" s="4" t="str">
        <f>IFERROR(VLOOKUP(J521,Capacity!$A$3:$F$532,6,), "0")</f>
        <v>0</v>
      </c>
      <c r="M521" s="5">
        <f t="shared" si="80"/>
        <v>0</v>
      </c>
      <c r="N521" s="5">
        <f t="shared" si="81"/>
        <v>0</v>
      </c>
      <c r="O521">
        <v>13</v>
      </c>
      <c r="P521">
        <f>IFERROR(VLOOKUP(O521,Capacity!$A$3:$D$532,4,), "0")</f>
        <v>9.621127337499999</v>
      </c>
      <c r="Q521" s="4">
        <f>IFERROR(VLOOKUP(O521,Capacity!$A$3:$F$532,6,), "0")</f>
        <v>0.17499999999999999</v>
      </c>
      <c r="R521" s="5">
        <f t="shared" si="85"/>
        <v>9.621127337499999</v>
      </c>
      <c r="S521" s="5">
        <f t="shared" si="86"/>
        <v>0.17499999999999999</v>
      </c>
      <c r="T521">
        <v>367</v>
      </c>
      <c r="U521">
        <v>0</v>
      </c>
      <c r="V521">
        <v>0</v>
      </c>
      <c r="W521">
        <v>1</v>
      </c>
      <c r="X521">
        <f t="shared" si="82"/>
        <v>0</v>
      </c>
      <c r="Y521">
        <f t="shared" si="83"/>
        <v>0</v>
      </c>
      <c r="Z521">
        <f t="shared" si="87"/>
        <v>0</v>
      </c>
      <c r="AA521">
        <f t="shared" si="88"/>
        <v>0</v>
      </c>
      <c r="AC521">
        <f t="shared" si="89"/>
        <v>0</v>
      </c>
      <c r="AD521">
        <f t="shared" si="84"/>
        <v>0</v>
      </c>
    </row>
    <row r="522" spans="1:30" x14ac:dyDescent="0.25">
      <c r="A522">
        <v>350</v>
      </c>
      <c r="B522">
        <f>IFERROR(VLOOKUP(A522,Capacity!$A$3:$D$532,4,), "0")</f>
        <v>7.6969018699999987</v>
      </c>
      <c r="C522" s="4">
        <f>IFERROR(VLOOKUP(A522,Capacity!$A$3:$F$532,6,), "0")</f>
        <v>0.17499999999999999</v>
      </c>
      <c r="E522" t="str">
        <f>IFERROR(VLOOKUP(D522,Capacity!$A$3:$D$532,4,), "0")</f>
        <v>0</v>
      </c>
      <c r="F522" s="4" t="str">
        <f>IFERROR(VLOOKUP(D522,Capacity!$A$3:$F$532,6,), "0")</f>
        <v>0</v>
      </c>
      <c r="H522" t="str">
        <f>IFERROR(VLOOKUP(G522,Capacity!$A$3:$D$532,4,), "0")</f>
        <v>0</v>
      </c>
      <c r="I522" s="4" t="str">
        <f>IFERROR(VLOOKUP(G522,Capacity!$A$3:$F$532,6,), "0")</f>
        <v>0</v>
      </c>
      <c r="K522" t="str">
        <f>IFERROR(VLOOKUP(J522,Capacity!$A$3:$D$532,4,), "0")</f>
        <v>0</v>
      </c>
      <c r="L522" s="4" t="str">
        <f>IFERROR(VLOOKUP(J522,Capacity!$A$3:$F$532,6,), "0")</f>
        <v>0</v>
      </c>
      <c r="M522" s="5">
        <f t="shared" si="80"/>
        <v>0</v>
      </c>
      <c r="N522" s="5">
        <f t="shared" si="81"/>
        <v>0</v>
      </c>
      <c r="O522">
        <v>13</v>
      </c>
      <c r="P522">
        <f>IFERROR(VLOOKUP(O522,Capacity!$A$3:$D$532,4,), "0")</f>
        <v>9.621127337499999</v>
      </c>
      <c r="Q522" s="4">
        <f>IFERROR(VLOOKUP(O522,Capacity!$A$3:$F$532,6,), "0")</f>
        <v>0.17499999999999999</v>
      </c>
      <c r="R522" s="5">
        <f t="shared" si="85"/>
        <v>9.621127337499999</v>
      </c>
      <c r="S522" s="5">
        <f t="shared" si="86"/>
        <v>0.17499999999999999</v>
      </c>
      <c r="T522">
        <v>350</v>
      </c>
      <c r="U522">
        <v>0</v>
      </c>
      <c r="V522">
        <v>0</v>
      </c>
      <c r="W522">
        <v>1</v>
      </c>
      <c r="X522">
        <f t="shared" si="82"/>
        <v>0</v>
      </c>
      <c r="Y522">
        <f t="shared" si="83"/>
        <v>0</v>
      </c>
      <c r="Z522">
        <f t="shared" si="87"/>
        <v>0</v>
      </c>
      <c r="AA522">
        <f t="shared" si="88"/>
        <v>0</v>
      </c>
      <c r="AC522">
        <f t="shared" si="89"/>
        <v>0</v>
      </c>
      <c r="AD522">
        <f t="shared" si="84"/>
        <v>0</v>
      </c>
    </row>
    <row r="523" spans="1:30" x14ac:dyDescent="0.25">
      <c r="A523">
        <v>483</v>
      </c>
      <c r="B523">
        <f>IFERROR(VLOOKUP(A523,Capacity!$A$3:$D$532,4,), "0")</f>
        <v>5.7726764024999992</v>
      </c>
      <c r="C523" s="4">
        <f>IFERROR(VLOOKUP(A523,Capacity!$A$3:$F$532,6,), "0")</f>
        <v>0.17499999999999999</v>
      </c>
      <c r="E523" t="str">
        <f>IFERROR(VLOOKUP(D523,Capacity!$A$3:$D$532,4,), "0")</f>
        <v>0</v>
      </c>
      <c r="F523" s="4" t="str">
        <f>IFERROR(VLOOKUP(D523,Capacity!$A$3:$F$532,6,), "0")</f>
        <v>0</v>
      </c>
      <c r="H523" t="str">
        <f>IFERROR(VLOOKUP(G523,Capacity!$A$3:$D$532,4,), "0")</f>
        <v>0</v>
      </c>
      <c r="I523" s="4" t="str">
        <f>IFERROR(VLOOKUP(G523,Capacity!$A$3:$F$532,6,), "0")</f>
        <v>0</v>
      </c>
      <c r="K523" t="str">
        <f>IFERROR(VLOOKUP(J523,Capacity!$A$3:$D$532,4,), "0")</f>
        <v>0</v>
      </c>
      <c r="L523" s="4" t="str">
        <f>IFERROR(VLOOKUP(J523,Capacity!$A$3:$F$532,6,), "0")</f>
        <v>0</v>
      </c>
      <c r="M523" s="5">
        <f t="shared" si="80"/>
        <v>0</v>
      </c>
      <c r="N523" s="5">
        <f t="shared" si="81"/>
        <v>0</v>
      </c>
      <c r="O523">
        <v>112</v>
      </c>
      <c r="P523">
        <f>IFERROR(VLOOKUP(O523,Capacity!$A$3:$D$532,4,), "0")</f>
        <v>31.989659348575007</v>
      </c>
      <c r="Q523" s="4">
        <f>IFERROR(VLOOKUP(O523,Capacity!$A$3:$F$532,6,), "0")</f>
        <v>0.26500000000000001</v>
      </c>
      <c r="R523" s="5">
        <f t="shared" si="85"/>
        <v>31.989659348575007</v>
      </c>
      <c r="S523" s="5">
        <f t="shared" si="86"/>
        <v>0.26500000000000001</v>
      </c>
      <c r="T523">
        <v>483</v>
      </c>
      <c r="U523">
        <v>0</v>
      </c>
      <c r="V523">
        <v>0</v>
      </c>
      <c r="W523">
        <v>1</v>
      </c>
      <c r="X523">
        <f t="shared" si="82"/>
        <v>0</v>
      </c>
      <c r="Y523">
        <f t="shared" si="83"/>
        <v>0</v>
      </c>
      <c r="Z523">
        <f t="shared" si="87"/>
        <v>0</v>
      </c>
      <c r="AA523">
        <f t="shared" si="88"/>
        <v>0</v>
      </c>
      <c r="AC523">
        <f t="shared" si="89"/>
        <v>0</v>
      </c>
      <c r="AD523">
        <f t="shared" si="84"/>
        <v>0</v>
      </c>
    </row>
    <row r="524" spans="1:30" x14ac:dyDescent="0.25">
      <c r="A524">
        <v>233</v>
      </c>
      <c r="B524">
        <f>IFERROR(VLOOKUP(A524,Capacity!$A$3:$D$532,4,), "0")</f>
        <v>24.838687732640004</v>
      </c>
      <c r="C524" s="4">
        <f>IFERROR(VLOOKUP(A524,Capacity!$A$3:$F$532,6,), "0")</f>
        <v>0.2</v>
      </c>
      <c r="D524">
        <v>270</v>
      </c>
      <c r="E524">
        <f>IFERROR(VLOOKUP(D524,Capacity!$A$3:$D$532,4,), "0")</f>
        <v>28.863382012499997</v>
      </c>
      <c r="F524" s="4">
        <f>IFERROR(VLOOKUP(D524,Capacity!$A$3:$F$532,6,), "0")</f>
        <v>0.17499999999999999</v>
      </c>
      <c r="H524" t="str">
        <f>IFERROR(VLOOKUP(G524,Capacity!$A$3:$D$532,4,), "0")</f>
        <v>0</v>
      </c>
      <c r="I524" s="4" t="str">
        <f>IFERROR(VLOOKUP(G524,Capacity!$A$3:$F$532,6,), "0")</f>
        <v>0</v>
      </c>
      <c r="K524" t="str">
        <f>IFERROR(VLOOKUP(J524,Capacity!$A$3:$D$532,4,), "0")</f>
        <v>0</v>
      </c>
      <c r="L524" s="4" t="str">
        <f>IFERROR(VLOOKUP(J524,Capacity!$A$3:$F$532,6,), "0")</f>
        <v>0</v>
      </c>
      <c r="M524" s="5">
        <f t="shared" si="80"/>
        <v>28.863382012499997</v>
      </c>
      <c r="N524" s="5">
        <f t="shared" si="81"/>
        <v>0.17499999999999999</v>
      </c>
      <c r="O524">
        <v>112</v>
      </c>
      <c r="P524">
        <f>IFERROR(VLOOKUP(O524,Capacity!$A$3:$D$532,4,), "0")</f>
        <v>31.989659348575007</v>
      </c>
      <c r="Q524" s="4">
        <f>IFERROR(VLOOKUP(O524,Capacity!$A$3:$F$532,6,), "0")</f>
        <v>0.26500000000000001</v>
      </c>
      <c r="R524" s="5">
        <f t="shared" si="85"/>
        <v>31.989659348575007</v>
      </c>
      <c r="S524" s="5">
        <f t="shared" si="86"/>
        <v>0.26500000000000001</v>
      </c>
      <c r="T524">
        <v>233</v>
      </c>
      <c r="U524">
        <v>1</v>
      </c>
      <c r="V524">
        <v>1</v>
      </c>
      <c r="W524">
        <v>1</v>
      </c>
      <c r="X524">
        <f t="shared" si="82"/>
        <v>0.90227225297995328</v>
      </c>
      <c r="Y524">
        <f t="shared" si="83"/>
        <v>1.1620332894869976</v>
      </c>
      <c r="Z524">
        <f t="shared" si="87"/>
        <v>0.660377358490566</v>
      </c>
      <c r="AA524">
        <f t="shared" si="88"/>
        <v>0.87499999999999989</v>
      </c>
      <c r="AC524">
        <f t="shared" si="89"/>
        <v>0.50790465489433489</v>
      </c>
      <c r="AD524">
        <f t="shared" si="84"/>
        <v>0.50790465489433489</v>
      </c>
    </row>
    <row r="525" spans="1:30" x14ac:dyDescent="0.25">
      <c r="A525">
        <v>232</v>
      </c>
      <c r="B525">
        <f>IFERROR(VLOOKUP(A525,Capacity!$A$3:$D$532,4,), "0")</f>
        <v>26.474200840200002</v>
      </c>
      <c r="C525" s="4">
        <f>IFERROR(VLOOKUP(A525,Capacity!$A$3:$F$532,6,), "0")</f>
        <v>0.26500000000000001</v>
      </c>
      <c r="E525" t="str">
        <f>IFERROR(VLOOKUP(D525,Capacity!$A$3:$D$532,4,), "0")</f>
        <v>0</v>
      </c>
      <c r="F525" s="4" t="str">
        <f>IFERROR(VLOOKUP(D525,Capacity!$A$3:$F$532,6,), "0")</f>
        <v>0</v>
      </c>
      <c r="H525" t="str">
        <f>IFERROR(VLOOKUP(G525,Capacity!$A$3:$D$532,4,), "0")</f>
        <v>0</v>
      </c>
      <c r="I525" s="4" t="str">
        <f>IFERROR(VLOOKUP(G525,Capacity!$A$3:$F$532,6,), "0")</f>
        <v>0</v>
      </c>
      <c r="K525" t="str">
        <f>IFERROR(VLOOKUP(J525,Capacity!$A$3:$D$532,4,), "0")</f>
        <v>0</v>
      </c>
      <c r="L525" s="4" t="str">
        <f>IFERROR(VLOOKUP(J525,Capacity!$A$3:$F$532,6,), "0")</f>
        <v>0</v>
      </c>
      <c r="M525" s="5">
        <f t="shared" si="80"/>
        <v>0</v>
      </c>
      <c r="N525" s="5">
        <f t="shared" si="81"/>
        <v>0</v>
      </c>
      <c r="O525">
        <v>112</v>
      </c>
      <c r="P525">
        <f>IFERROR(VLOOKUP(O525,Capacity!$A$3:$D$532,4,), "0")</f>
        <v>31.989659348575007</v>
      </c>
      <c r="Q525" s="4">
        <f>IFERROR(VLOOKUP(O525,Capacity!$A$3:$F$532,6,), "0")</f>
        <v>0.26500000000000001</v>
      </c>
      <c r="R525" s="5">
        <f t="shared" si="85"/>
        <v>31.989659348575007</v>
      </c>
      <c r="S525" s="5">
        <f t="shared" si="86"/>
        <v>0.26500000000000001</v>
      </c>
      <c r="T525">
        <v>232</v>
      </c>
      <c r="U525">
        <v>0</v>
      </c>
      <c r="V525">
        <v>0</v>
      </c>
      <c r="W525">
        <v>1</v>
      </c>
      <c r="X525">
        <f t="shared" si="82"/>
        <v>0</v>
      </c>
      <c r="Y525">
        <f t="shared" si="83"/>
        <v>0</v>
      </c>
      <c r="Z525">
        <f t="shared" si="87"/>
        <v>0</v>
      </c>
      <c r="AA525">
        <f t="shared" si="88"/>
        <v>0</v>
      </c>
      <c r="AC525">
        <f t="shared" si="89"/>
        <v>0</v>
      </c>
      <c r="AD525">
        <f t="shared" si="84"/>
        <v>0</v>
      </c>
    </row>
    <row r="526" spans="1:30" x14ac:dyDescent="0.25">
      <c r="A526">
        <v>267</v>
      </c>
      <c r="B526">
        <f>IFERROR(VLOOKUP(A526,Capacity!$A$3:$D$532,4,), "0")</f>
        <v>11.545352804999998</v>
      </c>
      <c r="C526" s="4">
        <f>IFERROR(VLOOKUP(A526,Capacity!$A$3:$F$532,6,), "0")</f>
        <v>0.17499999999999999</v>
      </c>
      <c r="E526" t="str">
        <f>IFERROR(VLOOKUP(D526,Capacity!$A$3:$D$532,4,), "0")</f>
        <v>0</v>
      </c>
      <c r="F526" s="4" t="str">
        <f>IFERROR(VLOOKUP(D526,Capacity!$A$3:$F$532,6,), "0")</f>
        <v>0</v>
      </c>
      <c r="H526" t="str">
        <f>IFERROR(VLOOKUP(G526,Capacity!$A$3:$D$532,4,), "0")</f>
        <v>0</v>
      </c>
      <c r="I526" s="4" t="str">
        <f>IFERROR(VLOOKUP(G526,Capacity!$A$3:$F$532,6,), "0")</f>
        <v>0</v>
      </c>
      <c r="K526" t="str">
        <f>IFERROR(VLOOKUP(J526,Capacity!$A$3:$D$532,4,), "0")</f>
        <v>0</v>
      </c>
      <c r="L526" s="4" t="str">
        <f>IFERROR(VLOOKUP(J526,Capacity!$A$3:$F$532,6,), "0")</f>
        <v>0</v>
      </c>
      <c r="M526" s="5">
        <f t="shared" si="80"/>
        <v>0</v>
      </c>
      <c r="N526" s="5">
        <f t="shared" si="81"/>
        <v>0</v>
      </c>
      <c r="O526">
        <v>284</v>
      </c>
      <c r="P526">
        <f>IFERROR(VLOOKUP(O526,Capacity!$A$3:$D$532,4,), "0")</f>
        <v>3.7699111200000006</v>
      </c>
      <c r="Q526" s="4">
        <f>IFERROR(VLOOKUP(O526,Capacity!$A$3:$F$532,6,), "0")</f>
        <v>0.2</v>
      </c>
      <c r="R526" s="5">
        <f t="shared" si="85"/>
        <v>3.7699111200000006</v>
      </c>
      <c r="S526" s="5">
        <f t="shared" si="86"/>
        <v>0.2</v>
      </c>
      <c r="T526">
        <v>267</v>
      </c>
      <c r="U526">
        <v>0</v>
      </c>
      <c r="V526">
        <v>0</v>
      </c>
      <c r="W526">
        <v>1</v>
      </c>
      <c r="X526">
        <f t="shared" si="82"/>
        <v>0</v>
      </c>
      <c r="Y526">
        <f t="shared" si="83"/>
        <v>0</v>
      </c>
      <c r="Z526">
        <f t="shared" si="87"/>
        <v>0</v>
      </c>
      <c r="AA526">
        <f t="shared" si="88"/>
        <v>0</v>
      </c>
      <c r="AC526">
        <f t="shared" si="89"/>
        <v>0</v>
      </c>
      <c r="AD526">
        <f t="shared" si="84"/>
        <v>0</v>
      </c>
    </row>
    <row r="527" spans="1:30" x14ac:dyDescent="0.25">
      <c r="A527">
        <v>223</v>
      </c>
      <c r="B527">
        <f>IFERROR(VLOOKUP(A527,Capacity!$A$3:$D$532,4,), "0")</f>
        <v>2.8863382012499996</v>
      </c>
      <c r="C527" s="4">
        <f>IFERROR(VLOOKUP(A527,Capacity!$A$3:$F$532,6,), "0")</f>
        <v>0.17499999999999999</v>
      </c>
      <c r="D527">
        <v>269</v>
      </c>
      <c r="E527">
        <f>IFERROR(VLOOKUP(D527,Capacity!$A$3:$D$532,4,), "0")</f>
        <v>26.474200840200002</v>
      </c>
      <c r="F527" s="4">
        <f>IFERROR(VLOOKUP(D527,Capacity!$A$3:$F$532,6,), "0")</f>
        <v>0.26500000000000001</v>
      </c>
      <c r="H527" t="str">
        <f>IFERROR(VLOOKUP(G527,Capacity!$A$3:$D$532,4,), "0")</f>
        <v>0</v>
      </c>
      <c r="I527" s="4" t="str">
        <f>IFERROR(VLOOKUP(G527,Capacity!$A$3:$F$532,6,), "0")</f>
        <v>0</v>
      </c>
      <c r="K527" t="str">
        <f>IFERROR(VLOOKUP(J527,Capacity!$A$3:$D$532,4,), "0")</f>
        <v>0</v>
      </c>
      <c r="L527" s="4" t="str">
        <f>IFERROR(VLOOKUP(J527,Capacity!$A$3:$F$532,6,), "0")</f>
        <v>0</v>
      </c>
      <c r="M527" s="5">
        <f t="shared" si="80"/>
        <v>26.474200840200002</v>
      </c>
      <c r="N527" s="5">
        <f t="shared" si="81"/>
        <v>0.26500000000000001</v>
      </c>
      <c r="O527">
        <v>284</v>
      </c>
      <c r="P527">
        <f>IFERROR(VLOOKUP(O527,Capacity!$A$3:$D$532,4,), "0")</f>
        <v>3.7699111200000006</v>
      </c>
      <c r="Q527" s="4">
        <f>IFERROR(VLOOKUP(O527,Capacity!$A$3:$F$532,6,), "0")</f>
        <v>0.2</v>
      </c>
      <c r="R527" s="5">
        <f t="shared" si="85"/>
        <v>3.7699111200000006</v>
      </c>
      <c r="S527" s="5">
        <f t="shared" si="86"/>
        <v>0.2</v>
      </c>
      <c r="T527">
        <v>223</v>
      </c>
      <c r="U527">
        <v>1</v>
      </c>
      <c r="V527">
        <v>1</v>
      </c>
      <c r="W527">
        <v>1</v>
      </c>
      <c r="X527">
        <f t="shared" si="82"/>
        <v>7.0224999999999991</v>
      </c>
      <c r="Y527">
        <f t="shared" si="83"/>
        <v>9.1722448979591853</v>
      </c>
      <c r="Z527">
        <f t="shared" si="87"/>
        <v>1.325</v>
      </c>
      <c r="AA527">
        <f t="shared" si="88"/>
        <v>1.5142857142857145</v>
      </c>
      <c r="AC527">
        <f t="shared" si="89"/>
        <v>3.9773451327433631</v>
      </c>
      <c r="AD527">
        <f t="shared" si="84"/>
        <v>3.9773451327433631</v>
      </c>
    </row>
    <row r="528" spans="1:30" x14ac:dyDescent="0.25">
      <c r="A528">
        <v>369</v>
      </c>
      <c r="B528">
        <f>IFERROR(VLOOKUP(A528,Capacity!$A$3:$D$532,4,), "0")</f>
        <v>7.6969018699999987</v>
      </c>
      <c r="C528" s="4">
        <f>IFERROR(VLOOKUP(A528,Capacity!$A$3:$F$532,6,), "0")</f>
        <v>0.17499999999999999</v>
      </c>
      <c r="E528" t="str">
        <f>IFERROR(VLOOKUP(D528,Capacity!$A$3:$D$532,4,), "0")</f>
        <v>0</v>
      </c>
      <c r="F528" s="4" t="str">
        <f>IFERROR(VLOOKUP(D528,Capacity!$A$3:$F$532,6,), "0")</f>
        <v>0</v>
      </c>
      <c r="H528" t="str">
        <f>IFERROR(VLOOKUP(G528,Capacity!$A$3:$D$532,4,), "0")</f>
        <v>0</v>
      </c>
      <c r="I528" s="4" t="str">
        <f>IFERROR(VLOOKUP(G528,Capacity!$A$3:$F$532,6,), "0")</f>
        <v>0</v>
      </c>
      <c r="K528" t="str">
        <f>IFERROR(VLOOKUP(J528,Capacity!$A$3:$D$532,4,), "0")</f>
        <v>0</v>
      </c>
      <c r="L528" s="4" t="str">
        <f>IFERROR(VLOOKUP(J528,Capacity!$A$3:$F$532,6,), "0")</f>
        <v>0</v>
      </c>
      <c r="M528" s="5">
        <f t="shared" si="80"/>
        <v>0</v>
      </c>
      <c r="N528" s="5">
        <f t="shared" si="81"/>
        <v>0</v>
      </c>
      <c r="O528">
        <v>35</v>
      </c>
      <c r="P528">
        <f>IFERROR(VLOOKUP(O528,Capacity!$A$3:$D$532,4,), "0")</f>
        <v>10.053096320000002</v>
      </c>
      <c r="Q528" s="4">
        <f>IFERROR(VLOOKUP(O528,Capacity!$A$3:$F$532,6,), "0")</f>
        <v>0.2</v>
      </c>
      <c r="R528" s="5">
        <f t="shared" si="85"/>
        <v>10.053096320000002</v>
      </c>
      <c r="S528" s="5">
        <f t="shared" si="86"/>
        <v>0.2</v>
      </c>
      <c r="T528">
        <v>369</v>
      </c>
      <c r="U528">
        <v>0</v>
      </c>
      <c r="V528">
        <v>0</v>
      </c>
      <c r="W528">
        <v>1</v>
      </c>
      <c r="X528">
        <f t="shared" si="82"/>
        <v>0</v>
      </c>
      <c r="Y528">
        <f t="shared" si="83"/>
        <v>0</v>
      </c>
      <c r="Z528">
        <f t="shared" si="87"/>
        <v>0</v>
      </c>
      <c r="AA528">
        <f t="shared" si="88"/>
        <v>0</v>
      </c>
      <c r="AC528">
        <f t="shared" si="89"/>
        <v>0</v>
      </c>
      <c r="AD528">
        <f t="shared" si="84"/>
        <v>0</v>
      </c>
    </row>
    <row r="529" spans="1:30" x14ac:dyDescent="0.25">
      <c r="A529">
        <v>373</v>
      </c>
      <c r="B529">
        <f>IFERROR(VLOOKUP(A529,Capacity!$A$3:$D$532,4,), "0")</f>
        <v>9.621127337499999</v>
      </c>
      <c r="C529" s="4">
        <f>IFERROR(VLOOKUP(A529,Capacity!$A$3:$F$532,6,), "0")</f>
        <v>0.17499999999999999</v>
      </c>
      <c r="E529" t="str">
        <f>IFERROR(VLOOKUP(D529,Capacity!$A$3:$D$532,4,), "0")</f>
        <v>0</v>
      </c>
      <c r="F529" s="4" t="str">
        <f>IFERROR(VLOOKUP(D529,Capacity!$A$3:$F$532,6,), "0")</f>
        <v>0</v>
      </c>
      <c r="H529" t="str">
        <f>IFERROR(VLOOKUP(G529,Capacity!$A$3:$D$532,4,), "0")</f>
        <v>0</v>
      </c>
      <c r="I529" s="4" t="str">
        <f>IFERROR(VLOOKUP(G529,Capacity!$A$3:$F$532,6,), "0")</f>
        <v>0</v>
      </c>
      <c r="K529" t="str">
        <f>IFERROR(VLOOKUP(J529,Capacity!$A$3:$D$532,4,), "0")</f>
        <v>0</v>
      </c>
      <c r="L529" s="4" t="str">
        <f>IFERROR(VLOOKUP(J529,Capacity!$A$3:$F$532,6,), "0")</f>
        <v>0</v>
      </c>
      <c r="M529" s="5">
        <f t="shared" si="80"/>
        <v>0</v>
      </c>
      <c r="N529" s="5">
        <f t="shared" si="81"/>
        <v>0</v>
      </c>
      <c r="O529">
        <v>179</v>
      </c>
      <c r="P529">
        <f>IFERROR(VLOOKUP(O529,Capacity!$A$3:$D$532,4,), "0")</f>
        <v>486.94685300000003</v>
      </c>
      <c r="Q529" s="4">
        <f>IFERROR(VLOOKUP(O529,Capacity!$A$3:$F$532,6,), "0")</f>
        <v>1</v>
      </c>
      <c r="R529" s="5">
        <f t="shared" si="85"/>
        <v>486.94685300000003</v>
      </c>
      <c r="S529" s="5">
        <f t="shared" si="86"/>
        <v>1</v>
      </c>
      <c r="T529">
        <v>373</v>
      </c>
      <c r="U529">
        <v>0</v>
      </c>
      <c r="V529">
        <v>0</v>
      </c>
      <c r="W529">
        <v>1</v>
      </c>
      <c r="X529">
        <f t="shared" si="82"/>
        <v>0</v>
      </c>
      <c r="Y529">
        <f t="shared" si="83"/>
        <v>0</v>
      </c>
      <c r="Z529">
        <f t="shared" si="87"/>
        <v>0</v>
      </c>
      <c r="AA529">
        <f t="shared" si="88"/>
        <v>0</v>
      </c>
      <c r="AC529">
        <f t="shared" si="89"/>
        <v>0</v>
      </c>
      <c r="AD529">
        <f t="shared" si="84"/>
        <v>0</v>
      </c>
    </row>
    <row r="530" spans="1:30" x14ac:dyDescent="0.25">
      <c r="A530">
        <v>270</v>
      </c>
      <c r="B530">
        <f>IFERROR(VLOOKUP(A530,Capacity!$A$3:$D$532,4,), "0")</f>
        <v>28.863382012499997</v>
      </c>
      <c r="C530" s="4">
        <f>IFERROR(VLOOKUP(A530,Capacity!$A$3:$F$532,6,), "0")</f>
        <v>0.17499999999999999</v>
      </c>
      <c r="E530" t="str">
        <f>IFERROR(VLOOKUP(D530,Capacity!$A$3:$D$532,4,), "0")</f>
        <v>0</v>
      </c>
      <c r="F530" s="4" t="str">
        <f>IFERROR(VLOOKUP(D530,Capacity!$A$3:$F$532,6,), "0")</f>
        <v>0</v>
      </c>
      <c r="H530" t="str">
        <f>IFERROR(VLOOKUP(G530,Capacity!$A$3:$D$532,4,), "0")</f>
        <v>0</v>
      </c>
      <c r="I530" s="4" t="str">
        <f>IFERROR(VLOOKUP(G530,Capacity!$A$3:$F$532,6,), "0")</f>
        <v>0</v>
      </c>
      <c r="K530" t="str">
        <f>IFERROR(VLOOKUP(J530,Capacity!$A$3:$D$532,4,), "0")</f>
        <v>0</v>
      </c>
      <c r="L530" s="4" t="str">
        <f>IFERROR(VLOOKUP(J530,Capacity!$A$3:$F$532,6,), "0")</f>
        <v>0</v>
      </c>
      <c r="M530" s="5">
        <f t="shared" si="80"/>
        <v>0</v>
      </c>
      <c r="N530" s="5">
        <f t="shared" si="81"/>
        <v>0</v>
      </c>
      <c r="O530">
        <v>233</v>
      </c>
      <c r="P530">
        <f>IFERROR(VLOOKUP(O530,Capacity!$A$3:$D$532,4,), "0")</f>
        <v>24.838687732640004</v>
      </c>
      <c r="Q530" s="4">
        <f>IFERROR(VLOOKUP(O530,Capacity!$A$3:$F$532,6,), "0")</f>
        <v>0.2</v>
      </c>
      <c r="R530" s="5">
        <f t="shared" si="85"/>
        <v>24.838687732640004</v>
      </c>
      <c r="S530" s="5">
        <f t="shared" si="86"/>
        <v>0.2</v>
      </c>
      <c r="T530">
        <v>270</v>
      </c>
      <c r="U530">
        <v>0</v>
      </c>
      <c r="V530">
        <v>0</v>
      </c>
      <c r="W530">
        <v>1</v>
      </c>
      <c r="X530">
        <f t="shared" si="82"/>
        <v>0</v>
      </c>
      <c r="Y530">
        <f t="shared" si="83"/>
        <v>0</v>
      </c>
      <c r="Z530">
        <f t="shared" si="87"/>
        <v>0</v>
      </c>
      <c r="AA530">
        <f t="shared" si="88"/>
        <v>0</v>
      </c>
      <c r="AC530">
        <f t="shared" si="89"/>
        <v>0</v>
      </c>
      <c r="AD530">
        <f t="shared" si="84"/>
        <v>0</v>
      </c>
    </row>
    <row r="531" spans="1:30" x14ac:dyDescent="0.25">
      <c r="A531">
        <v>269</v>
      </c>
      <c r="B531">
        <f>IFERROR(VLOOKUP(A531,Capacity!$A$3:$D$532,4,), "0")</f>
        <v>26.474200840200002</v>
      </c>
      <c r="C531" s="4">
        <f>IFERROR(VLOOKUP(A531,Capacity!$A$3:$F$532,6,), "0")</f>
        <v>0.26500000000000001</v>
      </c>
      <c r="E531" t="str">
        <f>IFERROR(VLOOKUP(D531,Capacity!$A$3:$D$532,4,), "0")</f>
        <v>0</v>
      </c>
      <c r="F531" s="4" t="str">
        <f>IFERROR(VLOOKUP(D531,Capacity!$A$3:$F$532,6,), "0")</f>
        <v>0</v>
      </c>
      <c r="H531" t="str">
        <f>IFERROR(VLOOKUP(G531,Capacity!$A$3:$D$532,4,), "0")</f>
        <v>0</v>
      </c>
      <c r="I531" s="4" t="str">
        <f>IFERROR(VLOOKUP(G531,Capacity!$A$3:$F$532,6,), "0")</f>
        <v>0</v>
      </c>
      <c r="K531" t="str">
        <f>IFERROR(VLOOKUP(J531,Capacity!$A$3:$D$532,4,), "0")</f>
        <v>0</v>
      </c>
      <c r="L531" s="4" t="str">
        <f>IFERROR(VLOOKUP(J531,Capacity!$A$3:$F$532,6,), "0")</f>
        <v>0</v>
      </c>
      <c r="M531" s="5">
        <f t="shared" si="80"/>
        <v>0</v>
      </c>
      <c r="N531" s="5">
        <f t="shared" si="81"/>
        <v>0</v>
      </c>
      <c r="O531">
        <v>223</v>
      </c>
      <c r="P531">
        <f>IFERROR(VLOOKUP(O531,Capacity!$A$3:$D$532,4,), "0")</f>
        <v>2.8863382012499996</v>
      </c>
      <c r="Q531" s="4">
        <f>IFERROR(VLOOKUP(O531,Capacity!$A$3:$F$532,6,), "0")</f>
        <v>0.17499999999999999</v>
      </c>
      <c r="R531" s="5">
        <f t="shared" si="85"/>
        <v>2.8863382012499996</v>
      </c>
      <c r="S531" s="5">
        <f t="shared" si="86"/>
        <v>0.17499999999999999</v>
      </c>
      <c r="T531">
        <v>269</v>
      </c>
      <c r="U531">
        <v>0</v>
      </c>
      <c r="V531">
        <v>0</v>
      </c>
      <c r="W531">
        <v>1</v>
      </c>
      <c r="X531">
        <f t="shared" si="82"/>
        <v>0</v>
      </c>
      <c r="Y531">
        <f t="shared" si="83"/>
        <v>0</v>
      </c>
      <c r="Z531">
        <f t="shared" si="87"/>
        <v>0</v>
      </c>
      <c r="AA531">
        <f t="shared" si="88"/>
        <v>0</v>
      </c>
      <c r="AC531">
        <f t="shared" si="89"/>
        <v>0</v>
      </c>
      <c r="AD531">
        <f t="shared" si="84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11FEA-E0A9-4AC1-A1C3-60F9B81B5997}">
  <dimension ref="A1:AD531"/>
  <sheetViews>
    <sheetView tabSelected="1" workbookViewId="0">
      <selection activeCell="G8" sqref="G8"/>
    </sheetView>
  </sheetViews>
  <sheetFormatPr defaultRowHeight="15" x14ac:dyDescent="0.25"/>
  <sheetData>
    <row r="1" spans="1:30" x14ac:dyDescent="0.25">
      <c r="A1" t="s">
        <v>2</v>
      </c>
      <c r="B1" t="s">
        <v>212</v>
      </c>
      <c r="C1" s="4" t="s">
        <v>213</v>
      </c>
      <c r="D1" t="s">
        <v>214</v>
      </c>
      <c r="F1" s="4" t="s">
        <v>211</v>
      </c>
      <c r="I1" s="4" t="s">
        <v>211</v>
      </c>
      <c r="L1" s="4" t="s">
        <v>211</v>
      </c>
      <c r="M1" s="5" t="s">
        <v>215</v>
      </c>
      <c r="N1" s="5" t="s">
        <v>218</v>
      </c>
      <c r="O1" t="s">
        <v>216</v>
      </c>
      <c r="Q1" s="4" t="s">
        <v>211</v>
      </c>
      <c r="R1" s="5" t="s">
        <v>217</v>
      </c>
      <c r="S1" s="5" t="s">
        <v>219</v>
      </c>
      <c r="T1" t="s">
        <v>220</v>
      </c>
      <c r="U1" t="s">
        <v>221</v>
      </c>
      <c r="V1" t="s">
        <v>222</v>
      </c>
      <c r="W1" t="s">
        <v>223</v>
      </c>
      <c r="X1" t="s">
        <v>224</v>
      </c>
      <c r="Y1" t="s">
        <v>225</v>
      </c>
      <c r="Z1" t="s">
        <v>226</v>
      </c>
      <c r="AA1" t="s">
        <v>227</v>
      </c>
      <c r="AC1" t="s">
        <v>235</v>
      </c>
      <c r="AD1" t="s">
        <v>230</v>
      </c>
    </row>
    <row r="2" spans="1:30" x14ac:dyDescent="0.25">
      <c r="A2">
        <v>36</v>
      </c>
      <c r="B2">
        <v>17.649467226800002</v>
      </c>
      <c r="C2" s="4">
        <v>0.26500000000000001</v>
      </c>
      <c r="D2">
        <v>516</v>
      </c>
      <c r="E2">
        <v>248.81413392000002</v>
      </c>
      <c r="F2" s="4">
        <v>0.6</v>
      </c>
      <c r="G2">
        <v>397</v>
      </c>
      <c r="H2">
        <v>254.46900059999999</v>
      </c>
      <c r="I2" s="4">
        <v>0.6</v>
      </c>
      <c r="J2">
        <v>34</v>
      </c>
      <c r="K2">
        <v>17.649467226800002</v>
      </c>
      <c r="L2" s="4">
        <v>0.26500000000000001</v>
      </c>
      <c r="M2" s="5">
        <v>520.93260174679995</v>
      </c>
      <c r="N2" s="5">
        <v>1.4649999999999999</v>
      </c>
      <c r="O2">
        <v>37</v>
      </c>
      <c r="P2">
        <v>17.649467226800002</v>
      </c>
      <c r="Q2" s="4">
        <v>0.26500000000000001</v>
      </c>
      <c r="R2" s="5">
        <v>17.649467226800002</v>
      </c>
      <c r="S2" s="5">
        <v>0.26500000000000001</v>
      </c>
      <c r="T2">
        <v>36</v>
      </c>
      <c r="U2">
        <v>3</v>
      </c>
      <c r="V2">
        <v>3</v>
      </c>
      <c r="W2">
        <v>1</v>
      </c>
      <c r="X2">
        <v>29.515485938056241</v>
      </c>
      <c r="Y2">
        <v>29.515485938056241</v>
      </c>
      <c r="Z2">
        <v>5.5283018867924518</v>
      </c>
      <c r="AA2">
        <v>5.5283018867924518</v>
      </c>
      <c r="AC2">
        <f>$M2/($R2+$B2)</f>
        <v>14.75774296902812</v>
      </c>
      <c r="AD2">
        <f t="shared" ref="AD2:AD33" si="0">AC2*U2</f>
        <v>44.273228907084359</v>
      </c>
    </row>
    <row r="3" spans="1:30" x14ac:dyDescent="0.25">
      <c r="A3">
        <v>34</v>
      </c>
      <c r="B3">
        <v>17.649467226800002</v>
      </c>
      <c r="C3" s="4">
        <v>0.26500000000000001</v>
      </c>
      <c r="D3">
        <v>514</v>
      </c>
      <c r="E3">
        <v>248.81413392000002</v>
      </c>
      <c r="F3" s="4">
        <v>0.6</v>
      </c>
      <c r="G3">
        <v>395</v>
      </c>
      <c r="H3">
        <v>254.46900059999999</v>
      </c>
      <c r="I3" s="4">
        <v>0.6</v>
      </c>
      <c r="J3">
        <v>33</v>
      </c>
      <c r="K3">
        <v>17.649467226800002</v>
      </c>
      <c r="L3" s="4">
        <v>0.26500000000000001</v>
      </c>
      <c r="M3" s="5">
        <v>520.93260174679995</v>
      </c>
      <c r="N3" s="5">
        <v>1.4649999999999999</v>
      </c>
      <c r="O3">
        <v>36</v>
      </c>
      <c r="P3">
        <v>17.649467226800002</v>
      </c>
      <c r="Q3" s="4">
        <v>0.26500000000000001</v>
      </c>
      <c r="R3" s="5">
        <v>17.649467226800002</v>
      </c>
      <c r="S3" s="5">
        <v>0.26500000000000001</v>
      </c>
      <c r="T3">
        <v>34</v>
      </c>
      <c r="U3">
        <v>3</v>
      </c>
      <c r="V3">
        <v>3</v>
      </c>
      <c r="W3">
        <v>1</v>
      </c>
      <c r="X3">
        <v>29.515485938056241</v>
      </c>
      <c r="Y3">
        <v>29.515485938056241</v>
      </c>
      <c r="Z3">
        <v>5.5283018867924518</v>
      </c>
      <c r="AA3">
        <v>5.5283018867924518</v>
      </c>
      <c r="AC3">
        <f>$M3/($R3+$B3)</f>
        <v>14.75774296902812</v>
      </c>
      <c r="AD3">
        <f t="shared" si="0"/>
        <v>44.273228907084359</v>
      </c>
    </row>
    <row r="4" spans="1:30" x14ac:dyDescent="0.25">
      <c r="A4">
        <v>338</v>
      </c>
      <c r="B4">
        <v>5.0265481600000008</v>
      </c>
      <c r="C4" s="4">
        <v>0.2</v>
      </c>
      <c r="D4">
        <v>523</v>
      </c>
      <c r="E4">
        <v>376.99111199999999</v>
      </c>
      <c r="F4" s="4">
        <v>1</v>
      </c>
      <c r="H4" t="s">
        <v>229</v>
      </c>
      <c r="I4" s="4" t="s">
        <v>229</v>
      </c>
      <c r="K4" t="s">
        <v>229</v>
      </c>
      <c r="L4" s="4" t="s">
        <v>229</v>
      </c>
      <c r="M4" s="5">
        <v>376.99111199999999</v>
      </c>
      <c r="N4" s="5">
        <v>1</v>
      </c>
      <c r="O4">
        <v>340</v>
      </c>
      <c r="P4">
        <v>5.0265481600000008</v>
      </c>
      <c r="Q4" s="4">
        <v>0.2</v>
      </c>
      <c r="R4" s="5">
        <v>5.0265481600000008</v>
      </c>
      <c r="S4" s="5">
        <v>0.2</v>
      </c>
      <c r="T4">
        <v>338</v>
      </c>
      <c r="U4">
        <v>1</v>
      </c>
      <c r="V4">
        <v>1</v>
      </c>
      <c r="W4">
        <v>1</v>
      </c>
      <c r="X4">
        <v>74.999999999999986</v>
      </c>
      <c r="Y4">
        <v>74.999999999999986</v>
      </c>
      <c r="Z4">
        <v>5</v>
      </c>
      <c r="AA4">
        <v>5</v>
      </c>
      <c r="AC4">
        <f t="shared" ref="AC4:AC12" si="1">$M4/($R4+$B4)</f>
        <v>37.499999999999993</v>
      </c>
      <c r="AD4">
        <f t="shared" si="0"/>
        <v>37.499999999999993</v>
      </c>
    </row>
    <row r="5" spans="1:30" x14ac:dyDescent="0.25">
      <c r="A5">
        <v>99</v>
      </c>
      <c r="B5">
        <v>29.688050070000003</v>
      </c>
      <c r="C5" s="4">
        <v>0.3</v>
      </c>
      <c r="D5">
        <v>434</v>
      </c>
      <c r="E5">
        <v>197.92033380000001</v>
      </c>
      <c r="F5" s="4">
        <v>0.6</v>
      </c>
      <c r="G5">
        <v>100</v>
      </c>
      <c r="H5">
        <v>36.75663342</v>
      </c>
      <c r="I5" s="4">
        <v>0.3</v>
      </c>
      <c r="J5">
        <v>59</v>
      </c>
      <c r="K5">
        <v>294.05306736</v>
      </c>
      <c r="L5" s="4">
        <v>0.6</v>
      </c>
      <c r="M5" s="5">
        <v>528.73003457999994</v>
      </c>
      <c r="N5" s="5">
        <v>1.5</v>
      </c>
      <c r="O5">
        <v>98</v>
      </c>
      <c r="P5">
        <v>25.446900060000001</v>
      </c>
      <c r="Q5" s="4">
        <v>0.3</v>
      </c>
      <c r="R5" s="5">
        <v>25.446900060000001</v>
      </c>
      <c r="S5" s="5">
        <v>0.3</v>
      </c>
      <c r="T5">
        <v>99</v>
      </c>
      <c r="U5">
        <v>3</v>
      </c>
      <c r="V5">
        <v>3</v>
      </c>
      <c r="W5">
        <v>1</v>
      </c>
      <c r="X5">
        <v>20.777777777777775</v>
      </c>
      <c r="Y5">
        <v>17.809523809523807</v>
      </c>
      <c r="Z5">
        <v>5</v>
      </c>
      <c r="AA5">
        <v>5</v>
      </c>
      <c r="AC5">
        <f t="shared" si="1"/>
        <v>9.5897435897435876</v>
      </c>
      <c r="AD5">
        <f t="shared" si="0"/>
        <v>28.769230769230763</v>
      </c>
    </row>
    <row r="6" spans="1:30" x14ac:dyDescent="0.25">
      <c r="A6">
        <v>186</v>
      </c>
      <c r="B6">
        <v>17.649467226800002</v>
      </c>
      <c r="C6" s="4">
        <v>0.26500000000000001</v>
      </c>
      <c r="D6">
        <v>185</v>
      </c>
      <c r="E6">
        <v>628.31852000000003</v>
      </c>
      <c r="F6" s="4">
        <v>1</v>
      </c>
      <c r="H6" t="s">
        <v>229</v>
      </c>
      <c r="I6" s="4" t="s">
        <v>229</v>
      </c>
      <c r="K6" t="s">
        <v>229</v>
      </c>
      <c r="L6" s="4" t="s">
        <v>229</v>
      </c>
      <c r="M6" s="5">
        <v>628.31852000000003</v>
      </c>
      <c r="N6" s="5">
        <v>1</v>
      </c>
      <c r="O6">
        <v>181</v>
      </c>
      <c r="P6">
        <v>7.6969018699999987</v>
      </c>
      <c r="Q6" s="4">
        <v>0.17499999999999999</v>
      </c>
      <c r="R6" s="5">
        <v>7.6969018699999987</v>
      </c>
      <c r="S6" s="5">
        <v>0.17499999999999999</v>
      </c>
      <c r="T6">
        <v>186</v>
      </c>
      <c r="U6">
        <v>1</v>
      </c>
      <c r="V6">
        <v>1</v>
      </c>
      <c r="W6">
        <v>1</v>
      </c>
      <c r="X6">
        <v>81.632653061224502</v>
      </c>
      <c r="Y6">
        <v>35.599857600569592</v>
      </c>
      <c r="Z6">
        <v>5.7142857142857144</v>
      </c>
      <c r="AA6">
        <v>3.773584905660377</v>
      </c>
      <c r="AC6">
        <f t="shared" si="1"/>
        <v>24.789291026276651</v>
      </c>
      <c r="AD6">
        <f t="shared" si="0"/>
        <v>24.789291026276651</v>
      </c>
    </row>
    <row r="7" spans="1:30" x14ac:dyDescent="0.25">
      <c r="A7">
        <v>235</v>
      </c>
      <c r="B7">
        <v>10.053096320000002</v>
      </c>
      <c r="C7" s="4">
        <v>0.2</v>
      </c>
      <c r="D7">
        <v>179</v>
      </c>
      <c r="E7">
        <v>486.94685300000003</v>
      </c>
      <c r="F7" s="4">
        <v>1</v>
      </c>
      <c r="H7" t="s">
        <v>229</v>
      </c>
      <c r="I7" s="4" t="s">
        <v>229</v>
      </c>
      <c r="K7" t="s">
        <v>229</v>
      </c>
      <c r="L7" s="4" t="s">
        <v>229</v>
      </c>
      <c r="M7" s="5">
        <v>486.94685300000003</v>
      </c>
      <c r="N7" s="5">
        <v>1</v>
      </c>
      <c r="O7">
        <v>246</v>
      </c>
      <c r="P7">
        <v>10.053096320000002</v>
      </c>
      <c r="Q7" s="4">
        <v>0.2</v>
      </c>
      <c r="R7" s="5">
        <v>10.053096320000002</v>
      </c>
      <c r="S7" s="5">
        <v>0.2</v>
      </c>
      <c r="T7">
        <v>235</v>
      </c>
      <c r="U7">
        <v>1</v>
      </c>
      <c r="V7">
        <v>1</v>
      </c>
      <c r="W7">
        <v>1</v>
      </c>
      <c r="X7">
        <v>48.437499999999993</v>
      </c>
      <c r="Y7">
        <v>48.437499999999993</v>
      </c>
      <c r="Z7">
        <v>5</v>
      </c>
      <c r="AA7">
        <v>5</v>
      </c>
      <c r="AC7">
        <f t="shared" si="1"/>
        <v>24.218749999999996</v>
      </c>
      <c r="AD7">
        <f t="shared" si="0"/>
        <v>24.218749999999996</v>
      </c>
    </row>
    <row r="8" spans="1:30" x14ac:dyDescent="0.25">
      <c r="A8">
        <v>120</v>
      </c>
      <c r="B8">
        <v>10.681414840000002</v>
      </c>
      <c r="C8" s="4">
        <v>0.2</v>
      </c>
      <c r="D8">
        <v>121</v>
      </c>
      <c r="E8">
        <v>309.25052156250001</v>
      </c>
      <c r="F8" s="4">
        <v>0.75</v>
      </c>
      <c r="G8">
        <v>119</v>
      </c>
      <c r="H8">
        <v>361.28314899999998</v>
      </c>
      <c r="I8" s="4">
        <v>1</v>
      </c>
      <c r="K8" t="s">
        <v>229</v>
      </c>
      <c r="L8" s="4" t="s">
        <v>229</v>
      </c>
      <c r="M8" s="5">
        <v>670.53367056249999</v>
      </c>
      <c r="N8" s="5">
        <v>1.75</v>
      </c>
      <c r="O8">
        <v>127</v>
      </c>
      <c r="P8">
        <v>45.238933439999997</v>
      </c>
      <c r="Q8" s="4">
        <v>0.3</v>
      </c>
      <c r="R8" s="5">
        <v>45.238933439999997</v>
      </c>
      <c r="S8" s="5">
        <v>0.3</v>
      </c>
      <c r="T8">
        <v>120</v>
      </c>
      <c r="U8">
        <v>2</v>
      </c>
      <c r="V8">
        <v>2</v>
      </c>
      <c r="W8">
        <v>1</v>
      </c>
      <c r="X8">
        <v>14.822048611111112</v>
      </c>
      <c r="Y8">
        <v>62.775735294117631</v>
      </c>
      <c r="Z8">
        <v>5.8333333333333339</v>
      </c>
      <c r="AA8">
        <v>8.75</v>
      </c>
      <c r="AC8">
        <f t="shared" si="1"/>
        <v>11.990870786516854</v>
      </c>
      <c r="AD8">
        <f t="shared" si="0"/>
        <v>23.981741573033709</v>
      </c>
    </row>
    <row r="9" spans="1:30" x14ac:dyDescent="0.25">
      <c r="A9">
        <v>125</v>
      </c>
      <c r="B9">
        <v>21.647536509374998</v>
      </c>
      <c r="C9" s="4">
        <v>0.17499999999999999</v>
      </c>
      <c r="D9">
        <v>441</v>
      </c>
      <c r="E9">
        <v>180.95573375999999</v>
      </c>
      <c r="F9" s="4">
        <v>0.6</v>
      </c>
      <c r="G9">
        <v>437</v>
      </c>
      <c r="H9">
        <v>90.477866879999993</v>
      </c>
      <c r="I9" s="4">
        <v>0.6</v>
      </c>
      <c r="K9" t="s">
        <v>229</v>
      </c>
      <c r="L9" s="4" t="s">
        <v>229</v>
      </c>
      <c r="M9" s="5">
        <v>271.43360064000001</v>
      </c>
      <c r="N9" s="5">
        <v>1.2</v>
      </c>
      <c r="O9">
        <v>126</v>
      </c>
      <c r="P9">
        <v>12.507465538749999</v>
      </c>
      <c r="Q9" s="4">
        <v>0.17499999999999999</v>
      </c>
      <c r="R9" s="5">
        <v>12.507465538749999</v>
      </c>
      <c r="S9" s="5">
        <v>0.17499999999999999</v>
      </c>
      <c r="T9">
        <v>125</v>
      </c>
      <c r="U9">
        <v>2</v>
      </c>
      <c r="V9">
        <v>2</v>
      </c>
      <c r="W9">
        <v>1</v>
      </c>
      <c r="X9">
        <v>21.701726844583991</v>
      </c>
      <c r="Y9">
        <v>12.538775510204083</v>
      </c>
      <c r="Z9">
        <v>6.8571428571428577</v>
      </c>
      <c r="AA9">
        <v>6.8571428571428577</v>
      </c>
      <c r="AC9">
        <f t="shared" si="1"/>
        <v>7.9471112388617424</v>
      </c>
      <c r="AD9">
        <f t="shared" si="0"/>
        <v>15.894222477723485</v>
      </c>
    </row>
    <row r="10" spans="1:30" x14ac:dyDescent="0.25">
      <c r="A10">
        <v>208</v>
      </c>
      <c r="B10">
        <v>25.132740800000008</v>
      </c>
      <c r="C10" s="4">
        <v>0.4</v>
      </c>
      <c r="D10">
        <v>205</v>
      </c>
      <c r="E10">
        <v>309.25052156250001</v>
      </c>
      <c r="F10" s="4">
        <v>0.75</v>
      </c>
      <c r="G10">
        <v>209</v>
      </c>
      <c r="H10">
        <v>123.700208625</v>
      </c>
      <c r="I10" s="4">
        <v>0.75</v>
      </c>
      <c r="K10" t="s">
        <v>229</v>
      </c>
      <c r="L10" s="4" t="s">
        <v>229</v>
      </c>
      <c r="M10" s="5">
        <v>432.95073018750003</v>
      </c>
      <c r="N10" s="5">
        <v>1.5</v>
      </c>
      <c r="O10">
        <v>207</v>
      </c>
      <c r="P10">
        <v>31.101766740000002</v>
      </c>
      <c r="Q10" s="4">
        <v>0.3</v>
      </c>
      <c r="R10" s="5">
        <v>31.101766740000002</v>
      </c>
      <c r="S10" s="5">
        <v>0.3</v>
      </c>
      <c r="T10">
        <v>208</v>
      </c>
      <c r="U10">
        <v>2</v>
      </c>
      <c r="V10">
        <v>2</v>
      </c>
      <c r="W10">
        <v>1</v>
      </c>
      <c r="X10">
        <v>13.920454545454545</v>
      </c>
      <c r="Y10">
        <v>17.226562499999996</v>
      </c>
      <c r="Z10">
        <v>5</v>
      </c>
      <c r="AA10">
        <v>3.75</v>
      </c>
      <c r="AC10">
        <f t="shared" si="1"/>
        <v>7.6990223463687144</v>
      </c>
      <c r="AD10">
        <f t="shared" si="0"/>
        <v>15.398044692737429</v>
      </c>
    </row>
    <row r="11" spans="1:30" x14ac:dyDescent="0.25">
      <c r="A11">
        <v>98</v>
      </c>
      <c r="B11">
        <v>25.446900060000001</v>
      </c>
      <c r="C11" s="4">
        <v>0.3</v>
      </c>
      <c r="D11">
        <v>99</v>
      </c>
      <c r="E11">
        <v>29.688050070000003</v>
      </c>
      <c r="F11" s="4">
        <v>0.3</v>
      </c>
      <c r="G11">
        <v>97</v>
      </c>
      <c r="H11">
        <v>203.57520048000001</v>
      </c>
      <c r="I11" s="4">
        <v>0.9</v>
      </c>
      <c r="K11" t="s">
        <v>229</v>
      </c>
      <c r="L11" s="4" t="s">
        <v>229</v>
      </c>
      <c r="M11" s="5">
        <v>233.26325055000001</v>
      </c>
      <c r="N11" s="5">
        <v>1.2</v>
      </c>
      <c r="O11">
        <v>123</v>
      </c>
      <c r="P11">
        <v>7.6969018699999987</v>
      </c>
      <c r="Q11" s="4">
        <v>0.17499999999999999</v>
      </c>
      <c r="R11" s="5">
        <v>7.6969018699999987</v>
      </c>
      <c r="S11" s="5">
        <v>0.17499999999999999</v>
      </c>
      <c r="T11">
        <v>98</v>
      </c>
      <c r="U11">
        <v>2</v>
      </c>
      <c r="V11">
        <v>2</v>
      </c>
      <c r="W11">
        <v>1</v>
      </c>
      <c r="X11">
        <v>30.306122448979597</v>
      </c>
      <c r="Y11">
        <v>9.1666666666666661</v>
      </c>
      <c r="Z11">
        <v>6.8571428571428577</v>
      </c>
      <c r="AA11">
        <v>4</v>
      </c>
      <c r="AC11">
        <f t="shared" si="1"/>
        <v>7.0379146919431275</v>
      </c>
      <c r="AD11">
        <f t="shared" si="0"/>
        <v>14.075829383886255</v>
      </c>
    </row>
    <row r="12" spans="1:30" x14ac:dyDescent="0.25">
      <c r="A12">
        <v>335</v>
      </c>
      <c r="B12">
        <v>5.0265481600000008</v>
      </c>
      <c r="C12" s="4">
        <v>0.2</v>
      </c>
      <c r="D12">
        <v>334</v>
      </c>
      <c r="E12">
        <v>345.57518600000003</v>
      </c>
      <c r="F12" s="4">
        <v>1</v>
      </c>
      <c r="H12" t="s">
        <v>229</v>
      </c>
      <c r="I12" s="4" t="s">
        <v>229</v>
      </c>
      <c r="K12" t="s">
        <v>229</v>
      </c>
      <c r="L12" s="4" t="s">
        <v>229</v>
      </c>
      <c r="M12" s="5">
        <v>345.57518600000003</v>
      </c>
      <c r="N12" s="5">
        <v>1</v>
      </c>
      <c r="O12">
        <v>336</v>
      </c>
      <c r="P12">
        <v>22.619466719999998</v>
      </c>
      <c r="Q12" s="4">
        <v>0.3</v>
      </c>
      <c r="R12" s="5">
        <v>22.619466719999998</v>
      </c>
      <c r="S12" s="5">
        <v>0.3</v>
      </c>
      <c r="T12">
        <v>335</v>
      </c>
      <c r="U12">
        <v>1</v>
      </c>
      <c r="V12">
        <v>1</v>
      </c>
      <c r="W12">
        <v>1</v>
      </c>
      <c r="X12">
        <v>15.27777777777778</v>
      </c>
      <c r="Y12">
        <v>68.75</v>
      </c>
      <c r="Z12">
        <v>3.3333333333333335</v>
      </c>
      <c r="AA12">
        <v>5</v>
      </c>
      <c r="AC12">
        <f t="shared" si="1"/>
        <v>12.500000000000002</v>
      </c>
      <c r="AD12">
        <f t="shared" si="0"/>
        <v>12.500000000000002</v>
      </c>
    </row>
    <row r="13" spans="1:30" x14ac:dyDescent="0.25">
      <c r="A13">
        <v>297</v>
      </c>
      <c r="B13">
        <v>10.053096320000002</v>
      </c>
      <c r="C13" s="4">
        <v>0.2</v>
      </c>
      <c r="D13">
        <v>498</v>
      </c>
      <c r="E13">
        <v>110.58405952000003</v>
      </c>
      <c r="F13" s="4">
        <v>0.4</v>
      </c>
      <c r="G13">
        <v>488</v>
      </c>
      <c r="H13">
        <v>42.411500099999998</v>
      </c>
      <c r="I13" s="4">
        <v>0.3</v>
      </c>
      <c r="K13" t="s">
        <v>229</v>
      </c>
      <c r="L13" s="4" t="s">
        <v>229</v>
      </c>
      <c r="M13" s="5">
        <v>152.99555962000002</v>
      </c>
      <c r="N13" s="5">
        <v>0.7</v>
      </c>
      <c r="O13">
        <v>298</v>
      </c>
      <c r="P13">
        <v>15.707962999999999</v>
      </c>
      <c r="Q13" s="4">
        <v>0.25</v>
      </c>
      <c r="R13" s="5">
        <v>15.707962999999999</v>
      </c>
      <c r="S13" s="5">
        <v>0.25</v>
      </c>
      <c r="T13">
        <v>297</v>
      </c>
      <c r="U13">
        <v>2</v>
      </c>
      <c r="V13">
        <v>2</v>
      </c>
      <c r="W13">
        <v>1</v>
      </c>
      <c r="X13">
        <v>9.740000000000002</v>
      </c>
      <c r="Y13">
        <v>15.21875</v>
      </c>
      <c r="Z13">
        <v>2.8</v>
      </c>
      <c r="AA13">
        <v>3.4999999999999996</v>
      </c>
      <c r="AC13">
        <v>5.9390243902439028</v>
      </c>
      <c r="AD13">
        <f t="shared" si="0"/>
        <v>11.878048780487806</v>
      </c>
    </row>
    <row r="14" spans="1:30" x14ac:dyDescent="0.25">
      <c r="A14">
        <v>169</v>
      </c>
      <c r="B14">
        <v>42.725659360000009</v>
      </c>
      <c r="C14" s="4">
        <v>0.4</v>
      </c>
      <c r="D14">
        <v>167</v>
      </c>
      <c r="E14">
        <v>175.30086708000002</v>
      </c>
      <c r="F14" s="4">
        <v>0.6</v>
      </c>
      <c r="G14">
        <v>177</v>
      </c>
      <c r="H14">
        <v>282.743334</v>
      </c>
      <c r="I14" s="4">
        <v>0.75</v>
      </c>
      <c r="K14" t="s">
        <v>229</v>
      </c>
      <c r="L14" s="4" t="s">
        <v>229</v>
      </c>
      <c r="M14" s="5">
        <v>458.04420107999999</v>
      </c>
      <c r="N14" s="5">
        <v>1.35</v>
      </c>
      <c r="O14">
        <v>163</v>
      </c>
      <c r="P14">
        <v>42.725659360000009</v>
      </c>
      <c r="Q14" s="4">
        <v>0.4</v>
      </c>
      <c r="R14" s="5">
        <v>42.725659360000009</v>
      </c>
      <c r="S14" s="5">
        <v>0.4</v>
      </c>
      <c r="T14">
        <v>169</v>
      </c>
      <c r="U14">
        <v>2</v>
      </c>
      <c r="V14">
        <v>2</v>
      </c>
      <c r="W14">
        <v>1</v>
      </c>
      <c r="X14">
        <v>10.720588235294116</v>
      </c>
      <c r="Y14">
        <v>10.720588235294116</v>
      </c>
      <c r="Z14">
        <v>3.375</v>
      </c>
      <c r="AA14">
        <v>3.375</v>
      </c>
      <c r="AC14">
        <v>5.360294117647058</v>
      </c>
      <c r="AD14">
        <f t="shared" si="0"/>
        <v>10.720588235294116</v>
      </c>
    </row>
    <row r="15" spans="1:30" x14ac:dyDescent="0.25">
      <c r="A15">
        <v>150</v>
      </c>
      <c r="B15">
        <v>19.242254674999998</v>
      </c>
      <c r="C15" s="4">
        <v>0.17499999999999999</v>
      </c>
      <c r="D15">
        <v>446</v>
      </c>
      <c r="E15">
        <v>40.212385280000007</v>
      </c>
      <c r="F15" s="4">
        <v>0.4</v>
      </c>
      <c r="G15">
        <v>88</v>
      </c>
      <c r="H15">
        <v>172.78759300000002</v>
      </c>
      <c r="I15" s="4">
        <v>0.5</v>
      </c>
      <c r="K15" t="s">
        <v>229</v>
      </c>
      <c r="L15" s="4" t="s">
        <v>229</v>
      </c>
      <c r="M15" s="5">
        <v>212.99997828000002</v>
      </c>
      <c r="N15" s="5">
        <v>0.9</v>
      </c>
      <c r="O15">
        <v>151</v>
      </c>
      <c r="P15">
        <v>25.132740800000008</v>
      </c>
      <c r="Q15" s="4">
        <v>0.2</v>
      </c>
      <c r="R15" s="5">
        <v>25.132740800000008</v>
      </c>
      <c r="S15" s="5">
        <v>0.2</v>
      </c>
      <c r="T15">
        <v>150</v>
      </c>
      <c r="U15">
        <v>2</v>
      </c>
      <c r="V15">
        <v>2</v>
      </c>
      <c r="W15">
        <v>1</v>
      </c>
      <c r="X15">
        <v>8.4749999999999979</v>
      </c>
      <c r="Y15">
        <v>11.069387755102044</v>
      </c>
      <c r="Z15">
        <v>4.5</v>
      </c>
      <c r="AA15">
        <v>5.1428571428571432</v>
      </c>
      <c r="AC15">
        <v>4.8</v>
      </c>
      <c r="AD15">
        <f t="shared" si="0"/>
        <v>9.6</v>
      </c>
    </row>
    <row r="16" spans="1:30" x14ac:dyDescent="0.25">
      <c r="A16">
        <v>200</v>
      </c>
      <c r="B16">
        <v>10.053096320000002</v>
      </c>
      <c r="C16" s="4">
        <v>0.2</v>
      </c>
      <c r="D16">
        <v>465</v>
      </c>
      <c r="E16">
        <v>353.42916750000001</v>
      </c>
      <c r="F16" s="4">
        <v>0.75</v>
      </c>
      <c r="H16" t="s">
        <v>229</v>
      </c>
      <c r="I16" s="4" t="s">
        <v>229</v>
      </c>
      <c r="K16" t="s">
        <v>229</v>
      </c>
      <c r="L16" s="4" t="s">
        <v>229</v>
      </c>
      <c r="M16" s="5">
        <v>353.42916750000001</v>
      </c>
      <c r="N16" s="5">
        <v>0.75</v>
      </c>
      <c r="O16">
        <v>202</v>
      </c>
      <c r="P16">
        <v>28.902651920000004</v>
      </c>
      <c r="Q16" s="4">
        <v>0.2</v>
      </c>
      <c r="R16" s="5">
        <v>28.902651920000004</v>
      </c>
      <c r="S16" s="5">
        <v>0.2</v>
      </c>
      <c r="T16">
        <v>200</v>
      </c>
      <c r="U16">
        <v>1</v>
      </c>
      <c r="V16">
        <v>1</v>
      </c>
      <c r="W16">
        <v>1</v>
      </c>
      <c r="X16">
        <v>12.228260869565215</v>
      </c>
      <c r="Y16">
        <v>35.156249999999993</v>
      </c>
      <c r="Z16">
        <v>3.75</v>
      </c>
      <c r="AA16">
        <v>3.75</v>
      </c>
      <c r="AC16">
        <v>9.07258064516129</v>
      </c>
      <c r="AD16">
        <f t="shared" si="0"/>
        <v>9.07258064516129</v>
      </c>
    </row>
    <row r="17" spans="1:30" x14ac:dyDescent="0.25">
      <c r="A17">
        <v>100</v>
      </c>
      <c r="B17">
        <v>36.75663342</v>
      </c>
      <c r="C17" s="4">
        <v>0.3</v>
      </c>
      <c r="D17">
        <v>433</v>
      </c>
      <c r="E17">
        <v>56.799994208000008</v>
      </c>
      <c r="F17" s="4">
        <v>0.4</v>
      </c>
      <c r="G17">
        <v>102</v>
      </c>
      <c r="H17">
        <v>50.265481600000015</v>
      </c>
      <c r="I17" s="4">
        <v>0.4</v>
      </c>
      <c r="J17">
        <v>60</v>
      </c>
      <c r="K17">
        <v>90.477866880000022</v>
      </c>
      <c r="L17" s="4">
        <v>0.4</v>
      </c>
      <c r="M17" s="5">
        <v>197.54334268800005</v>
      </c>
      <c r="N17" s="5">
        <v>1.2000000000000002</v>
      </c>
      <c r="O17">
        <v>99</v>
      </c>
      <c r="P17">
        <v>29.688050070000003</v>
      </c>
      <c r="Q17" s="4">
        <v>0.3</v>
      </c>
      <c r="R17" s="5">
        <v>29.688050070000003</v>
      </c>
      <c r="S17" s="5">
        <v>0.3</v>
      </c>
      <c r="T17">
        <v>100</v>
      </c>
      <c r="U17">
        <v>3</v>
      </c>
      <c r="V17">
        <v>3</v>
      </c>
      <c r="W17">
        <v>1</v>
      </c>
      <c r="X17">
        <v>6.6539682539682552</v>
      </c>
      <c r="Y17">
        <v>5.3743589743589757</v>
      </c>
      <c r="Z17">
        <v>4.0000000000000009</v>
      </c>
      <c r="AA17">
        <v>4.0000000000000009</v>
      </c>
      <c r="AC17">
        <v>2.9730496453900717</v>
      </c>
      <c r="AD17">
        <f t="shared" si="0"/>
        <v>8.919148936170215</v>
      </c>
    </row>
    <row r="18" spans="1:30" x14ac:dyDescent="0.25">
      <c r="A18">
        <v>172</v>
      </c>
      <c r="B18">
        <v>22.619466719999998</v>
      </c>
      <c r="C18" s="4">
        <v>0.3</v>
      </c>
      <c r="D18">
        <v>171</v>
      </c>
      <c r="E18">
        <v>291.57906318750003</v>
      </c>
      <c r="F18" s="4">
        <v>0.75</v>
      </c>
      <c r="G18">
        <v>175</v>
      </c>
      <c r="H18">
        <v>17.649467226800002</v>
      </c>
      <c r="I18" s="4">
        <v>0.26500000000000001</v>
      </c>
      <c r="K18" t="s">
        <v>229</v>
      </c>
      <c r="L18" s="4" t="s">
        <v>229</v>
      </c>
      <c r="M18" s="5">
        <v>309.22853041430005</v>
      </c>
      <c r="N18" s="5">
        <v>1.0150000000000001</v>
      </c>
      <c r="O18">
        <v>166</v>
      </c>
      <c r="P18">
        <v>47.432943172025006</v>
      </c>
      <c r="Q18" s="4">
        <v>0.26500000000000001</v>
      </c>
      <c r="R18" s="5">
        <v>47.432943172025006</v>
      </c>
      <c r="S18" s="5">
        <v>0.26500000000000001</v>
      </c>
      <c r="T18">
        <v>172</v>
      </c>
      <c r="U18">
        <v>2</v>
      </c>
      <c r="V18">
        <v>2</v>
      </c>
      <c r="W18">
        <v>1</v>
      </c>
      <c r="X18">
        <v>6.5192777368425414</v>
      </c>
      <c r="Y18">
        <v>13.670902777777782</v>
      </c>
      <c r="Z18">
        <v>3.8301886792452833</v>
      </c>
      <c r="AA18">
        <v>3.3833333333333337</v>
      </c>
      <c r="AC18">
        <v>4.4142454326828755</v>
      </c>
      <c r="AD18">
        <f t="shared" si="0"/>
        <v>8.828490865365751</v>
      </c>
    </row>
    <row r="19" spans="1:30" x14ac:dyDescent="0.25">
      <c r="A19">
        <v>174</v>
      </c>
      <c r="B19">
        <v>15.874860106874999</v>
      </c>
      <c r="C19" s="4">
        <v>0.17499999999999999</v>
      </c>
      <c r="D19">
        <v>455</v>
      </c>
      <c r="E19">
        <v>291.57906318750003</v>
      </c>
      <c r="F19" s="4">
        <v>0.75</v>
      </c>
      <c r="H19" t="s">
        <v>229</v>
      </c>
      <c r="I19" s="4" t="s">
        <v>229</v>
      </c>
      <c r="K19" t="s">
        <v>229</v>
      </c>
      <c r="L19" s="4" t="s">
        <v>229</v>
      </c>
      <c r="M19" s="5">
        <v>291.57906318750003</v>
      </c>
      <c r="N19" s="5">
        <v>0.75</v>
      </c>
      <c r="O19">
        <v>175</v>
      </c>
      <c r="P19">
        <v>17.649467226800002</v>
      </c>
      <c r="Q19" s="4">
        <v>0.26500000000000001</v>
      </c>
      <c r="R19" s="5">
        <v>17.649467226800002</v>
      </c>
      <c r="S19" s="5">
        <v>0.26500000000000001</v>
      </c>
      <c r="T19">
        <v>174</v>
      </c>
      <c r="U19">
        <v>1</v>
      </c>
      <c r="V19">
        <v>1</v>
      </c>
      <c r="W19">
        <v>1</v>
      </c>
      <c r="X19">
        <v>16.52055891776433</v>
      </c>
      <c r="Y19">
        <v>18.367346938775512</v>
      </c>
      <c r="Z19">
        <v>2.8301886792452828</v>
      </c>
      <c r="AA19">
        <v>4.2857142857142856</v>
      </c>
      <c r="AC19">
        <v>8.6975365765090373</v>
      </c>
      <c r="AD19">
        <f t="shared" si="0"/>
        <v>8.6975365765090373</v>
      </c>
    </row>
    <row r="20" spans="1:30" x14ac:dyDescent="0.25">
      <c r="A20">
        <v>181</v>
      </c>
      <c r="B20">
        <v>7.6969018699999987</v>
      </c>
      <c r="C20" s="4">
        <v>0.17499999999999999</v>
      </c>
      <c r="D20">
        <v>180</v>
      </c>
      <c r="E20">
        <v>20.734511160000007</v>
      </c>
      <c r="F20" s="4">
        <v>0.2</v>
      </c>
      <c r="G20">
        <v>186</v>
      </c>
      <c r="H20">
        <v>17.649467226800002</v>
      </c>
      <c r="I20" s="4">
        <v>0.26500000000000001</v>
      </c>
      <c r="J20">
        <v>458</v>
      </c>
      <c r="K20">
        <v>19.242254674999998</v>
      </c>
      <c r="L20" s="4">
        <v>0.17499999999999999</v>
      </c>
      <c r="M20" s="5">
        <v>57.626233061800008</v>
      </c>
      <c r="N20" s="5">
        <v>0.64</v>
      </c>
      <c r="O20">
        <v>175</v>
      </c>
      <c r="P20">
        <v>17.649467226800002</v>
      </c>
      <c r="Q20" s="4">
        <v>0.26500000000000001</v>
      </c>
      <c r="R20" s="5">
        <v>17.649467226800002</v>
      </c>
      <c r="S20" s="5">
        <v>0.26500000000000001</v>
      </c>
      <c r="T20">
        <v>181</v>
      </c>
      <c r="U20">
        <v>3</v>
      </c>
      <c r="V20">
        <v>3</v>
      </c>
      <c r="W20">
        <v>1</v>
      </c>
      <c r="X20">
        <v>3.2650409398362408</v>
      </c>
      <c r="Y20">
        <v>7.4869387755102066</v>
      </c>
      <c r="Z20">
        <v>2.4150943396226414</v>
      </c>
      <c r="AA20">
        <v>3.6571428571428575</v>
      </c>
      <c r="AC20">
        <v>2.2735498264749632</v>
      </c>
      <c r="AD20">
        <f t="shared" si="0"/>
        <v>6.8206494794248895</v>
      </c>
    </row>
    <row r="21" spans="1:30" x14ac:dyDescent="0.25">
      <c r="A21">
        <v>214</v>
      </c>
      <c r="B21">
        <v>5.7726764024999992</v>
      </c>
      <c r="C21" s="4">
        <v>0.17499999999999999</v>
      </c>
      <c r="D21">
        <v>473</v>
      </c>
      <c r="E21">
        <v>25.977043811249995</v>
      </c>
      <c r="F21" s="4">
        <v>0.17499999999999999</v>
      </c>
      <c r="G21">
        <v>213</v>
      </c>
      <c r="H21">
        <v>9.621127337499999</v>
      </c>
      <c r="I21" s="4">
        <v>0.17499999999999999</v>
      </c>
      <c r="K21" t="s">
        <v>229</v>
      </c>
      <c r="L21" s="4" t="s">
        <v>229</v>
      </c>
      <c r="M21" s="5">
        <v>35.598171148749998</v>
      </c>
      <c r="N21" s="5">
        <v>0.35</v>
      </c>
      <c r="O21">
        <v>215</v>
      </c>
      <c r="P21">
        <v>6.2831852000000019</v>
      </c>
      <c r="Q21" s="4">
        <v>0.2</v>
      </c>
      <c r="R21" s="5">
        <v>6.2831852000000019</v>
      </c>
      <c r="S21" s="5">
        <v>0.2</v>
      </c>
      <c r="T21">
        <v>214</v>
      </c>
      <c r="U21">
        <v>2</v>
      </c>
      <c r="V21">
        <v>2</v>
      </c>
      <c r="W21">
        <v>1</v>
      </c>
      <c r="X21">
        <v>5.6656249999999977</v>
      </c>
      <c r="Y21">
        <v>6.166666666666667</v>
      </c>
      <c r="Z21">
        <v>1.7499999999999998</v>
      </c>
      <c r="AA21">
        <v>2</v>
      </c>
      <c r="AC21">
        <v>2.9527687296416931</v>
      </c>
      <c r="AD21">
        <f t="shared" si="0"/>
        <v>5.9055374592833862</v>
      </c>
    </row>
    <row r="22" spans="1:30" x14ac:dyDescent="0.25">
      <c r="A22">
        <v>33</v>
      </c>
      <c r="B22">
        <v>17.649467226800002</v>
      </c>
      <c r="C22" s="4">
        <v>0.26500000000000001</v>
      </c>
      <c r="D22">
        <v>512</v>
      </c>
      <c r="E22">
        <v>21.166480142499999</v>
      </c>
      <c r="F22" s="4">
        <v>0.17499999999999999</v>
      </c>
      <c r="G22">
        <v>393</v>
      </c>
      <c r="H22">
        <v>21.647536509374998</v>
      </c>
      <c r="I22" s="4">
        <v>0.17499999999999999</v>
      </c>
      <c r="J22">
        <v>32</v>
      </c>
      <c r="K22">
        <v>26.474200840200002</v>
      </c>
      <c r="L22" s="4">
        <v>0.26500000000000001</v>
      </c>
      <c r="M22" s="5">
        <v>69.288217492074992</v>
      </c>
      <c r="N22" s="5">
        <v>0.61499999999999999</v>
      </c>
      <c r="O22">
        <v>34</v>
      </c>
      <c r="P22">
        <v>17.649467226800002</v>
      </c>
      <c r="Q22" s="4">
        <v>0.26500000000000001</v>
      </c>
      <c r="R22" s="5">
        <v>17.649467226800002</v>
      </c>
      <c r="S22" s="5">
        <v>0.26500000000000001</v>
      </c>
      <c r="T22">
        <v>33</v>
      </c>
      <c r="U22">
        <v>3</v>
      </c>
      <c r="V22">
        <v>3</v>
      </c>
      <c r="W22">
        <v>1</v>
      </c>
      <c r="X22">
        <v>3.9257965468138116</v>
      </c>
      <c r="Y22">
        <v>3.9257965468138116</v>
      </c>
      <c r="Z22">
        <v>2.3207547169811318</v>
      </c>
      <c r="AA22">
        <v>2.3207547169811318</v>
      </c>
      <c r="AC22">
        <v>1.9628982734069058</v>
      </c>
      <c r="AD22">
        <f t="shared" si="0"/>
        <v>5.8886948202207172</v>
      </c>
    </row>
    <row r="23" spans="1:30" x14ac:dyDescent="0.25">
      <c r="A23">
        <v>39</v>
      </c>
      <c r="B23">
        <v>40.212385280000007</v>
      </c>
      <c r="C23" s="4">
        <v>0.4</v>
      </c>
      <c r="D23">
        <v>403</v>
      </c>
      <c r="E23">
        <v>21.647536509374998</v>
      </c>
      <c r="F23" s="4">
        <v>0.17499999999999999</v>
      </c>
      <c r="G23">
        <v>337</v>
      </c>
      <c r="H23">
        <v>115.61060768000002</v>
      </c>
      <c r="I23" s="4">
        <v>0.4</v>
      </c>
      <c r="J23">
        <v>38</v>
      </c>
      <c r="K23">
        <v>17.649467226800002</v>
      </c>
      <c r="L23" s="4">
        <v>0.26500000000000001</v>
      </c>
      <c r="M23" s="5">
        <v>154.907611416175</v>
      </c>
      <c r="N23" s="5">
        <v>0.84</v>
      </c>
      <c r="O23">
        <v>40</v>
      </c>
      <c r="P23">
        <v>40.212385280000007</v>
      </c>
      <c r="Q23" s="4">
        <v>0.4</v>
      </c>
      <c r="R23" s="5">
        <v>40.212385280000007</v>
      </c>
      <c r="S23" s="5">
        <v>0.4</v>
      </c>
      <c r="T23">
        <v>39</v>
      </c>
      <c r="U23">
        <v>3</v>
      </c>
      <c r="V23">
        <v>3</v>
      </c>
      <c r="W23">
        <v>1</v>
      </c>
      <c r="X23">
        <v>3.8522363281249996</v>
      </c>
      <c r="Y23">
        <v>3.8522363281249996</v>
      </c>
      <c r="Z23">
        <v>2.0999999999999996</v>
      </c>
      <c r="AA23">
        <v>2.0999999999999996</v>
      </c>
      <c r="AC23">
        <v>1.9261181640624998</v>
      </c>
      <c r="AD23">
        <f t="shared" si="0"/>
        <v>5.7783544921874999</v>
      </c>
    </row>
    <row r="24" spans="1:30" x14ac:dyDescent="0.25">
      <c r="A24">
        <v>213</v>
      </c>
      <c r="B24">
        <v>9.621127337499999</v>
      </c>
      <c r="C24" s="4">
        <v>0.17499999999999999</v>
      </c>
      <c r="D24">
        <v>474</v>
      </c>
      <c r="E24">
        <v>24.052818343749998</v>
      </c>
      <c r="F24" s="4">
        <v>0.17499999999999999</v>
      </c>
      <c r="G24">
        <v>217</v>
      </c>
      <c r="H24">
        <v>19.242254674999998</v>
      </c>
      <c r="I24" s="4">
        <v>0.17499999999999999</v>
      </c>
      <c r="K24" t="s">
        <v>229</v>
      </c>
      <c r="L24" s="4" t="s">
        <v>229</v>
      </c>
      <c r="M24" s="5">
        <v>43.295073018749996</v>
      </c>
      <c r="N24" s="5">
        <v>0.35</v>
      </c>
      <c r="O24">
        <v>214</v>
      </c>
      <c r="P24">
        <v>5.7726764024999992</v>
      </c>
      <c r="Q24" s="4">
        <v>0.17499999999999999</v>
      </c>
      <c r="R24" s="5">
        <v>5.7726764024999992</v>
      </c>
      <c r="S24" s="5">
        <v>0.17499999999999999</v>
      </c>
      <c r="T24">
        <v>213</v>
      </c>
      <c r="U24">
        <v>2</v>
      </c>
      <c r="V24">
        <v>2</v>
      </c>
      <c r="W24">
        <v>1</v>
      </c>
      <c r="X24">
        <v>7.5</v>
      </c>
      <c r="Y24">
        <v>4.5</v>
      </c>
      <c r="Z24">
        <v>2</v>
      </c>
      <c r="AA24">
        <v>2</v>
      </c>
      <c r="AC24">
        <v>2.8125</v>
      </c>
      <c r="AD24">
        <f t="shared" si="0"/>
        <v>5.625</v>
      </c>
    </row>
    <row r="25" spans="1:30" x14ac:dyDescent="0.25">
      <c r="A25">
        <v>56</v>
      </c>
      <c r="B25">
        <v>7.6969018699999987</v>
      </c>
      <c r="C25" s="4">
        <v>0.17499999999999999</v>
      </c>
      <c r="D25">
        <v>427</v>
      </c>
      <c r="E25">
        <v>21.647536509374998</v>
      </c>
      <c r="F25" s="4">
        <v>0.17499999999999999</v>
      </c>
      <c r="G25">
        <v>358</v>
      </c>
      <c r="H25">
        <v>25.014931077499998</v>
      </c>
      <c r="I25" s="4">
        <v>0.17499999999999999</v>
      </c>
      <c r="J25">
        <v>350</v>
      </c>
      <c r="K25">
        <v>7.6969018699999987</v>
      </c>
      <c r="L25" s="4">
        <v>0.17499999999999999</v>
      </c>
      <c r="M25" s="5">
        <v>54.359369456874994</v>
      </c>
      <c r="N25" s="5">
        <v>0.52499999999999991</v>
      </c>
      <c r="O25">
        <v>55</v>
      </c>
      <c r="P25">
        <v>21.647536509374998</v>
      </c>
      <c r="Q25" s="4">
        <v>0.17499999999999999</v>
      </c>
      <c r="R25" s="5">
        <v>21.647536509374998</v>
      </c>
      <c r="S25" s="5">
        <v>0.17499999999999999</v>
      </c>
      <c r="T25">
        <v>56</v>
      </c>
      <c r="U25">
        <v>3</v>
      </c>
      <c r="V25">
        <v>3</v>
      </c>
      <c r="W25">
        <v>1</v>
      </c>
      <c r="X25">
        <v>2.5111111111111111</v>
      </c>
      <c r="Y25">
        <v>7.0625</v>
      </c>
      <c r="Z25">
        <v>2.9999999999999996</v>
      </c>
      <c r="AA25">
        <v>2.9999999999999996</v>
      </c>
      <c r="AC25">
        <v>1.8524590163934427</v>
      </c>
      <c r="AD25">
        <f t="shared" si="0"/>
        <v>5.557377049180328</v>
      </c>
    </row>
    <row r="26" spans="1:30" x14ac:dyDescent="0.25">
      <c r="A26">
        <v>37</v>
      </c>
      <c r="B26">
        <v>17.649467226800002</v>
      </c>
      <c r="C26" s="4">
        <v>0.26500000000000001</v>
      </c>
      <c r="D26">
        <v>518</v>
      </c>
      <c r="E26">
        <v>22.128592876249996</v>
      </c>
      <c r="F26" s="4">
        <v>0.17499999999999999</v>
      </c>
      <c r="G26">
        <v>399</v>
      </c>
      <c r="H26">
        <v>21.647536509374998</v>
      </c>
      <c r="I26" s="4">
        <v>0.17499999999999999</v>
      </c>
      <c r="J26">
        <v>36</v>
      </c>
      <c r="K26">
        <v>17.649467226800002</v>
      </c>
      <c r="L26" s="4">
        <v>0.26500000000000001</v>
      </c>
      <c r="M26" s="5">
        <v>61.425596612424997</v>
      </c>
      <c r="N26" s="5">
        <v>0.61499999999999999</v>
      </c>
      <c r="O26">
        <v>38</v>
      </c>
      <c r="P26">
        <v>17.649467226800002</v>
      </c>
      <c r="Q26" s="4">
        <v>0.26500000000000001</v>
      </c>
      <c r="R26" s="5">
        <v>17.649467226800002</v>
      </c>
      <c r="S26" s="5">
        <v>0.26500000000000001</v>
      </c>
      <c r="T26">
        <v>37</v>
      </c>
      <c r="U26">
        <v>3</v>
      </c>
      <c r="V26">
        <v>3</v>
      </c>
      <c r="W26">
        <v>1</v>
      </c>
      <c r="X26">
        <v>3.4803088287646844</v>
      </c>
      <c r="Y26">
        <v>3.4803088287646844</v>
      </c>
      <c r="Z26">
        <v>2.3207547169811318</v>
      </c>
      <c r="AA26">
        <v>2.3207547169811318</v>
      </c>
      <c r="AC26">
        <v>1.7401544143823422</v>
      </c>
      <c r="AD26">
        <f t="shared" si="0"/>
        <v>5.2204632431470266</v>
      </c>
    </row>
    <row r="27" spans="1:30" x14ac:dyDescent="0.25">
      <c r="A27">
        <v>27</v>
      </c>
      <c r="B27">
        <v>141.371667</v>
      </c>
      <c r="C27" s="4">
        <v>0.75</v>
      </c>
      <c r="D27">
        <v>344</v>
      </c>
      <c r="E27">
        <v>441.78645937499999</v>
      </c>
      <c r="F27" s="4">
        <v>0.75</v>
      </c>
      <c r="G27">
        <v>28</v>
      </c>
      <c r="H27">
        <v>90.477866879999993</v>
      </c>
      <c r="I27" s="4">
        <v>0.6</v>
      </c>
      <c r="K27" t="s">
        <v>229</v>
      </c>
      <c r="L27" s="4" t="s">
        <v>229</v>
      </c>
      <c r="M27" s="5">
        <v>532.26432625500001</v>
      </c>
      <c r="N27" s="5">
        <v>1.35</v>
      </c>
      <c r="O27">
        <v>26</v>
      </c>
      <c r="P27">
        <v>70.685833500000001</v>
      </c>
      <c r="Q27" s="4">
        <v>0.75</v>
      </c>
      <c r="R27" s="5">
        <v>70.685833500000001</v>
      </c>
      <c r="S27" s="5">
        <v>0.75</v>
      </c>
      <c r="T27">
        <v>27</v>
      </c>
      <c r="U27">
        <v>2</v>
      </c>
      <c r="V27">
        <v>2</v>
      </c>
      <c r="W27">
        <v>1</v>
      </c>
      <c r="X27">
        <v>7.53</v>
      </c>
      <c r="Y27">
        <v>3.7650000000000001</v>
      </c>
      <c r="Z27">
        <v>1.8</v>
      </c>
      <c r="AA27">
        <v>1.8</v>
      </c>
      <c r="AC27">
        <v>2.5100000000000002</v>
      </c>
      <c r="AD27">
        <f t="shared" si="0"/>
        <v>5.0200000000000005</v>
      </c>
    </row>
    <row r="28" spans="1:30" x14ac:dyDescent="0.25">
      <c r="A28">
        <v>225</v>
      </c>
      <c r="B28">
        <v>17.649467226800002</v>
      </c>
      <c r="C28" s="4">
        <v>0.26500000000000001</v>
      </c>
      <c r="D28">
        <v>478</v>
      </c>
      <c r="E28">
        <v>20.204367408749999</v>
      </c>
      <c r="F28" s="4">
        <v>0.17499999999999999</v>
      </c>
      <c r="G28">
        <v>392</v>
      </c>
      <c r="H28">
        <v>21.166480142499999</v>
      </c>
      <c r="I28" s="4">
        <v>0.17499999999999999</v>
      </c>
      <c r="J28">
        <v>226</v>
      </c>
      <c r="K28">
        <v>17.649467226800002</v>
      </c>
      <c r="L28" s="4">
        <v>0.26500000000000001</v>
      </c>
      <c r="M28" s="5">
        <v>59.020314778049993</v>
      </c>
      <c r="N28" s="5">
        <v>0.61499999999999999</v>
      </c>
      <c r="O28">
        <v>222</v>
      </c>
      <c r="P28">
        <v>17.649467226800002</v>
      </c>
      <c r="Q28" s="4">
        <v>0.26500000000000001</v>
      </c>
      <c r="R28" s="5">
        <v>17.649467226800002</v>
      </c>
      <c r="S28" s="5">
        <v>0.26500000000000001</v>
      </c>
      <c r="T28">
        <v>225</v>
      </c>
      <c r="U28">
        <v>3</v>
      </c>
      <c r="V28">
        <v>3</v>
      </c>
      <c r="W28">
        <v>1</v>
      </c>
      <c r="X28">
        <v>3.3440281238875036</v>
      </c>
      <c r="Y28">
        <v>3.3440281238875036</v>
      </c>
      <c r="Z28">
        <v>2.3207547169811318</v>
      </c>
      <c r="AA28">
        <v>2.3207547169811318</v>
      </c>
      <c r="AC28">
        <v>1.6720140619437518</v>
      </c>
      <c r="AD28">
        <f t="shared" si="0"/>
        <v>5.0160421858312549</v>
      </c>
    </row>
    <row r="29" spans="1:30" x14ac:dyDescent="0.25">
      <c r="A29">
        <v>216</v>
      </c>
      <c r="B29">
        <v>14.451325960000002</v>
      </c>
      <c r="C29" s="4">
        <v>0.2</v>
      </c>
      <c r="D29">
        <v>471</v>
      </c>
      <c r="E29">
        <v>22.705860516499996</v>
      </c>
      <c r="F29" s="4">
        <v>0.17499999999999999</v>
      </c>
      <c r="G29">
        <v>275</v>
      </c>
      <c r="H29">
        <v>28.863382012499997</v>
      </c>
      <c r="I29" s="4">
        <v>0.17499999999999999</v>
      </c>
      <c r="J29">
        <v>215</v>
      </c>
      <c r="K29">
        <v>6.2831852000000019</v>
      </c>
      <c r="L29" s="4">
        <v>0.2</v>
      </c>
      <c r="M29" s="5">
        <v>57.852427728999999</v>
      </c>
      <c r="N29" s="5">
        <v>0.55000000000000004</v>
      </c>
      <c r="O29">
        <v>195</v>
      </c>
      <c r="P29">
        <v>20.734511160000007</v>
      </c>
      <c r="Q29" s="4">
        <v>0.2</v>
      </c>
      <c r="R29" s="5">
        <v>20.734511160000007</v>
      </c>
      <c r="S29" s="5">
        <v>0.2</v>
      </c>
      <c r="T29">
        <v>216</v>
      </c>
      <c r="U29">
        <v>3</v>
      </c>
      <c r="V29">
        <v>3</v>
      </c>
      <c r="W29">
        <v>1</v>
      </c>
      <c r="X29">
        <v>2.7901515151515142</v>
      </c>
      <c r="Y29">
        <v>4.0032608695652172</v>
      </c>
      <c r="Z29">
        <v>2.75</v>
      </c>
      <c r="AA29">
        <v>2.75</v>
      </c>
      <c r="AC29">
        <v>1.6441964285714281</v>
      </c>
      <c r="AD29">
        <f t="shared" si="0"/>
        <v>4.9325892857142843</v>
      </c>
    </row>
    <row r="30" spans="1:30" x14ac:dyDescent="0.25">
      <c r="A30">
        <v>54</v>
      </c>
      <c r="B30">
        <v>7.6969018699999987</v>
      </c>
      <c r="C30" s="4">
        <v>0.17499999999999999</v>
      </c>
      <c r="D30">
        <v>425</v>
      </c>
      <c r="E30">
        <v>21.647536509374998</v>
      </c>
      <c r="F30" s="4">
        <v>0.17499999999999999</v>
      </c>
      <c r="G30">
        <v>379</v>
      </c>
      <c r="H30">
        <v>7.6969018699999987</v>
      </c>
      <c r="I30" s="4">
        <v>0.17499999999999999</v>
      </c>
      <c r="J30">
        <v>360</v>
      </c>
      <c r="K30">
        <v>25.014931077499998</v>
      </c>
      <c r="L30" s="4">
        <v>0.17499999999999999</v>
      </c>
      <c r="M30" s="5">
        <v>54.359369456874994</v>
      </c>
      <c r="N30" s="5">
        <v>0.52499999999999991</v>
      </c>
      <c r="O30">
        <v>53</v>
      </c>
      <c r="P30">
        <v>28.274333400000007</v>
      </c>
      <c r="Q30" s="4">
        <v>0.2</v>
      </c>
      <c r="R30" s="5">
        <v>28.274333400000007</v>
      </c>
      <c r="S30" s="5">
        <v>0.2</v>
      </c>
      <c r="T30">
        <v>54</v>
      </c>
      <c r="U30">
        <v>3</v>
      </c>
      <c r="V30">
        <v>3</v>
      </c>
      <c r="W30">
        <v>1</v>
      </c>
      <c r="X30">
        <v>1.9225694444444437</v>
      </c>
      <c r="Y30">
        <v>7.0625</v>
      </c>
      <c r="Z30">
        <v>2.6249999999999996</v>
      </c>
      <c r="AA30">
        <v>2.9999999999999996</v>
      </c>
      <c r="AC30">
        <v>1.5111899563318771</v>
      </c>
      <c r="AD30">
        <f t="shared" si="0"/>
        <v>4.533569868995631</v>
      </c>
    </row>
    <row r="31" spans="1:30" x14ac:dyDescent="0.25">
      <c r="A31">
        <v>227</v>
      </c>
      <c r="B31">
        <v>33.092751050250008</v>
      </c>
      <c r="C31" s="4">
        <v>0.26500000000000001</v>
      </c>
      <c r="D31">
        <v>390</v>
      </c>
      <c r="E31">
        <v>26.939156544999996</v>
      </c>
      <c r="F31" s="4">
        <v>0.17499999999999999</v>
      </c>
      <c r="G31">
        <v>273</v>
      </c>
      <c r="H31">
        <v>76.969018699999992</v>
      </c>
      <c r="I31" s="4">
        <v>0.17499999999999999</v>
      </c>
      <c r="K31" t="s">
        <v>229</v>
      </c>
      <c r="L31" s="4" t="s">
        <v>229</v>
      </c>
      <c r="M31" s="5">
        <v>103.908175245</v>
      </c>
      <c r="N31" s="5">
        <v>0.35</v>
      </c>
      <c r="O31">
        <v>226</v>
      </c>
      <c r="P31">
        <v>17.649467226800002</v>
      </c>
      <c r="Q31" s="4">
        <v>0.26500000000000001</v>
      </c>
      <c r="R31" s="5">
        <v>17.649467226800002</v>
      </c>
      <c r="S31" s="5">
        <v>0.26500000000000001</v>
      </c>
      <c r="T31">
        <v>227</v>
      </c>
      <c r="U31">
        <v>2</v>
      </c>
      <c r="V31">
        <v>2</v>
      </c>
      <c r="W31">
        <v>1</v>
      </c>
      <c r="X31">
        <v>5.8873264506941965</v>
      </c>
      <c r="Y31">
        <v>3.1399074403702376</v>
      </c>
      <c r="Z31">
        <v>1.320754716981132</v>
      </c>
      <c r="AA31">
        <v>1.320754716981132</v>
      </c>
      <c r="AC31">
        <v>2.0477657219805896</v>
      </c>
      <c r="AD31">
        <f t="shared" si="0"/>
        <v>4.0955314439611792</v>
      </c>
    </row>
    <row r="32" spans="1:30" x14ac:dyDescent="0.25">
      <c r="A32">
        <v>223</v>
      </c>
      <c r="B32">
        <v>2.8863382012499996</v>
      </c>
      <c r="C32" s="4">
        <v>0.17499999999999999</v>
      </c>
      <c r="D32">
        <v>269</v>
      </c>
      <c r="E32">
        <v>26.474200840200002</v>
      </c>
      <c r="F32" s="4">
        <v>0.26500000000000001</v>
      </c>
      <c r="H32" t="s">
        <v>229</v>
      </c>
      <c r="I32" s="4" t="s">
        <v>229</v>
      </c>
      <c r="K32" t="s">
        <v>229</v>
      </c>
      <c r="L32" s="4" t="s">
        <v>229</v>
      </c>
      <c r="M32" s="5">
        <v>26.474200840200002</v>
      </c>
      <c r="N32" s="5">
        <v>0.26500000000000001</v>
      </c>
      <c r="O32">
        <v>284</v>
      </c>
      <c r="P32">
        <v>3.7699111200000006</v>
      </c>
      <c r="Q32" s="4">
        <v>0.2</v>
      </c>
      <c r="R32" s="5">
        <v>3.7699111200000006</v>
      </c>
      <c r="S32" s="5">
        <v>0.2</v>
      </c>
      <c r="T32">
        <v>223</v>
      </c>
      <c r="U32">
        <v>1</v>
      </c>
      <c r="V32">
        <v>1</v>
      </c>
      <c r="W32">
        <v>1</v>
      </c>
      <c r="X32">
        <v>7.0224999999999991</v>
      </c>
      <c r="Y32">
        <v>9.1722448979591853</v>
      </c>
      <c r="Z32">
        <v>1.325</v>
      </c>
      <c r="AA32">
        <v>1.5142857142857145</v>
      </c>
      <c r="AC32">
        <v>3.9773451327433631</v>
      </c>
      <c r="AD32">
        <f t="shared" si="0"/>
        <v>3.9773451327433631</v>
      </c>
    </row>
    <row r="33" spans="1:30" x14ac:dyDescent="0.25">
      <c r="A33">
        <v>63</v>
      </c>
      <c r="B33">
        <v>10.102183704374999</v>
      </c>
      <c r="C33" s="4">
        <v>0.17499999999999999</v>
      </c>
      <c r="D33">
        <v>65</v>
      </c>
      <c r="E33">
        <v>24.052818343749998</v>
      </c>
      <c r="F33" s="4">
        <v>0.17499999999999999</v>
      </c>
      <c r="G33">
        <v>64</v>
      </c>
      <c r="H33">
        <v>15.874860106874999</v>
      </c>
      <c r="I33" s="4">
        <v>0.17499999999999999</v>
      </c>
      <c r="K33" t="s">
        <v>229</v>
      </c>
      <c r="L33" s="4" t="s">
        <v>229</v>
      </c>
      <c r="M33" s="5">
        <v>39.927678450624995</v>
      </c>
      <c r="N33" s="5">
        <v>0.35</v>
      </c>
      <c r="O33">
        <v>103</v>
      </c>
      <c r="P33">
        <v>10.102183704374999</v>
      </c>
      <c r="Q33" s="4">
        <v>0.17499999999999999</v>
      </c>
      <c r="R33" s="5">
        <v>10.102183704374999</v>
      </c>
      <c r="S33" s="5">
        <v>0.17499999999999999</v>
      </c>
      <c r="T33">
        <v>63</v>
      </c>
      <c r="U33">
        <v>2</v>
      </c>
      <c r="V33">
        <v>2</v>
      </c>
      <c r="W33">
        <v>1</v>
      </c>
      <c r="X33">
        <v>3.9523809523809521</v>
      </c>
      <c r="Y33">
        <v>3.9523809523809521</v>
      </c>
      <c r="Z33">
        <v>2</v>
      </c>
      <c r="AA33">
        <v>2</v>
      </c>
      <c r="AC33">
        <v>1.9761904761904761</v>
      </c>
      <c r="AD33">
        <f t="shared" si="0"/>
        <v>3.9523809523809521</v>
      </c>
    </row>
    <row r="34" spans="1:30" x14ac:dyDescent="0.25">
      <c r="A34">
        <v>106</v>
      </c>
      <c r="B34">
        <v>13.469578272499998</v>
      </c>
      <c r="C34" s="4">
        <v>0.17499999999999999</v>
      </c>
      <c r="D34">
        <v>107</v>
      </c>
      <c r="E34">
        <v>20.204367408749999</v>
      </c>
      <c r="F34" s="4">
        <v>0.17499999999999999</v>
      </c>
      <c r="G34">
        <v>105</v>
      </c>
      <c r="H34">
        <v>30.787607479999995</v>
      </c>
      <c r="I34" s="4">
        <v>0.17499999999999999</v>
      </c>
      <c r="K34" t="s">
        <v>229</v>
      </c>
      <c r="L34" s="4" t="s">
        <v>229</v>
      </c>
      <c r="M34" s="5">
        <v>50.991974888749994</v>
      </c>
      <c r="N34" s="5">
        <v>0.35</v>
      </c>
      <c r="O34">
        <v>110</v>
      </c>
      <c r="P34">
        <v>17.592918560000005</v>
      </c>
      <c r="Q34" s="4">
        <v>0.2</v>
      </c>
      <c r="R34" s="5">
        <v>17.592918560000005</v>
      </c>
      <c r="S34" s="5">
        <v>0.2</v>
      </c>
      <c r="T34">
        <v>106</v>
      </c>
      <c r="U34">
        <v>2</v>
      </c>
      <c r="V34">
        <v>2</v>
      </c>
      <c r="W34">
        <v>1</v>
      </c>
      <c r="X34">
        <v>2.8984374999999987</v>
      </c>
      <c r="Y34">
        <v>3.7857142857142856</v>
      </c>
      <c r="Z34">
        <v>1.7499999999999998</v>
      </c>
      <c r="AA34">
        <v>2</v>
      </c>
      <c r="AC34">
        <v>1.6415929203539819</v>
      </c>
      <c r="AD34">
        <f t="shared" ref="AD34:AD65" si="2">AC34*U34</f>
        <v>3.2831858407079637</v>
      </c>
    </row>
    <row r="35" spans="1:30" x14ac:dyDescent="0.25">
      <c r="A35">
        <v>38</v>
      </c>
      <c r="B35">
        <v>17.649467226800002</v>
      </c>
      <c r="C35" s="4">
        <v>0.26500000000000001</v>
      </c>
      <c r="D35">
        <v>520</v>
      </c>
      <c r="E35">
        <v>22.128592876249996</v>
      </c>
      <c r="F35" s="4">
        <v>0.17499999999999999</v>
      </c>
      <c r="G35">
        <v>401</v>
      </c>
      <c r="H35">
        <v>21.647536509374998</v>
      </c>
      <c r="I35" s="4">
        <v>0.17499999999999999</v>
      </c>
      <c r="J35">
        <v>37</v>
      </c>
      <c r="K35">
        <v>17.649467226800002</v>
      </c>
      <c r="L35" s="4">
        <v>0.26500000000000001</v>
      </c>
      <c r="M35" s="5">
        <v>61.425596612424997</v>
      </c>
      <c r="N35" s="5">
        <v>0.61499999999999999</v>
      </c>
      <c r="O35">
        <v>39</v>
      </c>
      <c r="P35">
        <v>40.212385280000007</v>
      </c>
      <c r="Q35" s="4">
        <v>0.4</v>
      </c>
      <c r="R35" s="5">
        <v>40.212385280000007</v>
      </c>
      <c r="S35" s="5">
        <v>0.4</v>
      </c>
      <c r="T35">
        <v>38</v>
      </c>
      <c r="U35">
        <v>3</v>
      </c>
      <c r="V35">
        <v>3</v>
      </c>
      <c r="W35">
        <v>1</v>
      </c>
      <c r="X35">
        <v>1.5275292968749996</v>
      </c>
      <c r="Y35">
        <v>3.4803088287646844</v>
      </c>
      <c r="Z35">
        <v>1.5374999999999999</v>
      </c>
      <c r="AA35">
        <v>2.3207547169811318</v>
      </c>
      <c r="AC35">
        <v>1.0615905635791072</v>
      </c>
      <c r="AD35">
        <f t="shared" si="2"/>
        <v>3.1847716907373216</v>
      </c>
    </row>
    <row r="36" spans="1:30" x14ac:dyDescent="0.25">
      <c r="A36">
        <v>16</v>
      </c>
      <c r="B36">
        <v>57.36076848710001</v>
      </c>
      <c r="C36" s="4">
        <v>0.26500000000000001</v>
      </c>
      <c r="D36">
        <v>15</v>
      </c>
      <c r="E36">
        <v>251.32740799999999</v>
      </c>
      <c r="F36" s="4">
        <v>1</v>
      </c>
      <c r="H36" t="s">
        <v>229</v>
      </c>
      <c r="I36" s="4" t="s">
        <v>229</v>
      </c>
      <c r="K36" t="s">
        <v>229</v>
      </c>
      <c r="L36" s="4" t="s">
        <v>229</v>
      </c>
      <c r="M36" s="5">
        <v>251.32740799999999</v>
      </c>
      <c r="N36" s="5">
        <v>1</v>
      </c>
      <c r="O36">
        <v>55</v>
      </c>
      <c r="P36">
        <v>21.647536509374998</v>
      </c>
      <c r="Q36" s="4">
        <v>0.17499999999999999</v>
      </c>
      <c r="R36" s="5">
        <v>21.647536509374998</v>
      </c>
      <c r="S36" s="5">
        <v>0.17499999999999999</v>
      </c>
      <c r="T36">
        <v>16</v>
      </c>
      <c r="U36">
        <v>1</v>
      </c>
      <c r="V36">
        <v>1</v>
      </c>
      <c r="W36">
        <v>1</v>
      </c>
      <c r="X36">
        <v>11.609977324263038</v>
      </c>
      <c r="Y36">
        <v>4.3815209354547191</v>
      </c>
      <c r="Z36">
        <v>5.7142857142857144</v>
      </c>
      <c r="AA36">
        <v>3.773584905660377</v>
      </c>
      <c r="AC36">
        <v>3.1810251847728299</v>
      </c>
      <c r="AD36">
        <f t="shared" si="2"/>
        <v>3.1810251847728299</v>
      </c>
    </row>
    <row r="37" spans="1:30" x14ac:dyDescent="0.25">
      <c r="A37">
        <v>44</v>
      </c>
      <c r="B37">
        <v>40.212385280000007</v>
      </c>
      <c r="C37" s="4">
        <v>0.4</v>
      </c>
      <c r="D37">
        <v>370</v>
      </c>
      <c r="E37">
        <v>23.090705609999997</v>
      </c>
      <c r="F37" s="4">
        <v>0.17499999999999999</v>
      </c>
      <c r="G37">
        <v>414</v>
      </c>
      <c r="H37">
        <v>21.647536509374998</v>
      </c>
      <c r="I37" s="4">
        <v>0.17499999999999999</v>
      </c>
      <c r="J37">
        <v>43</v>
      </c>
      <c r="K37">
        <v>40.212385280000007</v>
      </c>
      <c r="L37" s="4">
        <v>0.4</v>
      </c>
      <c r="M37" s="5">
        <v>84.950627399375009</v>
      </c>
      <c r="N37" s="5">
        <v>0.75</v>
      </c>
      <c r="O37">
        <v>45</v>
      </c>
      <c r="P37">
        <v>40.212385280000007</v>
      </c>
      <c r="Q37" s="4">
        <v>0.4</v>
      </c>
      <c r="R37" s="5">
        <v>40.212385280000007</v>
      </c>
      <c r="S37" s="5">
        <v>0.4</v>
      </c>
      <c r="T37">
        <v>44</v>
      </c>
      <c r="U37">
        <v>3</v>
      </c>
      <c r="V37">
        <v>3</v>
      </c>
      <c r="W37">
        <v>1</v>
      </c>
      <c r="X37">
        <v>2.112548828125</v>
      </c>
      <c r="Y37">
        <v>2.112548828125</v>
      </c>
      <c r="Z37">
        <v>1.875</v>
      </c>
      <c r="AA37">
        <v>1.875</v>
      </c>
      <c r="AC37">
        <v>1.0562744140625</v>
      </c>
      <c r="AD37">
        <f t="shared" si="2"/>
        <v>3.1688232421875</v>
      </c>
    </row>
    <row r="38" spans="1:30" x14ac:dyDescent="0.25">
      <c r="A38">
        <v>43</v>
      </c>
      <c r="B38">
        <v>40.212385280000007</v>
      </c>
      <c r="C38" s="4">
        <v>0.4</v>
      </c>
      <c r="D38">
        <v>412</v>
      </c>
      <c r="E38">
        <v>21.647536509374998</v>
      </c>
      <c r="F38" s="4">
        <v>0.17499999999999999</v>
      </c>
      <c r="G38">
        <v>371</v>
      </c>
      <c r="H38">
        <v>23.090705609999997</v>
      </c>
      <c r="I38" s="4">
        <v>0.17499999999999999</v>
      </c>
      <c r="J38">
        <v>42</v>
      </c>
      <c r="K38">
        <v>40.212385280000007</v>
      </c>
      <c r="L38" s="4">
        <v>0.4</v>
      </c>
      <c r="M38" s="5">
        <v>84.950627399375009</v>
      </c>
      <c r="N38" s="5">
        <v>0.75</v>
      </c>
      <c r="O38">
        <v>44</v>
      </c>
      <c r="P38">
        <v>40.212385280000007</v>
      </c>
      <c r="Q38" s="4">
        <v>0.4</v>
      </c>
      <c r="R38" s="5">
        <v>40.212385280000007</v>
      </c>
      <c r="S38" s="5">
        <v>0.4</v>
      </c>
      <c r="T38">
        <v>43</v>
      </c>
      <c r="U38">
        <v>3</v>
      </c>
      <c r="V38">
        <v>3</v>
      </c>
      <c r="W38">
        <v>1</v>
      </c>
      <c r="X38">
        <v>2.112548828125</v>
      </c>
      <c r="Y38">
        <v>2.112548828125</v>
      </c>
      <c r="Z38">
        <v>1.875</v>
      </c>
      <c r="AA38">
        <v>1.875</v>
      </c>
      <c r="AC38">
        <v>1.0562744140625</v>
      </c>
      <c r="AD38">
        <f t="shared" si="2"/>
        <v>3.1688232421875</v>
      </c>
    </row>
    <row r="39" spans="1:30" x14ac:dyDescent="0.25">
      <c r="A39">
        <v>42</v>
      </c>
      <c r="B39">
        <v>40.212385280000007</v>
      </c>
      <c r="C39" s="4">
        <v>0.4</v>
      </c>
      <c r="D39">
        <v>527</v>
      </c>
      <c r="E39">
        <v>23.090705609999997</v>
      </c>
      <c r="F39" s="4">
        <v>0.17499999999999999</v>
      </c>
      <c r="G39">
        <v>409</v>
      </c>
      <c r="H39">
        <v>21.647536509374998</v>
      </c>
      <c r="I39" s="4">
        <v>0.17499999999999999</v>
      </c>
      <c r="J39">
        <v>41</v>
      </c>
      <c r="K39">
        <v>40.212385280000007</v>
      </c>
      <c r="L39" s="4">
        <v>0.4</v>
      </c>
      <c r="M39" s="5">
        <v>84.950627399375009</v>
      </c>
      <c r="N39" s="5">
        <v>0.75</v>
      </c>
      <c r="O39">
        <v>43</v>
      </c>
      <c r="P39">
        <v>40.212385280000007</v>
      </c>
      <c r="Q39" s="4">
        <v>0.4</v>
      </c>
      <c r="R39" s="5">
        <v>40.212385280000007</v>
      </c>
      <c r="S39" s="5">
        <v>0.4</v>
      </c>
      <c r="T39">
        <v>42</v>
      </c>
      <c r="U39">
        <v>3</v>
      </c>
      <c r="V39">
        <v>3</v>
      </c>
      <c r="W39">
        <v>1</v>
      </c>
      <c r="X39">
        <v>2.112548828125</v>
      </c>
      <c r="Y39">
        <v>2.112548828125</v>
      </c>
      <c r="Z39">
        <v>1.875</v>
      </c>
      <c r="AA39">
        <v>1.875</v>
      </c>
      <c r="AC39">
        <v>1.0562744140625</v>
      </c>
      <c r="AD39">
        <f t="shared" si="2"/>
        <v>3.1688232421875</v>
      </c>
    </row>
    <row r="40" spans="1:30" x14ac:dyDescent="0.25">
      <c r="A40">
        <v>7</v>
      </c>
      <c r="B40">
        <v>20.106192640000003</v>
      </c>
      <c r="C40" s="4">
        <v>0.2</v>
      </c>
      <c r="D40">
        <v>352</v>
      </c>
      <c r="E40">
        <v>7.2158455031249993</v>
      </c>
      <c r="F40" s="4">
        <v>0.17499999999999999</v>
      </c>
      <c r="G40">
        <v>241</v>
      </c>
      <c r="H40">
        <v>15.079644480000002</v>
      </c>
      <c r="I40" s="4">
        <v>0.2</v>
      </c>
      <c r="J40">
        <v>8</v>
      </c>
      <c r="K40">
        <v>9.4247778000000029</v>
      </c>
      <c r="L40" s="4">
        <v>0.2</v>
      </c>
      <c r="M40" s="5">
        <v>31.720267783125003</v>
      </c>
      <c r="N40" s="5">
        <v>0.57499999999999996</v>
      </c>
      <c r="O40">
        <v>17</v>
      </c>
      <c r="P40">
        <v>10.053096320000002</v>
      </c>
      <c r="Q40" s="4">
        <v>0.2</v>
      </c>
      <c r="R40" s="5">
        <v>10.053096320000002</v>
      </c>
      <c r="S40" s="5">
        <v>0.2</v>
      </c>
      <c r="T40">
        <v>7</v>
      </c>
      <c r="U40">
        <v>3</v>
      </c>
      <c r="V40">
        <v>3</v>
      </c>
      <c r="W40">
        <v>1</v>
      </c>
      <c r="X40">
        <v>3.1552734374999996</v>
      </c>
      <c r="Y40">
        <v>1.5776367187499998</v>
      </c>
      <c r="Z40">
        <v>2.8749999999999996</v>
      </c>
      <c r="AA40">
        <v>2.8749999999999996</v>
      </c>
      <c r="AC40">
        <v>1.0517578125</v>
      </c>
      <c r="AD40">
        <f t="shared" si="2"/>
        <v>3.1552734375</v>
      </c>
    </row>
    <row r="41" spans="1:30" x14ac:dyDescent="0.25">
      <c r="A41">
        <v>41</v>
      </c>
      <c r="B41">
        <v>40.212385280000007</v>
      </c>
      <c r="C41" s="4">
        <v>0.4</v>
      </c>
      <c r="D41">
        <v>526</v>
      </c>
      <c r="E41">
        <v>22.128592876249996</v>
      </c>
      <c r="F41" s="4">
        <v>0.17499999999999999</v>
      </c>
      <c r="G41">
        <v>407</v>
      </c>
      <c r="H41">
        <v>21.647536509374998</v>
      </c>
      <c r="I41" s="4">
        <v>0.17499999999999999</v>
      </c>
      <c r="J41">
        <v>40</v>
      </c>
      <c r="K41">
        <v>40.212385280000007</v>
      </c>
      <c r="L41" s="4">
        <v>0.4</v>
      </c>
      <c r="M41" s="5">
        <v>83.988514665625004</v>
      </c>
      <c r="N41" s="5">
        <v>0.75</v>
      </c>
      <c r="O41">
        <v>42</v>
      </c>
      <c r="P41">
        <v>40.212385280000007</v>
      </c>
      <c r="Q41" s="4">
        <v>0.4</v>
      </c>
      <c r="R41" s="5">
        <v>40.212385280000007</v>
      </c>
      <c r="S41" s="5">
        <v>0.4</v>
      </c>
      <c r="T41">
        <v>41</v>
      </c>
      <c r="U41">
        <v>3</v>
      </c>
      <c r="V41">
        <v>3</v>
      </c>
      <c r="W41">
        <v>1</v>
      </c>
      <c r="X41">
        <v>2.0886230468749996</v>
      </c>
      <c r="Y41">
        <v>2.0886230468749996</v>
      </c>
      <c r="Z41">
        <v>1.875</v>
      </c>
      <c r="AA41">
        <v>1.875</v>
      </c>
      <c r="AC41">
        <v>1.0443115234374998</v>
      </c>
      <c r="AD41">
        <f t="shared" si="2"/>
        <v>3.1329345703124991</v>
      </c>
    </row>
    <row r="42" spans="1:30" x14ac:dyDescent="0.25">
      <c r="A42">
        <v>40</v>
      </c>
      <c r="B42">
        <v>40.212385280000007</v>
      </c>
      <c r="C42" s="4">
        <v>0.4</v>
      </c>
      <c r="D42">
        <v>524</v>
      </c>
      <c r="E42">
        <v>22.128592876249996</v>
      </c>
      <c r="F42" s="4">
        <v>0.17499999999999999</v>
      </c>
      <c r="G42">
        <v>405</v>
      </c>
      <c r="H42">
        <v>21.647536509374998</v>
      </c>
      <c r="I42" s="4">
        <v>0.17499999999999999</v>
      </c>
      <c r="J42">
        <v>39</v>
      </c>
      <c r="K42">
        <v>40.212385280000007</v>
      </c>
      <c r="L42" s="4">
        <v>0.4</v>
      </c>
      <c r="M42" s="5">
        <v>83.988514665625004</v>
      </c>
      <c r="N42" s="5">
        <v>0.75</v>
      </c>
      <c r="O42">
        <v>41</v>
      </c>
      <c r="P42">
        <v>40.212385280000007</v>
      </c>
      <c r="Q42" s="4">
        <v>0.4</v>
      </c>
      <c r="R42" s="5">
        <v>40.212385280000007</v>
      </c>
      <c r="S42" s="5">
        <v>0.4</v>
      </c>
      <c r="T42">
        <v>40</v>
      </c>
      <c r="U42">
        <v>3</v>
      </c>
      <c r="V42">
        <v>3</v>
      </c>
      <c r="W42">
        <v>1</v>
      </c>
      <c r="X42">
        <v>2.0886230468749996</v>
      </c>
      <c r="Y42">
        <v>2.0886230468749996</v>
      </c>
      <c r="Z42">
        <v>1.875</v>
      </c>
      <c r="AA42">
        <v>1.875</v>
      </c>
      <c r="AC42">
        <v>1.0443115234374998</v>
      </c>
      <c r="AD42">
        <f t="shared" si="2"/>
        <v>3.1329345703124991</v>
      </c>
    </row>
    <row r="43" spans="1:30" x14ac:dyDescent="0.25">
      <c r="A43">
        <v>188</v>
      </c>
      <c r="B43">
        <v>40.212385280000007</v>
      </c>
      <c r="C43" s="4">
        <v>0.4</v>
      </c>
      <c r="D43">
        <v>187</v>
      </c>
      <c r="E43">
        <v>100.53096320000003</v>
      </c>
      <c r="F43" s="4">
        <v>0.4</v>
      </c>
      <c r="G43">
        <v>195</v>
      </c>
      <c r="H43">
        <v>20.734511160000007</v>
      </c>
      <c r="I43" s="4">
        <v>0.2</v>
      </c>
      <c r="K43" t="s">
        <v>229</v>
      </c>
      <c r="L43" s="4" t="s">
        <v>229</v>
      </c>
      <c r="M43" s="5">
        <v>121.26547436000004</v>
      </c>
      <c r="N43" s="5">
        <v>0.60000000000000009</v>
      </c>
      <c r="O43">
        <v>183</v>
      </c>
      <c r="P43">
        <v>40.212385280000007</v>
      </c>
      <c r="Q43" s="4">
        <v>0.4</v>
      </c>
      <c r="R43" s="5">
        <v>40.212385280000007</v>
      </c>
      <c r="S43" s="5">
        <v>0.4</v>
      </c>
      <c r="T43">
        <v>188</v>
      </c>
      <c r="U43">
        <v>2</v>
      </c>
      <c r="V43">
        <v>2</v>
      </c>
      <c r="W43">
        <v>1</v>
      </c>
      <c r="X43">
        <v>3.0156250000000004</v>
      </c>
      <c r="Y43">
        <v>3.0156250000000004</v>
      </c>
      <c r="Z43">
        <v>1.5000000000000002</v>
      </c>
      <c r="AA43">
        <v>1.5000000000000002</v>
      </c>
      <c r="AC43">
        <v>1.5078125000000002</v>
      </c>
      <c r="AD43">
        <f t="shared" si="2"/>
        <v>3.0156250000000004</v>
      </c>
    </row>
    <row r="44" spans="1:30" x14ac:dyDescent="0.25">
      <c r="A44">
        <v>217</v>
      </c>
      <c r="B44">
        <v>19.242254674999998</v>
      </c>
      <c r="C44" s="4">
        <v>0.17499999999999999</v>
      </c>
      <c r="D44">
        <v>475</v>
      </c>
      <c r="E44">
        <v>26.939156544999996</v>
      </c>
      <c r="F44" s="4">
        <v>0.17499999999999999</v>
      </c>
      <c r="G44">
        <v>231</v>
      </c>
      <c r="H44">
        <v>16.355916473749996</v>
      </c>
      <c r="I44" s="4">
        <v>0.17499999999999999</v>
      </c>
      <c r="K44" t="s">
        <v>229</v>
      </c>
      <c r="L44" s="4" t="s">
        <v>229</v>
      </c>
      <c r="M44" s="5">
        <v>43.295073018749989</v>
      </c>
      <c r="N44" s="5">
        <v>0.35</v>
      </c>
      <c r="O44">
        <v>213</v>
      </c>
      <c r="P44">
        <v>9.621127337499999</v>
      </c>
      <c r="Q44" s="4">
        <v>0.17499999999999999</v>
      </c>
      <c r="R44" s="5">
        <v>9.621127337499999</v>
      </c>
      <c r="S44" s="5">
        <v>0.17499999999999999</v>
      </c>
      <c r="T44">
        <v>217</v>
      </c>
      <c r="U44">
        <v>2</v>
      </c>
      <c r="V44">
        <v>2</v>
      </c>
      <c r="W44">
        <v>1</v>
      </c>
      <c r="X44">
        <v>4.4999999999999991</v>
      </c>
      <c r="Y44">
        <v>2.2499999999999996</v>
      </c>
      <c r="Z44">
        <v>2</v>
      </c>
      <c r="AA44">
        <v>2</v>
      </c>
      <c r="AC44">
        <v>1.4999999999999998</v>
      </c>
      <c r="AD44">
        <f t="shared" si="2"/>
        <v>2.9999999999999996</v>
      </c>
    </row>
    <row r="45" spans="1:30" x14ac:dyDescent="0.25">
      <c r="A45">
        <v>112</v>
      </c>
      <c r="B45">
        <v>31.989659348575007</v>
      </c>
      <c r="C45" s="4">
        <v>0.26500000000000001</v>
      </c>
      <c r="D45">
        <v>483</v>
      </c>
      <c r="E45">
        <v>5.7726764024999992</v>
      </c>
      <c r="F45" s="4">
        <v>0.17499999999999999</v>
      </c>
      <c r="G45">
        <v>232</v>
      </c>
      <c r="H45">
        <v>26.474200840200002</v>
      </c>
      <c r="I45" s="4">
        <v>0.26500000000000001</v>
      </c>
      <c r="J45">
        <v>233</v>
      </c>
      <c r="K45">
        <v>24.838687732640004</v>
      </c>
      <c r="L45" s="4">
        <v>0.2</v>
      </c>
      <c r="M45" s="5">
        <v>57.085564975340006</v>
      </c>
      <c r="N45" s="5">
        <v>0.64</v>
      </c>
      <c r="O45">
        <v>339</v>
      </c>
      <c r="P45">
        <v>25.132740800000008</v>
      </c>
      <c r="Q45" s="4">
        <v>0.4</v>
      </c>
      <c r="R45" s="5">
        <v>25.132740800000008</v>
      </c>
      <c r="S45" s="5">
        <v>0.4</v>
      </c>
      <c r="T45">
        <v>112</v>
      </c>
      <c r="U45">
        <v>3</v>
      </c>
      <c r="V45">
        <v>3</v>
      </c>
      <c r="W45">
        <v>1</v>
      </c>
      <c r="X45">
        <v>2.2713624999999995</v>
      </c>
      <c r="Y45">
        <v>1.7845005585494897</v>
      </c>
      <c r="Z45">
        <v>1.5999999999999999</v>
      </c>
      <c r="AA45">
        <v>2.4150943396226414</v>
      </c>
      <c r="AC45">
        <v>0.99935515361505822</v>
      </c>
      <c r="AD45">
        <f t="shared" si="2"/>
        <v>2.9980654608451749</v>
      </c>
    </row>
    <row r="46" spans="1:30" x14ac:dyDescent="0.25">
      <c r="A46">
        <v>115</v>
      </c>
      <c r="B46">
        <v>18.849555600000006</v>
      </c>
      <c r="C46" s="4">
        <v>0.2</v>
      </c>
      <c r="D46">
        <v>435</v>
      </c>
      <c r="E46">
        <v>9.621127337499999</v>
      </c>
      <c r="F46" s="4">
        <v>0.17499999999999999</v>
      </c>
      <c r="G46">
        <v>432</v>
      </c>
      <c r="H46">
        <v>7.6969018699999987</v>
      </c>
      <c r="I46" s="4">
        <v>0.17499999999999999</v>
      </c>
      <c r="J46">
        <v>116</v>
      </c>
      <c r="K46">
        <v>16.336281520000004</v>
      </c>
      <c r="L46" s="4">
        <v>0.2</v>
      </c>
      <c r="M46" s="5">
        <v>33.654310727500004</v>
      </c>
      <c r="N46" s="5">
        <v>0.55000000000000004</v>
      </c>
      <c r="O46">
        <v>114</v>
      </c>
      <c r="P46">
        <v>15.079644480000002</v>
      </c>
      <c r="Q46" s="4">
        <v>0.2</v>
      </c>
      <c r="R46" s="5">
        <v>15.079644480000002</v>
      </c>
      <c r="S46" s="5">
        <v>0.2</v>
      </c>
      <c r="T46">
        <v>115</v>
      </c>
      <c r="U46">
        <v>3</v>
      </c>
      <c r="V46">
        <v>3</v>
      </c>
      <c r="W46">
        <v>1</v>
      </c>
      <c r="X46">
        <v>2.231770833333333</v>
      </c>
      <c r="Y46">
        <v>1.7854166666666664</v>
      </c>
      <c r="Z46">
        <v>2.75</v>
      </c>
      <c r="AA46">
        <v>2.75</v>
      </c>
      <c r="AC46">
        <v>0.99189814814814803</v>
      </c>
      <c r="AD46">
        <f t="shared" si="2"/>
        <v>2.9756944444444442</v>
      </c>
    </row>
    <row r="47" spans="1:30" x14ac:dyDescent="0.25">
      <c r="A47">
        <v>329</v>
      </c>
      <c r="B47">
        <v>37.699111200000011</v>
      </c>
      <c r="C47" s="4">
        <v>0.4</v>
      </c>
      <c r="D47">
        <v>509</v>
      </c>
      <c r="E47">
        <v>18.761198308124996</v>
      </c>
      <c r="F47" s="4">
        <v>0.17499999999999999</v>
      </c>
      <c r="G47">
        <v>500</v>
      </c>
      <c r="H47">
        <v>14.431691006249999</v>
      </c>
      <c r="I47" s="4">
        <v>0.17499999999999999</v>
      </c>
      <c r="J47">
        <v>299</v>
      </c>
      <c r="K47">
        <v>40.212385280000007</v>
      </c>
      <c r="L47" s="4">
        <v>0.4</v>
      </c>
      <c r="M47" s="5">
        <v>73.405274594375001</v>
      </c>
      <c r="N47" s="5">
        <v>0.75</v>
      </c>
      <c r="O47">
        <v>327</v>
      </c>
      <c r="P47">
        <v>37.699111200000011</v>
      </c>
      <c r="Q47" s="4">
        <v>0.4</v>
      </c>
      <c r="R47" s="5">
        <v>37.699111200000011</v>
      </c>
      <c r="S47" s="5">
        <v>0.4</v>
      </c>
      <c r="T47">
        <v>329</v>
      </c>
      <c r="U47">
        <v>3</v>
      </c>
      <c r="V47">
        <v>3</v>
      </c>
      <c r="W47">
        <v>1</v>
      </c>
      <c r="X47">
        <v>1.9471354166666661</v>
      </c>
      <c r="Y47">
        <v>1.9471354166666661</v>
      </c>
      <c r="Z47">
        <v>1.875</v>
      </c>
      <c r="AA47">
        <v>1.875</v>
      </c>
      <c r="AC47">
        <v>0.97356770833333306</v>
      </c>
      <c r="AD47">
        <f t="shared" si="2"/>
        <v>2.9207031249999993</v>
      </c>
    </row>
    <row r="48" spans="1:30" x14ac:dyDescent="0.25">
      <c r="A48">
        <v>215</v>
      </c>
      <c r="B48">
        <v>6.2831852000000019</v>
      </c>
      <c r="C48" s="4">
        <v>0.2</v>
      </c>
      <c r="D48">
        <v>472</v>
      </c>
      <c r="E48">
        <v>24.052818343749998</v>
      </c>
      <c r="F48" s="4">
        <v>0.17499999999999999</v>
      </c>
      <c r="G48">
        <v>214</v>
      </c>
      <c r="H48">
        <v>5.7726764024999992</v>
      </c>
      <c r="I48" s="4">
        <v>0.17499999999999999</v>
      </c>
      <c r="K48" t="s">
        <v>229</v>
      </c>
      <c r="L48" s="4" t="s">
        <v>229</v>
      </c>
      <c r="M48" s="5">
        <v>29.825494746249998</v>
      </c>
      <c r="N48" s="5">
        <v>0.35</v>
      </c>
      <c r="O48">
        <v>216</v>
      </c>
      <c r="P48">
        <v>14.451325960000002</v>
      </c>
      <c r="Q48" s="4">
        <v>0.2</v>
      </c>
      <c r="R48" s="5">
        <v>14.451325960000002</v>
      </c>
      <c r="S48" s="5">
        <v>0.2</v>
      </c>
      <c r="T48">
        <v>215</v>
      </c>
      <c r="U48">
        <v>2</v>
      </c>
      <c r="V48">
        <v>2</v>
      </c>
      <c r="W48">
        <v>1</v>
      </c>
      <c r="X48">
        <v>2.0638586956521734</v>
      </c>
      <c r="Y48">
        <v>4.7468749999999984</v>
      </c>
      <c r="Z48">
        <v>1.7499999999999998</v>
      </c>
      <c r="AA48">
        <v>1.7499999999999998</v>
      </c>
      <c r="AC48">
        <v>1.4384469696969693</v>
      </c>
      <c r="AD48">
        <f t="shared" si="2"/>
        <v>2.8768939393939386</v>
      </c>
    </row>
    <row r="49" spans="1:30" x14ac:dyDescent="0.25">
      <c r="A49">
        <v>327</v>
      </c>
      <c r="B49">
        <v>37.699111200000011</v>
      </c>
      <c r="C49" s="4">
        <v>0.4</v>
      </c>
      <c r="D49">
        <v>511</v>
      </c>
      <c r="E49">
        <v>18.280141941249997</v>
      </c>
      <c r="F49" s="4">
        <v>0.17499999999999999</v>
      </c>
      <c r="G49">
        <v>501</v>
      </c>
      <c r="H49">
        <v>14.431691006249999</v>
      </c>
      <c r="I49" s="4">
        <v>0.17499999999999999</v>
      </c>
      <c r="J49">
        <v>329</v>
      </c>
      <c r="K49">
        <v>37.699111200000011</v>
      </c>
      <c r="L49" s="4">
        <v>0.4</v>
      </c>
      <c r="M49" s="5">
        <v>70.410944147500004</v>
      </c>
      <c r="N49" s="5">
        <v>0.75</v>
      </c>
      <c r="O49">
        <v>326</v>
      </c>
      <c r="P49">
        <v>37.699111200000011</v>
      </c>
      <c r="Q49" s="4">
        <v>0.4</v>
      </c>
      <c r="R49" s="5">
        <v>37.699111200000011</v>
      </c>
      <c r="S49" s="5">
        <v>0.4</v>
      </c>
      <c r="T49">
        <v>327</v>
      </c>
      <c r="U49">
        <v>3</v>
      </c>
      <c r="V49">
        <v>3</v>
      </c>
      <c r="W49">
        <v>1</v>
      </c>
      <c r="X49">
        <v>1.8677083333333329</v>
      </c>
      <c r="Y49">
        <v>1.8677083333333329</v>
      </c>
      <c r="Z49">
        <v>1.875</v>
      </c>
      <c r="AA49">
        <v>1.875</v>
      </c>
      <c r="AC49">
        <v>0.93385416666666643</v>
      </c>
      <c r="AD49">
        <f t="shared" si="2"/>
        <v>2.8015624999999993</v>
      </c>
    </row>
    <row r="50" spans="1:30" x14ac:dyDescent="0.25">
      <c r="A50">
        <v>292</v>
      </c>
      <c r="B50">
        <v>121.73671325000001</v>
      </c>
      <c r="C50" s="4">
        <v>0.5</v>
      </c>
      <c r="D50">
        <v>290</v>
      </c>
      <c r="E50">
        <v>125.663704</v>
      </c>
      <c r="F50" s="4">
        <v>0.5</v>
      </c>
      <c r="G50">
        <v>289</v>
      </c>
      <c r="H50">
        <v>24.268017436850005</v>
      </c>
      <c r="I50" s="4">
        <v>0.26500000000000001</v>
      </c>
      <c r="J50">
        <v>271</v>
      </c>
      <c r="K50">
        <v>24.052818343749998</v>
      </c>
      <c r="L50" s="4">
        <v>0.17499999999999999</v>
      </c>
      <c r="M50" s="5">
        <v>173.98453978060002</v>
      </c>
      <c r="N50" s="5">
        <v>0.94</v>
      </c>
      <c r="O50">
        <v>293</v>
      </c>
      <c r="P50">
        <v>70.685833500000001</v>
      </c>
      <c r="Q50" s="4">
        <v>0.5</v>
      </c>
      <c r="R50" s="5">
        <v>70.685833500000001</v>
      </c>
      <c r="S50" s="5">
        <v>0.5</v>
      </c>
      <c r="T50">
        <v>292</v>
      </c>
      <c r="U50">
        <v>3</v>
      </c>
      <c r="V50">
        <v>3</v>
      </c>
      <c r="W50">
        <v>1</v>
      </c>
      <c r="X50">
        <v>2.4613777777777779</v>
      </c>
      <c r="Y50">
        <v>1.4291870967741935</v>
      </c>
      <c r="Z50">
        <v>1.88</v>
      </c>
      <c r="AA50">
        <v>1.88</v>
      </c>
      <c r="AC50">
        <v>0.90417959183673469</v>
      </c>
      <c r="AD50">
        <f t="shared" si="2"/>
        <v>2.7125387755102039</v>
      </c>
    </row>
    <row r="51" spans="1:30" x14ac:dyDescent="0.25">
      <c r="A51">
        <v>47</v>
      </c>
      <c r="B51">
        <v>141.371667</v>
      </c>
      <c r="C51" s="4">
        <v>0.75</v>
      </c>
      <c r="D51">
        <v>25</v>
      </c>
      <c r="E51">
        <v>424.11500100000001</v>
      </c>
      <c r="F51" s="4">
        <v>0.75</v>
      </c>
      <c r="G51">
        <v>45</v>
      </c>
      <c r="H51">
        <v>40.212385280000007</v>
      </c>
      <c r="I51" s="4">
        <v>0.4</v>
      </c>
      <c r="J51">
        <v>418</v>
      </c>
      <c r="K51">
        <v>21.647536509374998</v>
      </c>
      <c r="L51" s="4">
        <v>0.17499999999999999</v>
      </c>
      <c r="M51" s="5">
        <v>485.97492278937506</v>
      </c>
      <c r="N51" s="5">
        <v>1.325</v>
      </c>
      <c r="O51">
        <v>48</v>
      </c>
      <c r="P51">
        <v>397.6078134375</v>
      </c>
      <c r="Q51" s="4">
        <v>0.75</v>
      </c>
      <c r="R51" s="5">
        <v>397.6078134375</v>
      </c>
      <c r="S51" s="5">
        <v>0.75</v>
      </c>
      <c r="T51">
        <v>47</v>
      </c>
      <c r="U51">
        <v>3</v>
      </c>
      <c r="V51">
        <v>3</v>
      </c>
      <c r="W51">
        <v>1</v>
      </c>
      <c r="X51">
        <v>1.222246913580247</v>
      </c>
      <c r="Y51">
        <v>3.4375694444444447</v>
      </c>
      <c r="Z51">
        <v>1.7666666666666666</v>
      </c>
      <c r="AA51">
        <v>1.7666666666666666</v>
      </c>
      <c r="AC51">
        <v>0.90165755919854296</v>
      </c>
      <c r="AD51">
        <f t="shared" si="2"/>
        <v>2.7049726775956291</v>
      </c>
    </row>
    <row r="52" spans="1:30" x14ac:dyDescent="0.25">
      <c r="A52">
        <v>323</v>
      </c>
      <c r="B52">
        <v>40.212385280000007</v>
      </c>
      <c r="C52" s="4">
        <v>0.4</v>
      </c>
      <c r="D52">
        <v>521</v>
      </c>
      <c r="E52">
        <v>13.950634639374998</v>
      </c>
      <c r="F52" s="4">
        <v>0.17499999999999999</v>
      </c>
      <c r="G52">
        <v>503</v>
      </c>
      <c r="H52">
        <v>14.431691006249999</v>
      </c>
      <c r="I52" s="4">
        <v>0.17499999999999999</v>
      </c>
      <c r="J52">
        <v>324</v>
      </c>
      <c r="K52">
        <v>75.398222400000023</v>
      </c>
      <c r="L52" s="4">
        <v>0.4</v>
      </c>
      <c r="M52" s="5">
        <v>103.78054804562501</v>
      </c>
      <c r="N52" s="5">
        <v>0.75</v>
      </c>
      <c r="O52">
        <v>322</v>
      </c>
      <c r="P52">
        <v>75.398222400000023</v>
      </c>
      <c r="Q52" s="4">
        <v>0.4</v>
      </c>
      <c r="R52" s="5">
        <v>75.398222400000023</v>
      </c>
      <c r="S52" s="5">
        <v>0.4</v>
      </c>
      <c r="T52">
        <v>323</v>
      </c>
      <c r="U52">
        <v>3</v>
      </c>
      <c r="V52">
        <v>3</v>
      </c>
      <c r="W52">
        <v>1</v>
      </c>
      <c r="X52">
        <v>1.3764322916666665</v>
      </c>
      <c r="Y52">
        <v>2.580810546875</v>
      </c>
      <c r="Z52">
        <v>1.875</v>
      </c>
      <c r="AA52">
        <v>1.875</v>
      </c>
      <c r="AC52">
        <v>0.897673233695652</v>
      </c>
      <c r="AD52">
        <f t="shared" si="2"/>
        <v>2.6930197010869561</v>
      </c>
    </row>
    <row r="53" spans="1:30" x14ac:dyDescent="0.25">
      <c r="A53">
        <v>224</v>
      </c>
      <c r="B53">
        <v>33.092751050250008</v>
      </c>
      <c r="C53" s="4">
        <v>0.26500000000000001</v>
      </c>
      <c r="D53">
        <v>482</v>
      </c>
      <c r="E53">
        <v>7.6969018699999987</v>
      </c>
      <c r="F53" s="4">
        <v>0.17499999999999999</v>
      </c>
      <c r="G53">
        <v>212</v>
      </c>
      <c r="H53">
        <v>5.7726764024999992</v>
      </c>
      <c r="I53" s="4">
        <v>0.17499999999999999</v>
      </c>
      <c r="J53">
        <v>190</v>
      </c>
      <c r="K53">
        <v>35.298934453600005</v>
      </c>
      <c r="L53" s="4">
        <v>0.26500000000000001</v>
      </c>
      <c r="M53" s="5">
        <v>48.768512726099999</v>
      </c>
      <c r="N53" s="5">
        <v>0.61499999999999999</v>
      </c>
      <c r="O53">
        <v>289</v>
      </c>
      <c r="P53">
        <v>24.268017436850005</v>
      </c>
      <c r="Q53" s="4">
        <v>0.26500000000000001</v>
      </c>
      <c r="R53" s="5">
        <v>24.268017436850005</v>
      </c>
      <c r="S53" s="5">
        <v>0.26500000000000001</v>
      </c>
      <c r="T53">
        <v>224</v>
      </c>
      <c r="U53">
        <v>3</v>
      </c>
      <c r="V53">
        <v>3</v>
      </c>
      <c r="W53">
        <v>1</v>
      </c>
      <c r="X53">
        <v>2.0095795980452436</v>
      </c>
      <c r="Y53">
        <v>1.4736917052331786</v>
      </c>
      <c r="Z53">
        <v>2.3207547169811318</v>
      </c>
      <c r="AA53">
        <v>2.3207547169811318</v>
      </c>
      <c r="AC53">
        <v>0.8502067530191415</v>
      </c>
      <c r="AD53">
        <f t="shared" si="2"/>
        <v>2.5506202590574247</v>
      </c>
    </row>
    <row r="54" spans="1:30" x14ac:dyDescent="0.25">
      <c r="A54">
        <v>55</v>
      </c>
      <c r="B54">
        <v>21.647536509374998</v>
      </c>
      <c r="C54" s="4">
        <v>0.17499999999999999</v>
      </c>
      <c r="D54">
        <v>56</v>
      </c>
      <c r="E54">
        <v>7.6969018699999987</v>
      </c>
      <c r="F54" s="4">
        <v>0.17499999999999999</v>
      </c>
      <c r="G54">
        <v>16</v>
      </c>
      <c r="H54">
        <v>57.36076848710001</v>
      </c>
      <c r="I54" s="4">
        <v>0.26500000000000001</v>
      </c>
      <c r="K54" t="s">
        <v>229</v>
      </c>
      <c r="L54" s="4" t="s">
        <v>229</v>
      </c>
      <c r="M54" s="5">
        <v>65.057670357100008</v>
      </c>
      <c r="N54" s="5">
        <v>0.44</v>
      </c>
      <c r="O54">
        <v>95</v>
      </c>
      <c r="P54">
        <v>30.886567646900005</v>
      </c>
      <c r="Q54" s="4">
        <v>0.26500000000000001</v>
      </c>
      <c r="R54" s="5">
        <v>30.886567646900005</v>
      </c>
      <c r="S54" s="5">
        <v>0.26500000000000001</v>
      </c>
      <c r="T54">
        <v>55</v>
      </c>
      <c r="U54">
        <v>2</v>
      </c>
      <c r="V54">
        <v>2</v>
      </c>
      <c r="W54">
        <v>1</v>
      </c>
      <c r="X54">
        <v>2.1063418603468445</v>
      </c>
      <c r="Y54">
        <v>3.0053151927437649</v>
      </c>
      <c r="Z54">
        <v>1.6603773584905659</v>
      </c>
      <c r="AA54">
        <v>2.5142857142857147</v>
      </c>
      <c r="AC54">
        <v>1.2383892597382211</v>
      </c>
      <c r="AD54">
        <f t="shared" si="2"/>
        <v>2.4767785194764422</v>
      </c>
    </row>
    <row r="55" spans="1:30" x14ac:dyDescent="0.25">
      <c r="A55">
        <v>298</v>
      </c>
      <c r="B55">
        <v>15.707962999999999</v>
      </c>
      <c r="C55" s="4">
        <v>0.25</v>
      </c>
      <c r="D55">
        <v>497</v>
      </c>
      <c r="E55">
        <v>20.204367408749999</v>
      </c>
      <c r="F55" s="4">
        <v>0.17499999999999999</v>
      </c>
      <c r="G55">
        <v>487</v>
      </c>
      <c r="H55">
        <v>14.431691006249999</v>
      </c>
      <c r="I55" s="4">
        <v>0.17499999999999999</v>
      </c>
      <c r="J55">
        <v>297</v>
      </c>
      <c r="K55">
        <v>10.053096320000002</v>
      </c>
      <c r="L55" s="4">
        <v>0.2</v>
      </c>
      <c r="M55" s="5">
        <v>44.689154734999995</v>
      </c>
      <c r="N55" s="5">
        <v>0.55000000000000004</v>
      </c>
      <c r="O55">
        <v>299</v>
      </c>
      <c r="P55">
        <v>40.212385280000007</v>
      </c>
      <c r="Q55" s="4">
        <v>0.4</v>
      </c>
      <c r="R55" s="5">
        <v>40.212385280000007</v>
      </c>
      <c r="S55" s="5">
        <v>0.4</v>
      </c>
      <c r="T55">
        <v>298</v>
      </c>
      <c r="U55">
        <v>3</v>
      </c>
      <c r="V55">
        <v>3</v>
      </c>
      <c r="W55">
        <v>1</v>
      </c>
      <c r="X55">
        <v>1.1113281249999998</v>
      </c>
      <c r="Y55">
        <v>2.8449999999999998</v>
      </c>
      <c r="Z55">
        <v>1.375</v>
      </c>
      <c r="AA55">
        <v>2.2000000000000002</v>
      </c>
      <c r="AC55">
        <v>0.79915730337078639</v>
      </c>
      <c r="AD55">
        <f t="shared" si="2"/>
        <v>2.3974719101123592</v>
      </c>
    </row>
    <row r="56" spans="1:30" x14ac:dyDescent="0.25">
      <c r="A56">
        <v>64</v>
      </c>
      <c r="B56">
        <v>15.874860106874999</v>
      </c>
      <c r="C56" s="4">
        <v>0.17499999999999999</v>
      </c>
      <c r="D56">
        <v>386</v>
      </c>
      <c r="E56">
        <v>19.242254674999998</v>
      </c>
      <c r="F56" s="4">
        <v>0.17499999999999999</v>
      </c>
      <c r="G56">
        <v>1</v>
      </c>
      <c r="H56">
        <v>11.545352804999998</v>
      </c>
      <c r="I56" s="4">
        <v>0.17499999999999999</v>
      </c>
      <c r="K56" t="s">
        <v>229</v>
      </c>
      <c r="L56" s="4" t="s">
        <v>229</v>
      </c>
      <c r="M56" s="5">
        <v>30.787607479999998</v>
      </c>
      <c r="N56" s="5">
        <v>0.35</v>
      </c>
      <c r="O56">
        <v>63</v>
      </c>
      <c r="P56">
        <v>10.102183704374999</v>
      </c>
      <c r="Q56" s="4">
        <v>0.17499999999999999</v>
      </c>
      <c r="R56" s="5">
        <v>10.102183704374999</v>
      </c>
      <c r="S56" s="5">
        <v>0.17499999999999999</v>
      </c>
      <c r="T56">
        <v>64</v>
      </c>
      <c r="U56">
        <v>2</v>
      </c>
      <c r="V56">
        <v>2</v>
      </c>
      <c r="W56">
        <v>1</v>
      </c>
      <c r="X56">
        <v>3.0476190476190474</v>
      </c>
      <c r="Y56">
        <v>1.9393939393939394</v>
      </c>
      <c r="Z56">
        <v>2</v>
      </c>
      <c r="AA56">
        <v>2</v>
      </c>
      <c r="AC56">
        <v>1.1851851851851851</v>
      </c>
      <c r="AD56">
        <f t="shared" si="2"/>
        <v>2.3703703703703702</v>
      </c>
    </row>
    <row r="57" spans="1:30" x14ac:dyDescent="0.25">
      <c r="A57">
        <v>136</v>
      </c>
      <c r="B57">
        <v>150.2073961875</v>
      </c>
      <c r="C57" s="4">
        <v>0.75</v>
      </c>
      <c r="D57">
        <v>134</v>
      </c>
      <c r="E57">
        <v>273.90760481250004</v>
      </c>
      <c r="F57" s="4">
        <v>0.75</v>
      </c>
      <c r="G57">
        <v>128</v>
      </c>
      <c r="H57">
        <v>31.101766740000002</v>
      </c>
      <c r="I57" s="4">
        <v>0.3</v>
      </c>
      <c r="J57">
        <v>276</v>
      </c>
      <c r="K57">
        <v>24.052818343749998</v>
      </c>
      <c r="L57" s="4">
        <v>0.17499999999999999</v>
      </c>
      <c r="M57" s="5">
        <v>329.06218989625006</v>
      </c>
      <c r="N57" s="5">
        <v>1.2250000000000001</v>
      </c>
      <c r="O57">
        <v>137</v>
      </c>
      <c r="P57">
        <v>267.035371</v>
      </c>
      <c r="Q57" s="4">
        <v>1</v>
      </c>
      <c r="R57" s="5">
        <v>267.035371</v>
      </c>
      <c r="S57" s="5">
        <v>1</v>
      </c>
      <c r="T57">
        <v>136</v>
      </c>
      <c r="U57">
        <v>3</v>
      </c>
      <c r="V57">
        <v>3</v>
      </c>
      <c r="W57">
        <v>1</v>
      </c>
      <c r="X57">
        <v>1.232279411764706</v>
      </c>
      <c r="Y57">
        <v>2.1907189542483665</v>
      </c>
      <c r="Z57">
        <v>1.2250000000000001</v>
      </c>
      <c r="AA57">
        <v>1.6333333333333335</v>
      </c>
      <c r="AC57">
        <v>0.78865882352941186</v>
      </c>
      <c r="AD57">
        <f t="shared" si="2"/>
        <v>2.3659764705882358</v>
      </c>
    </row>
    <row r="58" spans="1:30" x14ac:dyDescent="0.25">
      <c r="A58">
        <v>31</v>
      </c>
      <c r="B58">
        <v>8.8247336134000012</v>
      </c>
      <c r="C58" s="4">
        <v>0.26500000000000001</v>
      </c>
      <c r="D58">
        <v>391</v>
      </c>
      <c r="E58">
        <v>21.647536509374998</v>
      </c>
      <c r="F58" s="4">
        <v>0.17499999999999999</v>
      </c>
      <c r="G58">
        <v>30</v>
      </c>
      <c r="H58">
        <v>17.649467226800002</v>
      </c>
      <c r="I58" s="4">
        <v>0.26500000000000001</v>
      </c>
      <c r="K58" t="s">
        <v>229</v>
      </c>
      <c r="L58" s="4" t="s">
        <v>229</v>
      </c>
      <c r="M58" s="5">
        <v>39.297003736175</v>
      </c>
      <c r="N58" s="5">
        <v>0.44</v>
      </c>
      <c r="O58">
        <v>32</v>
      </c>
      <c r="P58">
        <v>26.474200840200002</v>
      </c>
      <c r="Q58" s="4">
        <v>0.26500000000000001</v>
      </c>
      <c r="R58" s="5">
        <v>26.474200840200002</v>
      </c>
      <c r="S58" s="5">
        <v>0.26500000000000001</v>
      </c>
      <c r="T58">
        <v>31</v>
      </c>
      <c r="U58">
        <v>2</v>
      </c>
      <c r="V58">
        <v>2</v>
      </c>
      <c r="W58">
        <v>1</v>
      </c>
      <c r="X58">
        <v>1.4843508959297496</v>
      </c>
      <c r="Y58">
        <v>4.4530526877892482</v>
      </c>
      <c r="Z58">
        <v>1.6603773584905659</v>
      </c>
      <c r="AA58">
        <v>1.6603773584905659</v>
      </c>
      <c r="AC58">
        <v>1.1132631719473121</v>
      </c>
      <c r="AD58">
        <f t="shared" si="2"/>
        <v>2.2265263438946241</v>
      </c>
    </row>
    <row r="59" spans="1:30" x14ac:dyDescent="0.25">
      <c r="A59">
        <v>199</v>
      </c>
      <c r="B59">
        <v>17.649467226800002</v>
      </c>
      <c r="C59" s="4">
        <v>0.26500000000000001</v>
      </c>
      <c r="D59">
        <v>396</v>
      </c>
      <c r="E59">
        <v>21.166480142499999</v>
      </c>
      <c r="F59" s="4">
        <v>0.17499999999999999</v>
      </c>
      <c r="G59">
        <v>222</v>
      </c>
      <c r="H59">
        <v>17.649467226800002</v>
      </c>
      <c r="I59" s="4">
        <v>0.26500000000000001</v>
      </c>
      <c r="K59" t="s">
        <v>229</v>
      </c>
      <c r="L59" s="4" t="s">
        <v>229</v>
      </c>
      <c r="M59" s="5">
        <v>38.815947369300005</v>
      </c>
      <c r="N59" s="5">
        <v>0.44</v>
      </c>
      <c r="O59">
        <v>198</v>
      </c>
      <c r="P59">
        <v>17.649467226800002</v>
      </c>
      <c r="Q59" s="4">
        <v>0.26500000000000001</v>
      </c>
      <c r="R59" s="5">
        <v>17.649467226800002</v>
      </c>
      <c r="S59" s="5">
        <v>0.26500000000000001</v>
      </c>
      <c r="T59">
        <v>199</v>
      </c>
      <c r="U59">
        <v>2</v>
      </c>
      <c r="V59">
        <v>2</v>
      </c>
      <c r="W59">
        <v>1</v>
      </c>
      <c r="X59">
        <v>2.1992702029191884</v>
      </c>
      <c r="Y59">
        <v>2.1992702029191884</v>
      </c>
      <c r="Z59">
        <v>1.6603773584905659</v>
      </c>
      <c r="AA59">
        <v>1.6603773584905659</v>
      </c>
      <c r="AC59">
        <v>1.0996351014595942</v>
      </c>
      <c r="AD59">
        <f t="shared" si="2"/>
        <v>2.1992702029191884</v>
      </c>
    </row>
    <row r="60" spans="1:30" x14ac:dyDescent="0.25">
      <c r="A60">
        <v>222</v>
      </c>
      <c r="B60">
        <v>17.649467226800002</v>
      </c>
      <c r="C60" s="4">
        <v>0.26500000000000001</v>
      </c>
      <c r="D60">
        <v>394</v>
      </c>
      <c r="E60">
        <v>21.166480142499999</v>
      </c>
      <c r="F60" s="4">
        <v>0.17499999999999999</v>
      </c>
      <c r="G60">
        <v>225</v>
      </c>
      <c r="H60">
        <v>17.649467226800002</v>
      </c>
      <c r="I60" s="4">
        <v>0.26500000000000001</v>
      </c>
      <c r="K60" t="s">
        <v>229</v>
      </c>
      <c r="L60" s="4" t="s">
        <v>229</v>
      </c>
      <c r="M60" s="5">
        <v>38.815947369300005</v>
      </c>
      <c r="N60" s="5">
        <v>0.44</v>
      </c>
      <c r="O60">
        <v>199</v>
      </c>
      <c r="P60">
        <v>17.649467226800002</v>
      </c>
      <c r="Q60" s="4">
        <v>0.26500000000000001</v>
      </c>
      <c r="R60" s="5">
        <v>17.649467226800002</v>
      </c>
      <c r="S60" s="5">
        <v>0.26500000000000001</v>
      </c>
      <c r="T60">
        <v>222</v>
      </c>
      <c r="U60">
        <v>2</v>
      </c>
      <c r="V60">
        <v>2</v>
      </c>
      <c r="W60">
        <v>1</v>
      </c>
      <c r="X60">
        <v>2.1992702029191884</v>
      </c>
      <c r="Y60">
        <v>2.1992702029191884</v>
      </c>
      <c r="Z60">
        <v>1.6603773584905659</v>
      </c>
      <c r="AA60">
        <v>1.6603773584905659</v>
      </c>
      <c r="AC60">
        <v>1.0996351014595942</v>
      </c>
      <c r="AD60">
        <f t="shared" si="2"/>
        <v>2.1992702029191884</v>
      </c>
    </row>
    <row r="61" spans="1:30" x14ac:dyDescent="0.25">
      <c r="A61">
        <v>123</v>
      </c>
      <c r="B61">
        <v>7.6969018699999987</v>
      </c>
      <c r="C61" s="4">
        <v>0.17499999999999999</v>
      </c>
      <c r="D61">
        <v>438</v>
      </c>
      <c r="E61">
        <v>124.40706696000001</v>
      </c>
      <c r="F61" s="4">
        <v>0.6</v>
      </c>
      <c r="G61">
        <v>98</v>
      </c>
      <c r="H61">
        <v>25.446900060000001</v>
      </c>
      <c r="I61" s="4">
        <v>0.3</v>
      </c>
      <c r="K61" t="s">
        <v>229</v>
      </c>
      <c r="L61" s="4" t="s">
        <v>229</v>
      </c>
      <c r="M61" s="5">
        <v>149.85396702</v>
      </c>
      <c r="N61" s="5">
        <v>0.89999999999999991</v>
      </c>
      <c r="O61">
        <v>130</v>
      </c>
      <c r="P61">
        <v>133.5176855</v>
      </c>
      <c r="Q61" s="4">
        <v>0.5</v>
      </c>
      <c r="R61" s="5">
        <v>133.5176855</v>
      </c>
      <c r="S61" s="5">
        <v>0.5</v>
      </c>
      <c r="T61">
        <v>123</v>
      </c>
      <c r="U61">
        <v>2</v>
      </c>
      <c r="V61">
        <v>2</v>
      </c>
      <c r="W61">
        <v>1</v>
      </c>
      <c r="X61">
        <v>1.1223529411764706</v>
      </c>
      <c r="Y61">
        <v>19.469387755102044</v>
      </c>
      <c r="Z61">
        <v>1.7999999999999998</v>
      </c>
      <c r="AA61">
        <v>5.1428571428571423</v>
      </c>
      <c r="AC61">
        <v>1.061179087875417</v>
      </c>
      <c r="AD61">
        <f t="shared" si="2"/>
        <v>2.1223581757508341</v>
      </c>
    </row>
    <row r="62" spans="1:30" x14ac:dyDescent="0.25">
      <c r="A62">
        <v>314</v>
      </c>
      <c r="B62">
        <v>132.53593781250001</v>
      </c>
      <c r="C62" s="4">
        <v>0.75</v>
      </c>
      <c r="D62">
        <v>506</v>
      </c>
      <c r="E62">
        <v>14.431691006249999</v>
      </c>
      <c r="F62" s="4">
        <v>0.17499999999999999</v>
      </c>
      <c r="G62">
        <v>312</v>
      </c>
      <c r="H62">
        <v>132.53593781250001</v>
      </c>
      <c r="I62" s="4">
        <v>0.75</v>
      </c>
      <c r="J62">
        <v>258</v>
      </c>
      <c r="K62">
        <v>26.474200840200002</v>
      </c>
      <c r="L62" s="4">
        <v>0.26500000000000001</v>
      </c>
      <c r="M62" s="5">
        <v>173.44182965895001</v>
      </c>
      <c r="N62" s="5">
        <v>1.19</v>
      </c>
      <c r="O62">
        <v>315</v>
      </c>
      <c r="P62">
        <v>132.53593781250001</v>
      </c>
      <c r="Q62" s="4">
        <v>0.75</v>
      </c>
      <c r="R62" s="5">
        <v>132.53593781250001</v>
      </c>
      <c r="S62" s="5">
        <v>0.75</v>
      </c>
      <c r="T62">
        <v>314</v>
      </c>
      <c r="U62">
        <v>3</v>
      </c>
      <c r="V62">
        <v>3</v>
      </c>
      <c r="W62">
        <v>1</v>
      </c>
      <c r="X62">
        <v>1.30864</v>
      </c>
      <c r="Y62">
        <v>1.30864</v>
      </c>
      <c r="Z62">
        <v>1.5866666666666667</v>
      </c>
      <c r="AA62">
        <v>1.5866666666666667</v>
      </c>
      <c r="AC62">
        <v>0.65432000000000001</v>
      </c>
      <c r="AD62">
        <f t="shared" si="2"/>
        <v>1.96296</v>
      </c>
    </row>
    <row r="63" spans="1:30" x14ac:dyDescent="0.25">
      <c r="A63">
        <v>164</v>
      </c>
      <c r="B63">
        <v>22.619466719999998</v>
      </c>
      <c r="C63" s="4">
        <v>0.3</v>
      </c>
      <c r="D63">
        <v>417</v>
      </c>
      <c r="E63">
        <v>21.166480142499999</v>
      </c>
      <c r="F63" s="4">
        <v>0.17499999999999999</v>
      </c>
      <c r="G63">
        <v>170</v>
      </c>
      <c r="H63">
        <v>22.619466719999998</v>
      </c>
      <c r="I63" s="4">
        <v>0.3</v>
      </c>
      <c r="K63" t="s">
        <v>229</v>
      </c>
      <c r="L63" s="4" t="s">
        <v>229</v>
      </c>
      <c r="M63" s="5">
        <v>43.785946862499998</v>
      </c>
      <c r="N63" s="5">
        <v>0.47499999999999998</v>
      </c>
      <c r="O63">
        <v>159</v>
      </c>
      <c r="P63">
        <v>22.619466719999998</v>
      </c>
      <c r="Q63" s="4">
        <v>0.3</v>
      </c>
      <c r="R63" s="5">
        <v>22.619466719999998</v>
      </c>
      <c r="S63" s="5">
        <v>0.3</v>
      </c>
      <c r="T63">
        <v>164</v>
      </c>
      <c r="U63">
        <v>2</v>
      </c>
      <c r="V63">
        <v>2</v>
      </c>
      <c r="W63">
        <v>1</v>
      </c>
      <c r="X63">
        <v>1.9357638888888888</v>
      </c>
      <c r="Y63">
        <v>1.9357638888888888</v>
      </c>
      <c r="Z63">
        <v>1.5833333333333333</v>
      </c>
      <c r="AA63">
        <v>1.5833333333333333</v>
      </c>
      <c r="AC63">
        <v>0.96788194444444442</v>
      </c>
      <c r="AD63">
        <f t="shared" si="2"/>
        <v>1.9357638888888888</v>
      </c>
    </row>
    <row r="64" spans="1:30" x14ac:dyDescent="0.25">
      <c r="A64">
        <v>170</v>
      </c>
      <c r="B64">
        <v>22.619466719999998</v>
      </c>
      <c r="C64" s="4">
        <v>0.3</v>
      </c>
      <c r="D64">
        <v>415</v>
      </c>
      <c r="E64">
        <v>21.166480142499999</v>
      </c>
      <c r="F64" s="4">
        <v>0.17499999999999999</v>
      </c>
      <c r="G64">
        <v>173</v>
      </c>
      <c r="H64">
        <v>22.619466719999998</v>
      </c>
      <c r="I64" s="4">
        <v>0.3</v>
      </c>
      <c r="K64" t="s">
        <v>229</v>
      </c>
      <c r="L64" s="4" t="s">
        <v>229</v>
      </c>
      <c r="M64" s="5">
        <v>43.785946862499998</v>
      </c>
      <c r="N64" s="5">
        <v>0.47499999999999998</v>
      </c>
      <c r="O64">
        <v>164</v>
      </c>
      <c r="P64">
        <v>22.619466719999998</v>
      </c>
      <c r="Q64" s="4">
        <v>0.3</v>
      </c>
      <c r="R64" s="5">
        <v>22.619466719999998</v>
      </c>
      <c r="S64" s="5">
        <v>0.3</v>
      </c>
      <c r="T64">
        <v>170</v>
      </c>
      <c r="U64">
        <v>2</v>
      </c>
      <c r="V64">
        <v>2</v>
      </c>
      <c r="W64">
        <v>1</v>
      </c>
      <c r="X64">
        <v>1.9357638888888888</v>
      </c>
      <c r="Y64">
        <v>1.9357638888888888</v>
      </c>
      <c r="Z64">
        <v>1.5833333333333333</v>
      </c>
      <c r="AA64">
        <v>1.5833333333333333</v>
      </c>
      <c r="AC64">
        <v>0.96788194444444442</v>
      </c>
      <c r="AD64">
        <f t="shared" si="2"/>
        <v>1.9357638888888888</v>
      </c>
    </row>
    <row r="65" spans="1:30" x14ac:dyDescent="0.25">
      <c r="A65">
        <v>173</v>
      </c>
      <c r="B65">
        <v>22.619466719999998</v>
      </c>
      <c r="C65" s="4">
        <v>0.3</v>
      </c>
      <c r="D65">
        <v>413</v>
      </c>
      <c r="E65">
        <v>21.166480142499999</v>
      </c>
      <c r="F65" s="4">
        <v>0.17499999999999999</v>
      </c>
      <c r="G65">
        <v>178</v>
      </c>
      <c r="H65">
        <v>22.619466719999998</v>
      </c>
      <c r="I65" s="4">
        <v>0.3</v>
      </c>
      <c r="K65" t="s">
        <v>229</v>
      </c>
      <c r="L65" s="4" t="s">
        <v>229</v>
      </c>
      <c r="M65" s="5">
        <v>43.785946862499998</v>
      </c>
      <c r="N65" s="5">
        <v>0.47499999999999998</v>
      </c>
      <c r="O65">
        <v>170</v>
      </c>
      <c r="P65">
        <v>22.619466719999998</v>
      </c>
      <c r="Q65" s="4">
        <v>0.3</v>
      </c>
      <c r="R65" s="5">
        <v>22.619466719999998</v>
      </c>
      <c r="S65" s="5">
        <v>0.3</v>
      </c>
      <c r="T65">
        <v>173</v>
      </c>
      <c r="U65">
        <v>2</v>
      </c>
      <c r="V65">
        <v>2</v>
      </c>
      <c r="W65">
        <v>1</v>
      </c>
      <c r="X65">
        <v>1.9357638888888888</v>
      </c>
      <c r="Y65">
        <v>1.9357638888888888</v>
      </c>
      <c r="Z65">
        <v>1.5833333333333333</v>
      </c>
      <c r="AA65">
        <v>1.5833333333333333</v>
      </c>
      <c r="AC65">
        <v>0.96788194444444442</v>
      </c>
      <c r="AD65">
        <f t="shared" si="2"/>
        <v>1.9357638888888888</v>
      </c>
    </row>
    <row r="66" spans="1:30" x14ac:dyDescent="0.25">
      <c r="A66">
        <v>178</v>
      </c>
      <c r="B66">
        <v>22.619466719999998</v>
      </c>
      <c r="C66" s="4">
        <v>0.3</v>
      </c>
      <c r="D66">
        <v>411</v>
      </c>
      <c r="E66">
        <v>21.166480142499999</v>
      </c>
      <c r="F66" s="4">
        <v>0.17499999999999999</v>
      </c>
      <c r="G66">
        <v>184</v>
      </c>
      <c r="H66">
        <v>22.619466719999998</v>
      </c>
      <c r="I66" s="4">
        <v>0.3</v>
      </c>
      <c r="K66" t="s">
        <v>229</v>
      </c>
      <c r="L66" s="4" t="s">
        <v>229</v>
      </c>
      <c r="M66" s="5">
        <v>43.785946862499998</v>
      </c>
      <c r="N66" s="5">
        <v>0.47499999999999998</v>
      </c>
      <c r="O66">
        <v>173</v>
      </c>
      <c r="P66">
        <v>22.619466719999998</v>
      </c>
      <c r="Q66" s="4">
        <v>0.3</v>
      </c>
      <c r="R66" s="5">
        <v>22.619466719999998</v>
      </c>
      <c r="S66" s="5">
        <v>0.3</v>
      </c>
      <c r="T66">
        <v>178</v>
      </c>
      <c r="U66">
        <v>2</v>
      </c>
      <c r="V66">
        <v>2</v>
      </c>
      <c r="W66">
        <v>1</v>
      </c>
      <c r="X66">
        <v>1.9357638888888888</v>
      </c>
      <c r="Y66">
        <v>1.9357638888888888</v>
      </c>
      <c r="Z66">
        <v>1.5833333333333333</v>
      </c>
      <c r="AA66">
        <v>1.5833333333333333</v>
      </c>
      <c r="AC66">
        <v>0.96788194444444442</v>
      </c>
      <c r="AD66">
        <f t="shared" ref="AD66:AD129" si="3">AC66*U66</f>
        <v>1.9357638888888888</v>
      </c>
    </row>
    <row r="67" spans="1:30" x14ac:dyDescent="0.25">
      <c r="A67">
        <v>184</v>
      </c>
      <c r="B67">
        <v>22.619466719999998</v>
      </c>
      <c r="C67" s="4">
        <v>0.3</v>
      </c>
      <c r="D67">
        <v>408</v>
      </c>
      <c r="E67">
        <v>21.166480142499999</v>
      </c>
      <c r="F67" s="4">
        <v>0.17499999999999999</v>
      </c>
      <c r="G67">
        <v>189</v>
      </c>
      <c r="H67">
        <v>22.619466719999998</v>
      </c>
      <c r="I67" s="4">
        <v>0.3</v>
      </c>
      <c r="K67" t="s">
        <v>229</v>
      </c>
      <c r="L67" s="4" t="s">
        <v>229</v>
      </c>
      <c r="M67" s="5">
        <v>43.785946862499998</v>
      </c>
      <c r="N67" s="5">
        <v>0.47499999999999998</v>
      </c>
      <c r="O67">
        <v>178</v>
      </c>
      <c r="P67">
        <v>22.619466719999998</v>
      </c>
      <c r="Q67" s="4">
        <v>0.3</v>
      </c>
      <c r="R67" s="5">
        <v>22.619466719999998</v>
      </c>
      <c r="S67" s="5">
        <v>0.3</v>
      </c>
      <c r="T67">
        <v>184</v>
      </c>
      <c r="U67">
        <v>2</v>
      </c>
      <c r="V67">
        <v>2</v>
      </c>
      <c r="W67">
        <v>1</v>
      </c>
      <c r="X67">
        <v>1.9357638888888888</v>
      </c>
      <c r="Y67">
        <v>1.9357638888888888</v>
      </c>
      <c r="Z67">
        <v>1.5833333333333333</v>
      </c>
      <c r="AA67">
        <v>1.5833333333333333</v>
      </c>
      <c r="AC67">
        <v>0.96788194444444442</v>
      </c>
      <c r="AD67">
        <f t="shared" si="3"/>
        <v>1.9357638888888888</v>
      </c>
    </row>
    <row r="68" spans="1:30" x14ac:dyDescent="0.25">
      <c r="A68">
        <v>189</v>
      </c>
      <c r="B68">
        <v>22.619466719999998</v>
      </c>
      <c r="C68" s="4">
        <v>0.3</v>
      </c>
      <c r="D68">
        <v>406</v>
      </c>
      <c r="E68">
        <v>21.166480142499999</v>
      </c>
      <c r="F68" s="4">
        <v>0.17499999999999999</v>
      </c>
      <c r="G68">
        <v>191</v>
      </c>
      <c r="H68">
        <v>22.619466719999998</v>
      </c>
      <c r="I68" s="4">
        <v>0.3</v>
      </c>
      <c r="K68" t="s">
        <v>229</v>
      </c>
      <c r="L68" s="4" t="s">
        <v>229</v>
      </c>
      <c r="M68" s="5">
        <v>43.785946862499998</v>
      </c>
      <c r="N68" s="5">
        <v>0.47499999999999998</v>
      </c>
      <c r="O68">
        <v>184</v>
      </c>
      <c r="P68">
        <v>22.619466719999998</v>
      </c>
      <c r="Q68" s="4">
        <v>0.3</v>
      </c>
      <c r="R68" s="5">
        <v>22.619466719999998</v>
      </c>
      <c r="S68" s="5">
        <v>0.3</v>
      </c>
      <c r="T68">
        <v>189</v>
      </c>
      <c r="U68">
        <v>2</v>
      </c>
      <c r="V68">
        <v>2</v>
      </c>
      <c r="W68">
        <v>1</v>
      </c>
      <c r="X68">
        <v>1.9357638888888888</v>
      </c>
      <c r="Y68">
        <v>1.9357638888888888</v>
      </c>
      <c r="Z68">
        <v>1.5833333333333333</v>
      </c>
      <c r="AA68">
        <v>1.5833333333333333</v>
      </c>
      <c r="AC68">
        <v>0.96788194444444442</v>
      </c>
      <c r="AD68">
        <f t="shared" si="3"/>
        <v>1.9357638888888888</v>
      </c>
    </row>
    <row r="69" spans="1:30" x14ac:dyDescent="0.25">
      <c r="A69">
        <v>191</v>
      </c>
      <c r="B69">
        <v>22.619466719999998</v>
      </c>
      <c r="C69" s="4">
        <v>0.3</v>
      </c>
      <c r="D69">
        <v>404</v>
      </c>
      <c r="E69">
        <v>21.166480142499999</v>
      </c>
      <c r="F69" s="4">
        <v>0.17499999999999999</v>
      </c>
      <c r="G69">
        <v>196</v>
      </c>
      <c r="H69">
        <v>22.619466719999998</v>
      </c>
      <c r="I69" s="4">
        <v>0.3</v>
      </c>
      <c r="K69" t="s">
        <v>229</v>
      </c>
      <c r="L69" s="4" t="s">
        <v>229</v>
      </c>
      <c r="M69" s="5">
        <v>43.785946862499998</v>
      </c>
      <c r="N69" s="5">
        <v>0.47499999999999998</v>
      </c>
      <c r="O69">
        <v>189</v>
      </c>
      <c r="P69">
        <v>22.619466719999998</v>
      </c>
      <c r="Q69" s="4">
        <v>0.3</v>
      </c>
      <c r="R69" s="5">
        <v>22.619466719999998</v>
      </c>
      <c r="S69" s="5">
        <v>0.3</v>
      </c>
      <c r="T69">
        <v>191</v>
      </c>
      <c r="U69">
        <v>2</v>
      </c>
      <c r="V69">
        <v>2</v>
      </c>
      <c r="W69">
        <v>1</v>
      </c>
      <c r="X69">
        <v>1.9357638888888888</v>
      </c>
      <c r="Y69">
        <v>1.9357638888888888</v>
      </c>
      <c r="Z69">
        <v>1.5833333333333333</v>
      </c>
      <c r="AA69">
        <v>1.5833333333333333</v>
      </c>
      <c r="AC69">
        <v>0.96788194444444442</v>
      </c>
      <c r="AD69">
        <f t="shared" si="3"/>
        <v>1.9357638888888888</v>
      </c>
    </row>
    <row r="70" spans="1:30" x14ac:dyDescent="0.25">
      <c r="A70">
        <v>196</v>
      </c>
      <c r="B70">
        <v>22.619466719999998</v>
      </c>
      <c r="C70" s="4">
        <v>0.3</v>
      </c>
      <c r="D70">
        <v>402</v>
      </c>
      <c r="E70">
        <v>21.166480142499999</v>
      </c>
      <c r="F70" s="4">
        <v>0.17499999999999999</v>
      </c>
      <c r="G70">
        <v>197</v>
      </c>
      <c r="H70">
        <v>22.619466719999998</v>
      </c>
      <c r="I70" s="4">
        <v>0.3</v>
      </c>
      <c r="K70" t="s">
        <v>229</v>
      </c>
      <c r="L70" s="4" t="s">
        <v>229</v>
      </c>
      <c r="M70" s="5">
        <v>43.785946862499998</v>
      </c>
      <c r="N70" s="5">
        <v>0.47499999999999998</v>
      </c>
      <c r="O70">
        <v>191</v>
      </c>
      <c r="P70">
        <v>22.619466719999998</v>
      </c>
      <c r="Q70" s="4">
        <v>0.3</v>
      </c>
      <c r="R70" s="5">
        <v>22.619466719999998</v>
      </c>
      <c r="S70" s="5">
        <v>0.3</v>
      </c>
      <c r="T70">
        <v>196</v>
      </c>
      <c r="U70">
        <v>2</v>
      </c>
      <c r="V70">
        <v>2</v>
      </c>
      <c r="W70">
        <v>1</v>
      </c>
      <c r="X70">
        <v>1.9357638888888888</v>
      </c>
      <c r="Y70">
        <v>1.9357638888888888</v>
      </c>
      <c r="Z70">
        <v>1.5833333333333333</v>
      </c>
      <c r="AA70">
        <v>1.5833333333333333</v>
      </c>
      <c r="AC70">
        <v>0.96788194444444442</v>
      </c>
      <c r="AD70">
        <f t="shared" si="3"/>
        <v>1.9357638888888888</v>
      </c>
    </row>
    <row r="71" spans="1:30" x14ac:dyDescent="0.25">
      <c r="A71">
        <v>198</v>
      </c>
      <c r="B71">
        <v>17.649467226800002</v>
      </c>
      <c r="C71" s="4">
        <v>0.26500000000000001</v>
      </c>
      <c r="D71">
        <v>398</v>
      </c>
      <c r="E71">
        <v>21.166480142499999</v>
      </c>
      <c r="F71" s="4">
        <v>0.17499999999999999</v>
      </c>
      <c r="G71">
        <v>199</v>
      </c>
      <c r="H71">
        <v>17.649467226800002</v>
      </c>
      <c r="I71" s="4">
        <v>0.26500000000000001</v>
      </c>
      <c r="K71" t="s">
        <v>229</v>
      </c>
      <c r="L71" s="4" t="s">
        <v>229</v>
      </c>
      <c r="M71" s="5">
        <v>38.815947369300005</v>
      </c>
      <c r="N71" s="5">
        <v>0.44</v>
      </c>
      <c r="O71">
        <v>197</v>
      </c>
      <c r="P71">
        <v>22.619466719999998</v>
      </c>
      <c r="Q71" s="4">
        <v>0.3</v>
      </c>
      <c r="R71" s="5">
        <v>22.619466719999998</v>
      </c>
      <c r="S71" s="5">
        <v>0.3</v>
      </c>
      <c r="T71">
        <v>198</v>
      </c>
      <c r="U71">
        <v>2</v>
      </c>
      <c r="V71">
        <v>2</v>
      </c>
      <c r="W71">
        <v>1</v>
      </c>
      <c r="X71">
        <v>1.7160416666666671</v>
      </c>
      <c r="Y71">
        <v>2.1992702029191884</v>
      </c>
      <c r="Z71">
        <v>1.4666666666666668</v>
      </c>
      <c r="AA71">
        <v>1.6603773584905659</v>
      </c>
      <c r="AC71">
        <v>0.9639179279138711</v>
      </c>
      <c r="AD71">
        <f t="shared" si="3"/>
        <v>1.9278358558277422</v>
      </c>
    </row>
    <row r="72" spans="1:30" x14ac:dyDescent="0.25">
      <c r="A72">
        <v>203</v>
      </c>
      <c r="B72">
        <v>75.398222400000023</v>
      </c>
      <c r="C72" s="4">
        <v>0.4</v>
      </c>
      <c r="D72">
        <v>468</v>
      </c>
      <c r="E72">
        <v>8.1779582368749981</v>
      </c>
      <c r="F72" s="4">
        <v>0.17499999999999999</v>
      </c>
      <c r="G72">
        <v>466</v>
      </c>
      <c r="H72">
        <v>22.128592876249996</v>
      </c>
      <c r="I72" s="4">
        <v>0.17499999999999999</v>
      </c>
      <c r="J72">
        <v>219</v>
      </c>
      <c r="K72">
        <v>50.265481600000015</v>
      </c>
      <c r="L72" s="4">
        <v>0.4</v>
      </c>
      <c r="M72" s="5">
        <v>80.572032713125012</v>
      </c>
      <c r="N72" s="5">
        <v>0.75</v>
      </c>
      <c r="O72">
        <v>210</v>
      </c>
      <c r="P72">
        <v>50.265481600000015</v>
      </c>
      <c r="Q72" s="4">
        <v>0.4</v>
      </c>
      <c r="R72" s="5">
        <v>50.265481600000015</v>
      </c>
      <c r="S72" s="5">
        <v>0.4</v>
      </c>
      <c r="T72">
        <v>203</v>
      </c>
      <c r="U72">
        <v>3</v>
      </c>
      <c r="V72">
        <v>3</v>
      </c>
      <c r="W72">
        <v>1</v>
      </c>
      <c r="X72">
        <v>1.6029296874999996</v>
      </c>
      <c r="Y72">
        <v>1.0686197916666664</v>
      </c>
      <c r="Z72">
        <v>1.875</v>
      </c>
      <c r="AA72">
        <v>1.875</v>
      </c>
      <c r="AC72">
        <v>0.64117187499999995</v>
      </c>
      <c r="AD72">
        <f t="shared" si="3"/>
        <v>1.9235156249999998</v>
      </c>
    </row>
    <row r="73" spans="1:30" x14ac:dyDescent="0.25">
      <c r="A73">
        <v>299</v>
      </c>
      <c r="B73">
        <v>40.212385280000007</v>
      </c>
      <c r="C73" s="4">
        <v>0.4</v>
      </c>
      <c r="D73">
        <v>495</v>
      </c>
      <c r="E73">
        <v>19.242254674999998</v>
      </c>
      <c r="F73" s="4">
        <v>0.17499999999999999</v>
      </c>
      <c r="G73">
        <v>486</v>
      </c>
      <c r="H73">
        <v>14.431691006249999</v>
      </c>
      <c r="I73" s="4">
        <v>0.17499999999999999</v>
      </c>
      <c r="J73">
        <v>298</v>
      </c>
      <c r="K73">
        <v>15.707962999999999</v>
      </c>
      <c r="L73" s="4">
        <v>0.25</v>
      </c>
      <c r="M73" s="5">
        <v>49.381908681249996</v>
      </c>
      <c r="N73" s="5">
        <v>0.6</v>
      </c>
      <c r="O73">
        <v>329</v>
      </c>
      <c r="P73">
        <v>37.699111200000011</v>
      </c>
      <c r="Q73" s="4">
        <v>0.4</v>
      </c>
      <c r="R73" s="5">
        <v>37.699111200000011</v>
      </c>
      <c r="S73" s="5">
        <v>0.4</v>
      </c>
      <c r="T73">
        <v>299</v>
      </c>
      <c r="U73">
        <v>3</v>
      </c>
      <c r="V73">
        <v>3</v>
      </c>
      <c r="W73">
        <v>1</v>
      </c>
      <c r="X73">
        <v>1.3098958333333328</v>
      </c>
      <c r="Y73">
        <v>1.2280273437499998</v>
      </c>
      <c r="Z73">
        <v>1.4999999999999998</v>
      </c>
      <c r="AA73">
        <v>1.4999999999999998</v>
      </c>
      <c r="AC73">
        <v>0.63382056451612889</v>
      </c>
      <c r="AD73">
        <f t="shared" si="3"/>
        <v>1.9014616935483866</v>
      </c>
    </row>
    <row r="74" spans="1:30" x14ac:dyDescent="0.25">
      <c r="A74">
        <v>321</v>
      </c>
      <c r="B74">
        <v>80.424770560000013</v>
      </c>
      <c r="C74" s="4">
        <v>0.4</v>
      </c>
      <c r="D74">
        <v>525</v>
      </c>
      <c r="E74">
        <v>12.026409171874999</v>
      </c>
      <c r="F74" s="4">
        <v>0.17499999999999999</v>
      </c>
      <c r="G74">
        <v>504</v>
      </c>
      <c r="H74">
        <v>14.431691006249999</v>
      </c>
      <c r="I74" s="4">
        <v>0.17499999999999999</v>
      </c>
      <c r="J74">
        <v>322</v>
      </c>
      <c r="K74">
        <v>75.398222400000023</v>
      </c>
      <c r="L74" s="4">
        <v>0.4</v>
      </c>
      <c r="M74" s="5">
        <v>101.85632257812502</v>
      </c>
      <c r="N74" s="5">
        <v>0.75</v>
      </c>
      <c r="O74">
        <v>320</v>
      </c>
      <c r="P74">
        <v>82.466805750000006</v>
      </c>
      <c r="Q74" s="4">
        <v>0.5</v>
      </c>
      <c r="R74" s="5">
        <v>82.466805750000006</v>
      </c>
      <c r="S74" s="5">
        <v>0.5</v>
      </c>
      <c r="T74">
        <v>321</v>
      </c>
      <c r="U74">
        <v>3</v>
      </c>
      <c r="V74">
        <v>3</v>
      </c>
      <c r="W74">
        <v>1</v>
      </c>
      <c r="X74">
        <v>1.2351190476190477</v>
      </c>
      <c r="Y74">
        <v>1.2664794921875</v>
      </c>
      <c r="Z74">
        <v>1.5</v>
      </c>
      <c r="AA74">
        <v>1.875</v>
      </c>
      <c r="AC74">
        <v>0.62530135004821608</v>
      </c>
      <c r="AD74">
        <f t="shared" si="3"/>
        <v>1.8759040501446482</v>
      </c>
    </row>
    <row r="75" spans="1:30" x14ac:dyDescent="0.25">
      <c r="A75">
        <v>110</v>
      </c>
      <c r="B75">
        <v>17.592918560000005</v>
      </c>
      <c r="C75" s="4">
        <v>0.2</v>
      </c>
      <c r="D75">
        <v>109</v>
      </c>
      <c r="E75">
        <v>14.431691006249999</v>
      </c>
      <c r="F75" s="4">
        <v>0.17499999999999999</v>
      </c>
      <c r="G75">
        <v>106</v>
      </c>
      <c r="H75">
        <v>13.469578272499998</v>
      </c>
      <c r="I75" s="4">
        <v>0.17499999999999999</v>
      </c>
      <c r="K75" t="s">
        <v>229</v>
      </c>
      <c r="L75" s="4" t="s">
        <v>229</v>
      </c>
      <c r="M75" s="5">
        <v>27.901269278749997</v>
      </c>
      <c r="N75" s="5">
        <v>0.35</v>
      </c>
      <c r="O75">
        <v>111</v>
      </c>
      <c r="P75">
        <v>12.566370400000004</v>
      </c>
      <c r="Q75" s="4">
        <v>0.2</v>
      </c>
      <c r="R75" s="5">
        <v>12.566370400000004</v>
      </c>
      <c r="S75" s="5">
        <v>0.2</v>
      </c>
      <c r="T75">
        <v>110</v>
      </c>
      <c r="U75">
        <v>2</v>
      </c>
      <c r="V75">
        <v>2</v>
      </c>
      <c r="W75">
        <v>1</v>
      </c>
      <c r="X75">
        <v>2.220312499999999</v>
      </c>
      <c r="Y75">
        <v>1.5859374999999993</v>
      </c>
      <c r="Z75">
        <v>1.7499999999999998</v>
      </c>
      <c r="AA75">
        <v>1.7499999999999998</v>
      </c>
      <c r="AC75">
        <v>0.92513020833333293</v>
      </c>
      <c r="AD75">
        <f t="shared" si="3"/>
        <v>1.8502604166666659</v>
      </c>
    </row>
    <row r="76" spans="1:30" x14ac:dyDescent="0.25">
      <c r="A76">
        <v>30</v>
      </c>
      <c r="B76">
        <v>17.649467226800002</v>
      </c>
      <c r="C76" s="4">
        <v>0.26500000000000001</v>
      </c>
      <c r="D76">
        <v>300</v>
      </c>
      <c r="E76">
        <v>48.536034873700011</v>
      </c>
      <c r="F76" s="4">
        <v>0.26500000000000001</v>
      </c>
      <c r="H76" t="s">
        <v>229</v>
      </c>
      <c r="I76" s="4" t="s">
        <v>229</v>
      </c>
      <c r="K76" t="s">
        <v>229</v>
      </c>
      <c r="L76" s="4" t="s">
        <v>229</v>
      </c>
      <c r="M76" s="5">
        <v>48.536034873700011</v>
      </c>
      <c r="N76" s="5">
        <v>0.26500000000000001</v>
      </c>
      <c r="O76">
        <v>31</v>
      </c>
      <c r="P76">
        <v>8.8247336134000012</v>
      </c>
      <c r="Q76" s="4">
        <v>0.26500000000000001</v>
      </c>
      <c r="R76" s="5">
        <v>8.8247336134000012</v>
      </c>
      <c r="S76" s="5">
        <v>0.26500000000000001</v>
      </c>
      <c r="T76">
        <v>30</v>
      </c>
      <c r="U76">
        <v>1</v>
      </c>
      <c r="V76">
        <v>1</v>
      </c>
      <c r="W76">
        <v>1</v>
      </c>
      <c r="X76">
        <v>5.5000000000000009</v>
      </c>
      <c r="Y76">
        <v>2.7500000000000004</v>
      </c>
      <c r="Z76">
        <v>1</v>
      </c>
      <c r="AA76">
        <v>1</v>
      </c>
      <c r="AC76">
        <v>1.8333333333333335</v>
      </c>
      <c r="AD76">
        <f t="shared" si="3"/>
        <v>1.8333333333333335</v>
      </c>
    </row>
    <row r="77" spans="1:30" x14ac:dyDescent="0.25">
      <c r="A77">
        <v>325</v>
      </c>
      <c r="B77">
        <v>37.699111200000011</v>
      </c>
      <c r="C77" s="4">
        <v>0.4</v>
      </c>
      <c r="D77">
        <v>515</v>
      </c>
      <c r="E77">
        <v>16.355916473749996</v>
      </c>
      <c r="F77" s="4">
        <v>0.17499999999999999</v>
      </c>
      <c r="G77">
        <v>502</v>
      </c>
      <c r="H77">
        <v>14.431691006249999</v>
      </c>
      <c r="I77" s="4">
        <v>0.17499999999999999</v>
      </c>
      <c r="J77">
        <v>326</v>
      </c>
      <c r="K77">
        <v>37.699111200000011</v>
      </c>
      <c r="L77" s="4">
        <v>0.4</v>
      </c>
      <c r="M77" s="5">
        <v>68.48671868000001</v>
      </c>
      <c r="N77" s="5">
        <v>0.75</v>
      </c>
      <c r="O77">
        <v>324</v>
      </c>
      <c r="P77">
        <v>75.398222400000023</v>
      </c>
      <c r="Q77" s="4">
        <v>0.4</v>
      </c>
      <c r="R77" s="5">
        <v>75.398222400000023</v>
      </c>
      <c r="S77" s="5">
        <v>0.4</v>
      </c>
      <c r="T77">
        <v>325</v>
      </c>
      <c r="U77">
        <v>3</v>
      </c>
      <c r="V77">
        <v>3</v>
      </c>
      <c r="W77">
        <v>1</v>
      </c>
      <c r="X77">
        <v>0.90833333333333321</v>
      </c>
      <c r="Y77">
        <v>1.8166666666666664</v>
      </c>
      <c r="Z77">
        <v>1.875</v>
      </c>
      <c r="AA77">
        <v>1.875</v>
      </c>
      <c r="AC77">
        <v>0.6055555555555554</v>
      </c>
      <c r="AD77">
        <f t="shared" si="3"/>
        <v>1.8166666666666662</v>
      </c>
    </row>
    <row r="78" spans="1:30" x14ac:dyDescent="0.25">
      <c r="A78">
        <v>311</v>
      </c>
      <c r="B78">
        <v>132.53593781250001</v>
      </c>
      <c r="C78" s="4">
        <v>0.75</v>
      </c>
      <c r="D78">
        <v>507</v>
      </c>
      <c r="E78">
        <v>14.431691006249999</v>
      </c>
      <c r="F78" s="4">
        <v>0.17499999999999999</v>
      </c>
      <c r="G78">
        <v>310</v>
      </c>
      <c r="H78">
        <v>132.53593781250001</v>
      </c>
      <c r="I78" s="4">
        <v>0.75</v>
      </c>
      <c r="J78">
        <v>261</v>
      </c>
      <c r="K78">
        <v>11.545352804999998</v>
      </c>
      <c r="L78" s="4">
        <v>0.17499999999999999</v>
      </c>
      <c r="M78" s="5">
        <v>158.51298162374999</v>
      </c>
      <c r="N78" s="5">
        <v>1.1000000000000001</v>
      </c>
      <c r="O78">
        <v>313</v>
      </c>
      <c r="P78">
        <v>132.53593781250001</v>
      </c>
      <c r="Q78" s="4">
        <v>0.75</v>
      </c>
      <c r="R78" s="5">
        <v>132.53593781250001</v>
      </c>
      <c r="S78" s="5">
        <v>0.75</v>
      </c>
      <c r="T78">
        <v>311</v>
      </c>
      <c r="U78">
        <v>3</v>
      </c>
      <c r="V78">
        <v>3</v>
      </c>
      <c r="W78">
        <v>1</v>
      </c>
      <c r="X78">
        <v>1.196</v>
      </c>
      <c r="Y78">
        <v>1.196</v>
      </c>
      <c r="Z78">
        <v>1.4666666666666668</v>
      </c>
      <c r="AA78">
        <v>1.4666666666666668</v>
      </c>
      <c r="AC78">
        <v>0.59799999999999998</v>
      </c>
      <c r="AD78">
        <f t="shared" si="3"/>
        <v>1.794</v>
      </c>
    </row>
    <row r="79" spans="1:30" x14ac:dyDescent="0.25">
      <c r="A79">
        <v>231</v>
      </c>
      <c r="B79">
        <v>16.355916473749996</v>
      </c>
      <c r="C79" s="4">
        <v>0.17499999999999999</v>
      </c>
      <c r="D79">
        <v>274</v>
      </c>
      <c r="E79">
        <v>4.8105636687499995</v>
      </c>
      <c r="F79" s="4">
        <v>0.17499999999999999</v>
      </c>
      <c r="G79">
        <v>230</v>
      </c>
      <c r="H79">
        <v>26.939156544999996</v>
      </c>
      <c r="I79" s="4">
        <v>0.17499999999999999</v>
      </c>
      <c r="K79" t="s">
        <v>229</v>
      </c>
      <c r="L79" s="4" t="s">
        <v>229</v>
      </c>
      <c r="M79" s="5">
        <v>31.749720213749995</v>
      </c>
      <c r="N79" s="5">
        <v>0.35</v>
      </c>
      <c r="O79">
        <v>217</v>
      </c>
      <c r="P79">
        <v>19.242254674999998</v>
      </c>
      <c r="Q79" s="4">
        <v>0.17499999999999999</v>
      </c>
      <c r="R79" s="5">
        <v>19.242254674999998</v>
      </c>
      <c r="S79" s="5">
        <v>0.17499999999999999</v>
      </c>
      <c r="T79">
        <v>231</v>
      </c>
      <c r="U79">
        <v>2</v>
      </c>
      <c r="V79">
        <v>2</v>
      </c>
      <c r="W79">
        <v>1</v>
      </c>
      <c r="X79">
        <v>1.65</v>
      </c>
      <c r="Y79">
        <v>1.9411764705882355</v>
      </c>
      <c r="Z79">
        <v>2</v>
      </c>
      <c r="AA79">
        <v>2</v>
      </c>
      <c r="AC79">
        <v>0.89189189189189177</v>
      </c>
      <c r="AD79">
        <f t="shared" si="3"/>
        <v>1.7837837837837835</v>
      </c>
    </row>
    <row r="80" spans="1:30" x14ac:dyDescent="0.25">
      <c r="A80">
        <v>105</v>
      </c>
      <c r="B80">
        <v>30.787607479999995</v>
      </c>
      <c r="C80" s="4">
        <v>0.17499999999999999</v>
      </c>
      <c r="D80">
        <v>430</v>
      </c>
      <c r="E80">
        <v>20.204367408749999</v>
      </c>
      <c r="F80" s="4">
        <v>0.17499999999999999</v>
      </c>
      <c r="G80">
        <v>104</v>
      </c>
      <c r="H80">
        <v>19.242254674999998</v>
      </c>
      <c r="I80" s="4">
        <v>0.17499999999999999</v>
      </c>
      <c r="K80" t="s">
        <v>229</v>
      </c>
      <c r="L80" s="4" t="s">
        <v>229</v>
      </c>
      <c r="M80" s="5">
        <v>39.44662208375</v>
      </c>
      <c r="N80" s="5">
        <v>0.35</v>
      </c>
      <c r="O80">
        <v>106</v>
      </c>
      <c r="P80">
        <v>13.469578272499998</v>
      </c>
      <c r="Q80" s="4">
        <v>0.17499999999999999</v>
      </c>
      <c r="R80" s="5">
        <v>13.469578272499998</v>
      </c>
      <c r="S80" s="5">
        <v>0.17499999999999999</v>
      </c>
      <c r="T80">
        <v>105</v>
      </c>
      <c r="U80">
        <v>2</v>
      </c>
      <c r="V80">
        <v>2</v>
      </c>
      <c r="W80">
        <v>1</v>
      </c>
      <c r="X80">
        <v>2.9285714285714288</v>
      </c>
      <c r="Y80">
        <v>1.2812500000000002</v>
      </c>
      <c r="Z80">
        <v>2</v>
      </c>
      <c r="AA80">
        <v>2</v>
      </c>
      <c r="AC80">
        <v>0.89130434782608714</v>
      </c>
      <c r="AD80">
        <f t="shared" si="3"/>
        <v>1.7826086956521743</v>
      </c>
    </row>
    <row r="81" spans="1:30" x14ac:dyDescent="0.25">
      <c r="A81">
        <v>62</v>
      </c>
      <c r="B81">
        <v>4.8105636687499995</v>
      </c>
      <c r="C81" s="4">
        <v>0.17499999999999999</v>
      </c>
      <c r="D81">
        <v>66</v>
      </c>
      <c r="E81">
        <v>25.977043811249995</v>
      </c>
      <c r="F81" s="4">
        <v>0.17499999999999999</v>
      </c>
      <c r="H81" t="s">
        <v>229</v>
      </c>
      <c r="I81" s="4" t="s">
        <v>229</v>
      </c>
      <c r="K81" t="s">
        <v>229</v>
      </c>
      <c r="L81" s="4" t="s">
        <v>229</v>
      </c>
      <c r="M81" s="5">
        <v>25.977043811249995</v>
      </c>
      <c r="N81" s="5">
        <v>0.17499999999999999</v>
      </c>
      <c r="O81">
        <v>103</v>
      </c>
      <c r="P81">
        <v>10.102183704374999</v>
      </c>
      <c r="Q81" s="4">
        <v>0.17499999999999999</v>
      </c>
      <c r="R81" s="5">
        <v>10.102183704374999</v>
      </c>
      <c r="S81" s="5">
        <v>0.17499999999999999</v>
      </c>
      <c r="T81">
        <v>62</v>
      </c>
      <c r="U81">
        <v>1</v>
      </c>
      <c r="V81">
        <v>1</v>
      </c>
      <c r="W81">
        <v>1</v>
      </c>
      <c r="X81">
        <v>2.5714285714285712</v>
      </c>
      <c r="Y81">
        <v>5.3999999999999995</v>
      </c>
      <c r="Z81">
        <v>1</v>
      </c>
      <c r="AA81">
        <v>1</v>
      </c>
      <c r="AC81">
        <v>1.7419354838709675</v>
      </c>
      <c r="AD81">
        <f t="shared" si="3"/>
        <v>1.7419354838709675</v>
      </c>
    </row>
    <row r="82" spans="1:30" x14ac:dyDescent="0.25">
      <c r="A82">
        <v>246</v>
      </c>
      <c r="B82">
        <v>10.053096320000002</v>
      </c>
      <c r="C82" s="4">
        <v>0.2</v>
      </c>
      <c r="D82">
        <v>235</v>
      </c>
      <c r="E82">
        <v>10.053096320000002</v>
      </c>
      <c r="F82" s="4">
        <v>0.2</v>
      </c>
      <c r="G82">
        <v>168</v>
      </c>
      <c r="H82">
        <v>13.950634639374998</v>
      </c>
      <c r="I82" s="4">
        <v>0.17499999999999999</v>
      </c>
      <c r="K82" t="s">
        <v>229</v>
      </c>
      <c r="L82" s="4" t="s">
        <v>229</v>
      </c>
      <c r="M82" s="5">
        <v>24.003730959374998</v>
      </c>
      <c r="N82" s="5">
        <v>0.375</v>
      </c>
      <c r="O82">
        <v>257</v>
      </c>
      <c r="P82">
        <v>17.649467226800002</v>
      </c>
      <c r="Q82" s="4">
        <v>0.26500000000000001</v>
      </c>
      <c r="R82" s="5">
        <v>17.649467226800002</v>
      </c>
      <c r="S82" s="5">
        <v>0.26500000000000001</v>
      </c>
      <c r="T82">
        <v>246</v>
      </c>
      <c r="U82">
        <v>2</v>
      </c>
      <c r="V82">
        <v>2</v>
      </c>
      <c r="W82">
        <v>1</v>
      </c>
      <c r="X82">
        <v>1.3600258098967601</v>
      </c>
      <c r="Y82">
        <v>2.3876953124999996</v>
      </c>
      <c r="Z82">
        <v>1.4150943396226414</v>
      </c>
      <c r="AA82">
        <v>1.875</v>
      </c>
      <c r="AC82">
        <v>0.8664804944431842</v>
      </c>
      <c r="AD82">
        <f t="shared" si="3"/>
        <v>1.7329609888863684</v>
      </c>
    </row>
    <row r="83" spans="1:30" x14ac:dyDescent="0.25">
      <c r="A83">
        <v>197</v>
      </c>
      <c r="B83">
        <v>22.619466719999998</v>
      </c>
      <c r="C83" s="4">
        <v>0.3</v>
      </c>
      <c r="D83">
        <v>400</v>
      </c>
      <c r="E83">
        <v>21.166480142499999</v>
      </c>
      <c r="F83" s="4">
        <v>0.17499999999999999</v>
      </c>
      <c r="G83">
        <v>198</v>
      </c>
      <c r="H83">
        <v>17.649467226800002</v>
      </c>
      <c r="I83" s="4">
        <v>0.26500000000000001</v>
      </c>
      <c r="K83" t="s">
        <v>229</v>
      </c>
      <c r="L83" s="4" t="s">
        <v>229</v>
      </c>
      <c r="M83" s="5">
        <v>38.815947369300005</v>
      </c>
      <c r="N83" s="5">
        <v>0.44</v>
      </c>
      <c r="O83">
        <v>196</v>
      </c>
      <c r="P83">
        <v>22.619466719999998</v>
      </c>
      <c r="Q83" s="4">
        <v>0.3</v>
      </c>
      <c r="R83" s="5">
        <v>22.619466719999998</v>
      </c>
      <c r="S83" s="5">
        <v>0.3</v>
      </c>
      <c r="T83">
        <v>197</v>
      </c>
      <c r="U83">
        <v>2</v>
      </c>
      <c r="V83">
        <v>2</v>
      </c>
      <c r="W83">
        <v>1</v>
      </c>
      <c r="X83">
        <v>1.7160416666666671</v>
      </c>
      <c r="Y83">
        <v>1.7160416666666671</v>
      </c>
      <c r="Z83">
        <v>1.4666666666666668</v>
      </c>
      <c r="AA83">
        <v>1.4666666666666668</v>
      </c>
      <c r="AC83">
        <v>0.85802083333333357</v>
      </c>
      <c r="AD83">
        <f t="shared" si="3"/>
        <v>1.7160416666666671</v>
      </c>
    </row>
    <row r="84" spans="1:30" x14ac:dyDescent="0.25">
      <c r="A84">
        <v>280</v>
      </c>
      <c r="B84">
        <v>14.431691006249999</v>
      </c>
      <c r="C84" s="4">
        <v>0.17499999999999999</v>
      </c>
      <c r="D84">
        <v>485</v>
      </c>
      <c r="E84">
        <v>15.393803739999997</v>
      </c>
      <c r="F84" s="4">
        <v>0.17499999999999999</v>
      </c>
      <c r="G84">
        <v>484</v>
      </c>
      <c r="H84">
        <v>15.393803739999997</v>
      </c>
      <c r="I84" s="4">
        <v>0.17499999999999999</v>
      </c>
      <c r="J84">
        <v>124</v>
      </c>
      <c r="K84">
        <v>9.1400709706249987</v>
      </c>
      <c r="L84" s="4">
        <v>0.17499999999999999</v>
      </c>
      <c r="M84" s="5">
        <v>39.927678450624995</v>
      </c>
      <c r="N84" s="5">
        <v>0.52499999999999991</v>
      </c>
      <c r="O84">
        <v>285</v>
      </c>
      <c r="P84">
        <v>58.904861250000003</v>
      </c>
      <c r="Q84" s="4">
        <v>0.5</v>
      </c>
      <c r="R84" s="5">
        <v>58.904861250000003</v>
      </c>
      <c r="S84" s="5">
        <v>0.5</v>
      </c>
      <c r="T84">
        <v>280</v>
      </c>
      <c r="U84">
        <v>3</v>
      </c>
      <c r="V84">
        <v>3</v>
      </c>
      <c r="W84">
        <v>1</v>
      </c>
      <c r="X84">
        <v>0.67783333333333318</v>
      </c>
      <c r="Y84">
        <v>2.7666666666666666</v>
      </c>
      <c r="Z84">
        <v>1.0499999999999998</v>
      </c>
      <c r="AA84">
        <v>2.9999999999999996</v>
      </c>
      <c r="AC84">
        <v>0.5444444444444444</v>
      </c>
      <c r="AD84">
        <f t="shared" si="3"/>
        <v>1.6333333333333333</v>
      </c>
    </row>
    <row r="85" spans="1:30" x14ac:dyDescent="0.25">
      <c r="A85">
        <v>141</v>
      </c>
      <c r="B85">
        <v>17.799085574374995</v>
      </c>
      <c r="C85" s="4">
        <v>0.17499999999999999</v>
      </c>
      <c r="D85">
        <v>444</v>
      </c>
      <c r="E85">
        <v>7.6969018699999987</v>
      </c>
      <c r="F85" s="4">
        <v>0.17499999999999999</v>
      </c>
      <c r="G85">
        <v>91</v>
      </c>
      <c r="H85">
        <v>21.166480142499999</v>
      </c>
      <c r="I85" s="4">
        <v>0.17499999999999999</v>
      </c>
      <c r="K85" t="s">
        <v>229</v>
      </c>
      <c r="L85" s="4" t="s">
        <v>229</v>
      </c>
      <c r="M85" s="5">
        <v>28.863382012499997</v>
      </c>
      <c r="N85" s="5">
        <v>0.35</v>
      </c>
      <c r="O85">
        <v>142</v>
      </c>
      <c r="P85">
        <v>17.799085574374995</v>
      </c>
      <c r="Q85" s="4">
        <v>0.17499999999999999</v>
      </c>
      <c r="R85" s="5">
        <v>17.799085574374995</v>
      </c>
      <c r="S85" s="5">
        <v>0.17499999999999999</v>
      </c>
      <c r="T85">
        <v>141</v>
      </c>
      <c r="U85">
        <v>2</v>
      </c>
      <c r="V85">
        <v>2</v>
      </c>
      <c r="W85">
        <v>1</v>
      </c>
      <c r="X85">
        <v>1.6216216216216219</v>
      </c>
      <c r="Y85">
        <v>1.6216216216216219</v>
      </c>
      <c r="Z85">
        <v>2</v>
      </c>
      <c r="AA85">
        <v>2</v>
      </c>
      <c r="AC85">
        <v>0.81081081081081097</v>
      </c>
      <c r="AD85">
        <f t="shared" si="3"/>
        <v>1.6216216216216219</v>
      </c>
    </row>
    <row r="86" spans="1:30" x14ac:dyDescent="0.25">
      <c r="A86">
        <v>71</v>
      </c>
      <c r="B86">
        <v>90.477866879999993</v>
      </c>
      <c r="C86" s="4">
        <v>0.6</v>
      </c>
      <c r="D86">
        <v>479</v>
      </c>
      <c r="E86">
        <v>21.647536509374998</v>
      </c>
      <c r="F86" s="4">
        <v>0.17499999999999999</v>
      </c>
      <c r="G86">
        <v>70</v>
      </c>
      <c r="H86">
        <v>124.40706696000001</v>
      </c>
      <c r="I86" s="4">
        <v>0.6</v>
      </c>
      <c r="K86" t="s">
        <v>229</v>
      </c>
      <c r="L86" s="4" t="s">
        <v>229</v>
      </c>
      <c r="M86" s="5">
        <v>146.054603469375</v>
      </c>
      <c r="N86" s="5">
        <v>0.77499999999999991</v>
      </c>
      <c r="O86">
        <v>72</v>
      </c>
      <c r="P86">
        <v>90.477866879999993</v>
      </c>
      <c r="Q86" s="4">
        <v>0.6</v>
      </c>
      <c r="R86" s="5">
        <v>90.477866879999993</v>
      </c>
      <c r="S86" s="5">
        <v>0.6</v>
      </c>
      <c r="T86">
        <v>71</v>
      </c>
      <c r="U86">
        <v>2</v>
      </c>
      <c r="V86">
        <v>2</v>
      </c>
      <c r="W86">
        <v>1</v>
      </c>
      <c r="X86">
        <v>1.6142578125</v>
      </c>
      <c r="Y86">
        <v>1.6142578125</v>
      </c>
      <c r="Z86">
        <v>1.2916666666666665</v>
      </c>
      <c r="AA86">
        <v>1.2916666666666665</v>
      </c>
      <c r="AC86">
        <v>0.80712890625</v>
      </c>
      <c r="AD86">
        <f t="shared" si="3"/>
        <v>1.6142578125</v>
      </c>
    </row>
    <row r="87" spans="1:30" x14ac:dyDescent="0.25">
      <c r="A87">
        <v>129</v>
      </c>
      <c r="B87">
        <v>15.393803739999997</v>
      </c>
      <c r="C87" s="4">
        <v>0.17499999999999999</v>
      </c>
      <c r="D87">
        <v>439</v>
      </c>
      <c r="E87">
        <v>15.393803739999997</v>
      </c>
      <c r="F87" s="4">
        <v>0.17499999999999999</v>
      </c>
      <c r="G87">
        <v>131</v>
      </c>
      <c r="H87">
        <v>22.128592876249996</v>
      </c>
      <c r="I87" s="4">
        <v>0.17499999999999999</v>
      </c>
      <c r="K87" t="s">
        <v>229</v>
      </c>
      <c r="L87" s="4" t="s">
        <v>229</v>
      </c>
      <c r="M87" s="5">
        <v>37.522396616249992</v>
      </c>
      <c r="N87" s="5">
        <v>0.35</v>
      </c>
      <c r="O87">
        <v>128</v>
      </c>
      <c r="P87">
        <v>31.101766740000002</v>
      </c>
      <c r="Q87" s="4">
        <v>0.3</v>
      </c>
      <c r="R87" s="5">
        <v>31.101766740000002</v>
      </c>
      <c r="S87" s="5">
        <v>0.3</v>
      </c>
      <c r="T87">
        <v>129</v>
      </c>
      <c r="U87">
        <v>2</v>
      </c>
      <c r="V87">
        <v>2</v>
      </c>
      <c r="W87">
        <v>1</v>
      </c>
      <c r="X87">
        <v>1.2064393939393936</v>
      </c>
      <c r="Y87">
        <v>2.4375</v>
      </c>
      <c r="Z87">
        <v>1.1666666666666667</v>
      </c>
      <c r="AA87">
        <v>2</v>
      </c>
      <c r="AC87">
        <v>0.80701013513513498</v>
      </c>
      <c r="AD87">
        <f t="shared" si="3"/>
        <v>1.61402027027027</v>
      </c>
    </row>
    <row r="88" spans="1:30" x14ac:dyDescent="0.25">
      <c r="A88">
        <v>90</v>
      </c>
      <c r="B88">
        <v>35.298934453600005</v>
      </c>
      <c r="C88" s="4">
        <v>0.26500000000000001</v>
      </c>
      <c r="D88">
        <v>440</v>
      </c>
      <c r="E88">
        <v>10.58324007125</v>
      </c>
      <c r="F88" s="4">
        <v>0.17499999999999999</v>
      </c>
      <c r="G88">
        <v>79</v>
      </c>
      <c r="H88">
        <v>33.092751050250008</v>
      </c>
      <c r="I88" s="4">
        <v>0.26500000000000001</v>
      </c>
      <c r="K88" t="s">
        <v>229</v>
      </c>
      <c r="L88" s="4" t="s">
        <v>229</v>
      </c>
      <c r="M88" s="5">
        <v>43.675991121500005</v>
      </c>
      <c r="N88" s="5">
        <v>0.44</v>
      </c>
      <c r="O88">
        <v>101</v>
      </c>
      <c r="P88">
        <v>19.855650630150002</v>
      </c>
      <c r="Q88" s="4">
        <v>0.26500000000000001</v>
      </c>
      <c r="R88" s="5">
        <v>19.855650630150002</v>
      </c>
      <c r="S88" s="5">
        <v>0.26500000000000001</v>
      </c>
      <c r="T88">
        <v>90</v>
      </c>
      <c r="U88">
        <v>2</v>
      </c>
      <c r="V88">
        <v>2</v>
      </c>
      <c r="W88">
        <v>1</v>
      </c>
      <c r="X88">
        <v>2.1996756457418614</v>
      </c>
      <c r="Y88">
        <v>1.2373175507297971</v>
      </c>
      <c r="Z88">
        <v>1.6603773584905659</v>
      </c>
      <c r="AA88">
        <v>1.6603773584905659</v>
      </c>
      <c r="AC88">
        <v>0.79188323246707015</v>
      </c>
      <c r="AD88">
        <f t="shared" si="3"/>
        <v>1.5837664649341403</v>
      </c>
    </row>
    <row r="89" spans="1:30" x14ac:dyDescent="0.25">
      <c r="A89">
        <v>309</v>
      </c>
      <c r="B89">
        <v>84.823000199999996</v>
      </c>
      <c r="C89" s="4">
        <v>0.6</v>
      </c>
      <c r="D89">
        <v>508</v>
      </c>
      <c r="E89">
        <v>14.431691006249999</v>
      </c>
      <c r="F89" s="4">
        <v>0.17499999999999999</v>
      </c>
      <c r="G89">
        <v>308</v>
      </c>
      <c r="H89">
        <v>84.823000199999996</v>
      </c>
      <c r="I89" s="4">
        <v>0.6</v>
      </c>
      <c r="J89">
        <v>263</v>
      </c>
      <c r="K89">
        <v>15.079644480000002</v>
      </c>
      <c r="L89" s="4">
        <v>0.2</v>
      </c>
      <c r="M89" s="5">
        <v>114.33433568624999</v>
      </c>
      <c r="N89" s="5">
        <v>0.97499999999999987</v>
      </c>
      <c r="O89">
        <v>310</v>
      </c>
      <c r="P89">
        <v>132.53593781250001</v>
      </c>
      <c r="Q89" s="4">
        <v>0.75</v>
      </c>
      <c r="R89" s="5">
        <v>132.53593781250001</v>
      </c>
      <c r="S89" s="5">
        <v>0.75</v>
      </c>
      <c r="T89">
        <v>309</v>
      </c>
      <c r="U89">
        <v>3</v>
      </c>
      <c r="V89">
        <v>3</v>
      </c>
      <c r="W89">
        <v>1</v>
      </c>
      <c r="X89">
        <v>0.86266666666666647</v>
      </c>
      <c r="Y89">
        <v>1.3479166666666667</v>
      </c>
      <c r="Z89">
        <v>1.2999999999999998</v>
      </c>
      <c r="AA89">
        <v>1.6249999999999998</v>
      </c>
      <c r="AC89">
        <v>0.5260162601626015</v>
      </c>
      <c r="AD89">
        <f t="shared" si="3"/>
        <v>1.5780487804878045</v>
      </c>
    </row>
    <row r="90" spans="1:30" x14ac:dyDescent="0.25">
      <c r="A90">
        <v>303</v>
      </c>
      <c r="B90">
        <v>226.1946672</v>
      </c>
      <c r="C90" s="4">
        <v>0.6</v>
      </c>
      <c r="D90">
        <v>304</v>
      </c>
      <c r="E90">
        <v>192.26546711999998</v>
      </c>
      <c r="F90" s="4">
        <v>0.6</v>
      </c>
      <c r="G90">
        <v>302</v>
      </c>
      <c r="H90">
        <v>6.2831852000000019</v>
      </c>
      <c r="I90" s="4">
        <v>0.2</v>
      </c>
      <c r="J90">
        <v>272</v>
      </c>
      <c r="K90">
        <v>52.916200356249988</v>
      </c>
      <c r="L90" s="4">
        <v>0.17499999999999999</v>
      </c>
      <c r="M90" s="5">
        <v>251.46485267624996</v>
      </c>
      <c r="N90" s="5">
        <v>0.97500000000000009</v>
      </c>
      <c r="O90">
        <v>29</v>
      </c>
      <c r="P90">
        <v>260.12386727999996</v>
      </c>
      <c r="Q90" s="4">
        <v>0.6</v>
      </c>
      <c r="R90" s="5">
        <v>260.12386727999996</v>
      </c>
      <c r="S90" s="5">
        <v>0.6</v>
      </c>
      <c r="T90">
        <v>303</v>
      </c>
      <c r="U90">
        <v>3</v>
      </c>
      <c r="V90">
        <v>3</v>
      </c>
      <c r="W90">
        <v>1</v>
      </c>
      <c r="X90">
        <v>0.96671195652173914</v>
      </c>
      <c r="Y90">
        <v>1.1117187499999999</v>
      </c>
      <c r="Z90">
        <v>1.6250000000000002</v>
      </c>
      <c r="AA90">
        <v>1.6250000000000002</v>
      </c>
      <c r="AC90">
        <v>0.51707848837209303</v>
      </c>
      <c r="AD90">
        <f t="shared" si="3"/>
        <v>1.551235465116279</v>
      </c>
    </row>
    <row r="91" spans="1:30" x14ac:dyDescent="0.25">
      <c r="A91">
        <v>285</v>
      </c>
      <c r="B91">
        <v>58.904861250000003</v>
      </c>
      <c r="C91" s="4">
        <v>0.5</v>
      </c>
      <c r="D91">
        <v>280</v>
      </c>
      <c r="E91">
        <v>14.431691006249999</v>
      </c>
      <c r="F91" s="4">
        <v>0.17499999999999999</v>
      </c>
      <c r="G91">
        <v>286</v>
      </c>
      <c r="H91">
        <v>77.911496480000025</v>
      </c>
      <c r="I91" s="4">
        <v>0.4</v>
      </c>
      <c r="K91" t="s">
        <v>229</v>
      </c>
      <c r="L91" s="4" t="s">
        <v>229</v>
      </c>
      <c r="M91" s="5">
        <v>92.343187486250031</v>
      </c>
      <c r="N91" s="5">
        <v>0.57499999999999996</v>
      </c>
      <c r="O91">
        <v>283</v>
      </c>
      <c r="P91">
        <v>62.831851999999998</v>
      </c>
      <c r="Q91" s="4">
        <v>0.5</v>
      </c>
      <c r="R91" s="5">
        <v>62.831851999999998</v>
      </c>
      <c r="S91" s="5">
        <v>0.5</v>
      </c>
      <c r="T91">
        <v>285</v>
      </c>
      <c r="U91">
        <v>2</v>
      </c>
      <c r="V91">
        <v>2</v>
      </c>
      <c r="W91">
        <v>1</v>
      </c>
      <c r="X91">
        <v>1.4696875000000005</v>
      </c>
      <c r="Y91">
        <v>1.5676666666666672</v>
      </c>
      <c r="Z91">
        <v>1.1499999999999999</v>
      </c>
      <c r="AA91">
        <v>1.1499999999999999</v>
      </c>
      <c r="AC91">
        <v>0.75854838709677441</v>
      </c>
      <c r="AD91">
        <f t="shared" si="3"/>
        <v>1.5170967741935488</v>
      </c>
    </row>
    <row r="92" spans="1:30" x14ac:dyDescent="0.25">
      <c r="A92">
        <v>53</v>
      </c>
      <c r="B92">
        <v>28.274333400000007</v>
      </c>
      <c r="C92" s="4">
        <v>0.2</v>
      </c>
      <c r="D92">
        <v>54</v>
      </c>
      <c r="E92">
        <v>7.6969018699999987</v>
      </c>
      <c r="F92" s="4">
        <v>0.17499999999999999</v>
      </c>
      <c r="G92">
        <v>18</v>
      </c>
      <c r="H92">
        <v>32.672563040000007</v>
      </c>
      <c r="I92" s="4">
        <v>0.2</v>
      </c>
      <c r="K92" t="s">
        <v>229</v>
      </c>
      <c r="L92" s="4" t="s">
        <v>229</v>
      </c>
      <c r="M92" s="5">
        <v>40.369464910000005</v>
      </c>
      <c r="N92" s="5">
        <v>0.375</v>
      </c>
      <c r="O92">
        <v>93</v>
      </c>
      <c r="P92">
        <v>25.132740800000008</v>
      </c>
      <c r="Q92" s="4">
        <v>0.2</v>
      </c>
      <c r="R92" s="5">
        <v>25.132740800000008</v>
      </c>
      <c r="S92" s="5">
        <v>0.2</v>
      </c>
      <c r="T92">
        <v>53</v>
      </c>
      <c r="U92">
        <v>2</v>
      </c>
      <c r="V92">
        <v>2</v>
      </c>
      <c r="W92">
        <v>1</v>
      </c>
      <c r="X92">
        <v>1.6062499999999997</v>
      </c>
      <c r="Y92">
        <v>1.4277777777777776</v>
      </c>
      <c r="Z92">
        <v>1.875</v>
      </c>
      <c r="AA92">
        <v>1.875</v>
      </c>
      <c r="AC92">
        <v>0.75588235294117645</v>
      </c>
      <c r="AD92">
        <f t="shared" si="3"/>
        <v>1.5117647058823529</v>
      </c>
    </row>
    <row r="93" spans="1:30" x14ac:dyDescent="0.25">
      <c r="A93">
        <v>343</v>
      </c>
      <c r="B93">
        <v>45.238933439999997</v>
      </c>
      <c r="C93" s="4">
        <v>0.6</v>
      </c>
      <c r="D93">
        <v>342</v>
      </c>
      <c r="E93">
        <v>20.106192640000003</v>
      </c>
      <c r="F93" s="4">
        <v>0.4</v>
      </c>
      <c r="G93">
        <v>320</v>
      </c>
      <c r="H93">
        <v>82.466805750000006</v>
      </c>
      <c r="I93" s="4">
        <v>0.5</v>
      </c>
      <c r="K93" t="s">
        <v>229</v>
      </c>
      <c r="L93" s="4" t="s">
        <v>229</v>
      </c>
      <c r="M93" s="5">
        <v>102.57299839000001</v>
      </c>
      <c r="N93" s="5">
        <v>0.9</v>
      </c>
      <c r="O93">
        <v>28</v>
      </c>
      <c r="P93">
        <v>90.477866879999993</v>
      </c>
      <c r="Q93" s="4">
        <v>0.6</v>
      </c>
      <c r="R93" s="5">
        <v>90.477866879999993</v>
      </c>
      <c r="S93" s="5">
        <v>0.6</v>
      </c>
      <c r="T93">
        <v>343</v>
      </c>
      <c r="U93">
        <v>2</v>
      </c>
      <c r="V93">
        <v>2</v>
      </c>
      <c r="W93">
        <v>1</v>
      </c>
      <c r="X93">
        <v>1.1336805555555558</v>
      </c>
      <c r="Y93">
        <v>2.2673611111111116</v>
      </c>
      <c r="Z93">
        <v>1.5</v>
      </c>
      <c r="AA93">
        <v>1.5</v>
      </c>
      <c r="AC93">
        <v>0.75578703703703709</v>
      </c>
      <c r="AD93">
        <f t="shared" si="3"/>
        <v>1.5115740740740742</v>
      </c>
    </row>
    <row r="94" spans="1:30" x14ac:dyDescent="0.25">
      <c r="A94">
        <v>91</v>
      </c>
      <c r="B94">
        <v>21.166480142499999</v>
      </c>
      <c r="C94" s="4">
        <v>0.17499999999999999</v>
      </c>
      <c r="D94">
        <v>422</v>
      </c>
      <c r="E94">
        <v>7.6969018699999987</v>
      </c>
      <c r="F94" s="4">
        <v>0.17499999999999999</v>
      </c>
      <c r="G94">
        <v>51</v>
      </c>
      <c r="H94">
        <v>21.647536509374998</v>
      </c>
      <c r="I94" s="4">
        <v>0.17499999999999999</v>
      </c>
      <c r="K94" t="s">
        <v>229</v>
      </c>
      <c r="L94" s="4" t="s">
        <v>229</v>
      </c>
      <c r="M94" s="5">
        <v>29.344438379374996</v>
      </c>
      <c r="N94" s="5">
        <v>0.35</v>
      </c>
      <c r="O94">
        <v>141</v>
      </c>
      <c r="P94">
        <v>17.799085574374995</v>
      </c>
      <c r="Q94" s="4">
        <v>0.17499999999999999</v>
      </c>
      <c r="R94" s="5">
        <v>17.799085574374995</v>
      </c>
      <c r="S94" s="5">
        <v>0.17499999999999999</v>
      </c>
      <c r="T94">
        <v>91</v>
      </c>
      <c r="U94">
        <v>2</v>
      </c>
      <c r="V94">
        <v>2</v>
      </c>
      <c r="W94">
        <v>1</v>
      </c>
      <c r="X94">
        <v>1.6486486486486489</v>
      </c>
      <c r="Y94">
        <v>1.3863636363636362</v>
      </c>
      <c r="Z94">
        <v>2</v>
      </c>
      <c r="AA94">
        <v>2</v>
      </c>
      <c r="AC94">
        <v>0.75308641975308643</v>
      </c>
      <c r="AD94">
        <f t="shared" si="3"/>
        <v>1.5061728395061729</v>
      </c>
    </row>
    <row r="95" spans="1:30" x14ac:dyDescent="0.25">
      <c r="A95">
        <v>51</v>
      </c>
      <c r="B95">
        <v>21.647536509374998</v>
      </c>
      <c r="C95" s="4">
        <v>0.17499999999999999</v>
      </c>
      <c r="D95">
        <v>377</v>
      </c>
      <c r="E95">
        <v>7.6969018699999987</v>
      </c>
      <c r="F95" s="4">
        <v>0.17499999999999999</v>
      </c>
      <c r="G95">
        <v>363</v>
      </c>
      <c r="H95">
        <v>24.052818343749998</v>
      </c>
      <c r="I95" s="4">
        <v>0.17499999999999999</v>
      </c>
      <c r="K95" t="s">
        <v>229</v>
      </c>
      <c r="L95" s="4" t="s">
        <v>229</v>
      </c>
      <c r="M95" s="5">
        <v>31.749720213749995</v>
      </c>
      <c r="N95" s="5">
        <v>0.35</v>
      </c>
      <c r="O95">
        <v>91</v>
      </c>
      <c r="P95">
        <v>21.166480142499999</v>
      </c>
      <c r="Q95" s="4">
        <v>0.17499999999999999</v>
      </c>
      <c r="R95" s="5">
        <v>21.166480142499999</v>
      </c>
      <c r="S95" s="5">
        <v>0.17499999999999999</v>
      </c>
      <c r="T95">
        <v>51</v>
      </c>
      <c r="U95">
        <v>2</v>
      </c>
      <c r="V95">
        <v>2</v>
      </c>
      <c r="W95">
        <v>1</v>
      </c>
      <c r="X95">
        <v>1.4999999999999998</v>
      </c>
      <c r="Y95">
        <v>1.4666666666666666</v>
      </c>
      <c r="Z95">
        <v>2</v>
      </c>
      <c r="AA95">
        <v>2</v>
      </c>
      <c r="AC95">
        <v>0.7415730337078652</v>
      </c>
      <c r="AD95">
        <f t="shared" si="3"/>
        <v>1.4831460674157304</v>
      </c>
    </row>
    <row r="96" spans="1:30" x14ac:dyDescent="0.25">
      <c r="A96">
        <v>145</v>
      </c>
      <c r="B96">
        <v>23.876103760000007</v>
      </c>
      <c r="C96" s="4">
        <v>0.2</v>
      </c>
      <c r="D96">
        <v>445</v>
      </c>
      <c r="E96">
        <v>7.6969018699999987</v>
      </c>
      <c r="F96" s="4">
        <v>0.17499999999999999</v>
      </c>
      <c r="G96">
        <v>89</v>
      </c>
      <c r="H96">
        <v>27.646014880000006</v>
      </c>
      <c r="I96" s="4">
        <v>0.2</v>
      </c>
      <c r="K96" t="s">
        <v>229</v>
      </c>
      <c r="L96" s="4" t="s">
        <v>229</v>
      </c>
      <c r="M96" s="5">
        <v>35.342916750000008</v>
      </c>
      <c r="N96" s="5">
        <v>0.375</v>
      </c>
      <c r="O96">
        <v>147</v>
      </c>
      <c r="P96">
        <v>23.876103760000007</v>
      </c>
      <c r="Q96" s="4">
        <v>0.2</v>
      </c>
      <c r="R96" s="5">
        <v>23.876103760000007</v>
      </c>
      <c r="S96" s="5">
        <v>0.2</v>
      </c>
      <c r="T96">
        <v>145</v>
      </c>
      <c r="U96">
        <v>2</v>
      </c>
      <c r="V96">
        <v>2</v>
      </c>
      <c r="W96">
        <v>1</v>
      </c>
      <c r="X96">
        <v>1.4802631578947367</v>
      </c>
      <c r="Y96">
        <v>1.4802631578947367</v>
      </c>
      <c r="Z96">
        <v>1.875</v>
      </c>
      <c r="AA96">
        <v>1.875</v>
      </c>
      <c r="AC96">
        <v>0.74013157894736836</v>
      </c>
      <c r="AD96">
        <f t="shared" si="3"/>
        <v>1.4802631578947367</v>
      </c>
    </row>
    <row r="97" spans="1:30" x14ac:dyDescent="0.25">
      <c r="A97">
        <v>326</v>
      </c>
      <c r="B97">
        <v>37.699111200000011</v>
      </c>
      <c r="C97" s="4">
        <v>0.4</v>
      </c>
      <c r="D97">
        <v>513</v>
      </c>
      <c r="E97">
        <v>17.318029207499997</v>
      </c>
      <c r="F97" s="4">
        <v>0.17499999999999999</v>
      </c>
      <c r="G97">
        <v>327</v>
      </c>
      <c r="H97">
        <v>37.699111200000011</v>
      </c>
      <c r="I97" s="4">
        <v>0.4</v>
      </c>
      <c r="K97" t="s">
        <v>229</v>
      </c>
      <c r="L97" s="4" t="s">
        <v>229</v>
      </c>
      <c r="M97" s="5">
        <v>55.017140407500008</v>
      </c>
      <c r="N97" s="5">
        <v>0.57499999999999996</v>
      </c>
      <c r="O97">
        <v>325</v>
      </c>
      <c r="P97">
        <v>37.699111200000011</v>
      </c>
      <c r="Q97" s="4">
        <v>0.4</v>
      </c>
      <c r="R97" s="5">
        <v>37.699111200000011</v>
      </c>
      <c r="S97" s="5">
        <v>0.4</v>
      </c>
      <c r="T97">
        <v>326</v>
      </c>
      <c r="U97">
        <v>2</v>
      </c>
      <c r="V97">
        <v>2</v>
      </c>
      <c r="W97">
        <v>1</v>
      </c>
      <c r="X97">
        <v>1.4593749999999999</v>
      </c>
      <c r="Y97">
        <v>1.4593749999999999</v>
      </c>
      <c r="Z97">
        <v>1.4374999999999998</v>
      </c>
      <c r="AA97">
        <v>1.4374999999999998</v>
      </c>
      <c r="AC97">
        <v>0.72968749999999993</v>
      </c>
      <c r="AD97">
        <f t="shared" si="3"/>
        <v>1.4593749999999999</v>
      </c>
    </row>
    <row r="98" spans="1:30" x14ac:dyDescent="0.25">
      <c r="A98">
        <v>46</v>
      </c>
      <c r="B98">
        <v>10.053096320000002</v>
      </c>
      <c r="C98" s="4">
        <v>0.2</v>
      </c>
      <c r="D98">
        <v>454</v>
      </c>
      <c r="E98">
        <v>9.621127337499999</v>
      </c>
      <c r="F98" s="4">
        <v>0.17499999999999999</v>
      </c>
      <c r="G98">
        <v>35</v>
      </c>
      <c r="H98">
        <v>10.053096320000002</v>
      </c>
      <c r="I98" s="4">
        <v>0.2</v>
      </c>
      <c r="K98" t="s">
        <v>229</v>
      </c>
      <c r="L98" s="4" t="s">
        <v>229</v>
      </c>
      <c r="M98" s="5">
        <v>19.674223657500001</v>
      </c>
      <c r="N98" s="5">
        <v>0.375</v>
      </c>
      <c r="O98">
        <v>57</v>
      </c>
      <c r="P98">
        <v>17.649467226800002</v>
      </c>
      <c r="Q98" s="4">
        <v>0.26500000000000001</v>
      </c>
      <c r="R98" s="5">
        <v>17.649467226800002</v>
      </c>
      <c r="S98" s="5">
        <v>0.26500000000000001</v>
      </c>
      <c r="T98">
        <v>46</v>
      </c>
      <c r="U98">
        <v>2</v>
      </c>
      <c r="V98">
        <v>2</v>
      </c>
      <c r="W98">
        <v>1</v>
      </c>
      <c r="X98">
        <v>1.1147205411178354</v>
      </c>
      <c r="Y98">
        <v>1.9570312499999998</v>
      </c>
      <c r="Z98">
        <v>1.4150943396226414</v>
      </c>
      <c r="AA98">
        <v>1.875</v>
      </c>
      <c r="AC98">
        <v>0.71019505556815599</v>
      </c>
      <c r="AD98">
        <f t="shared" si="3"/>
        <v>1.420390111136312</v>
      </c>
    </row>
    <row r="99" spans="1:30" x14ac:dyDescent="0.25">
      <c r="A99">
        <v>187</v>
      </c>
      <c r="B99">
        <v>100.53096320000003</v>
      </c>
      <c r="C99" s="4">
        <v>0.4</v>
      </c>
      <c r="D99">
        <v>460</v>
      </c>
      <c r="E99">
        <v>19.242254674999998</v>
      </c>
      <c r="F99" s="4">
        <v>0.17499999999999999</v>
      </c>
      <c r="G99">
        <v>194</v>
      </c>
      <c r="H99">
        <v>80.424770560000013</v>
      </c>
      <c r="I99" s="4">
        <v>0.4</v>
      </c>
      <c r="K99" t="s">
        <v>229</v>
      </c>
      <c r="L99" s="4" t="s">
        <v>229</v>
      </c>
      <c r="M99" s="5">
        <v>99.667025235000011</v>
      </c>
      <c r="N99" s="5">
        <v>0.57499999999999996</v>
      </c>
      <c r="O99">
        <v>188</v>
      </c>
      <c r="P99">
        <v>40.212385280000007</v>
      </c>
      <c r="Q99" s="4">
        <v>0.4</v>
      </c>
      <c r="R99" s="5">
        <v>40.212385280000007</v>
      </c>
      <c r="S99" s="5">
        <v>0.4</v>
      </c>
      <c r="T99">
        <v>187</v>
      </c>
      <c r="U99">
        <v>2</v>
      </c>
      <c r="V99">
        <v>2</v>
      </c>
      <c r="W99">
        <v>1</v>
      </c>
      <c r="X99">
        <v>2.478515625</v>
      </c>
      <c r="Y99">
        <v>0.99140624999999982</v>
      </c>
      <c r="Z99">
        <v>1.4374999999999998</v>
      </c>
      <c r="AA99">
        <v>1.4374999999999998</v>
      </c>
      <c r="AC99">
        <v>0.70814732142857129</v>
      </c>
      <c r="AD99">
        <f t="shared" si="3"/>
        <v>1.4162946428571426</v>
      </c>
    </row>
    <row r="100" spans="1:30" x14ac:dyDescent="0.25">
      <c r="A100">
        <v>45</v>
      </c>
      <c r="B100">
        <v>40.212385280000007</v>
      </c>
      <c r="C100" s="4">
        <v>0.4</v>
      </c>
      <c r="D100">
        <v>368</v>
      </c>
      <c r="E100">
        <v>23.090705609999997</v>
      </c>
      <c r="F100" s="4">
        <v>0.17499999999999999</v>
      </c>
      <c r="G100">
        <v>416</v>
      </c>
      <c r="H100">
        <v>21.647536509374998</v>
      </c>
      <c r="I100" s="4">
        <v>0.17499999999999999</v>
      </c>
      <c r="J100">
        <v>44</v>
      </c>
      <c r="K100">
        <v>40.212385280000007</v>
      </c>
      <c r="L100" s="4">
        <v>0.4</v>
      </c>
      <c r="M100" s="5">
        <v>84.950627399375009</v>
      </c>
      <c r="N100" s="5">
        <v>0.75</v>
      </c>
      <c r="O100">
        <v>47</v>
      </c>
      <c r="P100">
        <v>141.371667</v>
      </c>
      <c r="Q100" s="4">
        <v>0.75</v>
      </c>
      <c r="R100" s="5">
        <v>141.371667</v>
      </c>
      <c r="S100" s="5">
        <v>0.75</v>
      </c>
      <c r="T100">
        <v>45</v>
      </c>
      <c r="U100">
        <v>3</v>
      </c>
      <c r="V100">
        <v>3</v>
      </c>
      <c r="W100">
        <v>1</v>
      </c>
      <c r="X100">
        <v>0.60090277777777779</v>
      </c>
      <c r="Y100">
        <v>2.112548828125</v>
      </c>
      <c r="Z100">
        <v>1</v>
      </c>
      <c r="AA100">
        <v>1.875</v>
      </c>
      <c r="AC100">
        <v>0.46783088235294118</v>
      </c>
      <c r="AD100">
        <f t="shared" si="3"/>
        <v>1.4034926470588236</v>
      </c>
    </row>
    <row r="101" spans="1:30" x14ac:dyDescent="0.25">
      <c r="A101">
        <v>50</v>
      </c>
      <c r="B101">
        <v>28.274333400000007</v>
      </c>
      <c r="C101" s="4">
        <v>0.2</v>
      </c>
      <c r="D101">
        <v>376</v>
      </c>
      <c r="E101">
        <v>7.6969018699999987</v>
      </c>
      <c r="F101" s="4">
        <v>0.17499999999999999</v>
      </c>
      <c r="G101">
        <v>21</v>
      </c>
      <c r="H101">
        <v>31.415926000000006</v>
      </c>
      <c r="I101" s="4">
        <v>0.2</v>
      </c>
      <c r="K101" t="s">
        <v>229</v>
      </c>
      <c r="L101" s="4" t="s">
        <v>229</v>
      </c>
      <c r="M101" s="5">
        <v>39.112827870000004</v>
      </c>
      <c r="N101" s="5">
        <v>0.375</v>
      </c>
      <c r="O101">
        <v>89</v>
      </c>
      <c r="P101">
        <v>27.646014880000006</v>
      </c>
      <c r="Q101" s="4">
        <v>0.2</v>
      </c>
      <c r="R101" s="5">
        <v>27.646014880000006</v>
      </c>
      <c r="S101" s="5">
        <v>0.2</v>
      </c>
      <c r="T101">
        <v>50</v>
      </c>
      <c r="U101">
        <v>2</v>
      </c>
      <c r="V101">
        <v>2</v>
      </c>
      <c r="W101">
        <v>1</v>
      </c>
      <c r="X101">
        <v>1.4147727272727271</v>
      </c>
      <c r="Y101">
        <v>1.3833333333333331</v>
      </c>
      <c r="Z101">
        <v>1.875</v>
      </c>
      <c r="AA101">
        <v>1.875</v>
      </c>
      <c r="AC101">
        <v>0.69943820224719089</v>
      </c>
      <c r="AD101">
        <f t="shared" si="3"/>
        <v>1.3988764044943818</v>
      </c>
    </row>
    <row r="102" spans="1:30" x14ac:dyDescent="0.25">
      <c r="A102">
        <v>89</v>
      </c>
      <c r="B102">
        <v>27.646014880000006</v>
      </c>
      <c r="C102" s="4">
        <v>0.2</v>
      </c>
      <c r="D102">
        <v>421</v>
      </c>
      <c r="E102">
        <v>7.6969018699999987</v>
      </c>
      <c r="F102" s="4">
        <v>0.17499999999999999</v>
      </c>
      <c r="G102">
        <v>50</v>
      </c>
      <c r="H102">
        <v>28.274333400000007</v>
      </c>
      <c r="I102" s="4">
        <v>0.2</v>
      </c>
      <c r="K102" t="s">
        <v>229</v>
      </c>
      <c r="L102" s="4" t="s">
        <v>229</v>
      </c>
      <c r="M102" s="5">
        <v>35.971235270000008</v>
      </c>
      <c r="N102" s="5">
        <v>0.375</v>
      </c>
      <c r="O102">
        <v>145</v>
      </c>
      <c r="P102">
        <v>23.876103760000007</v>
      </c>
      <c r="Q102" s="4">
        <v>0.2</v>
      </c>
      <c r="R102" s="5">
        <v>23.876103760000007</v>
      </c>
      <c r="S102" s="5">
        <v>0.2</v>
      </c>
      <c r="T102">
        <v>89</v>
      </c>
      <c r="U102">
        <v>2</v>
      </c>
      <c r="V102">
        <v>2</v>
      </c>
      <c r="W102">
        <v>1</v>
      </c>
      <c r="X102">
        <v>1.506578947368421</v>
      </c>
      <c r="Y102">
        <v>1.3011363636363635</v>
      </c>
      <c r="Z102">
        <v>1.875</v>
      </c>
      <c r="AA102">
        <v>1.875</v>
      </c>
      <c r="AC102">
        <v>0.69817073170731703</v>
      </c>
      <c r="AD102">
        <f t="shared" si="3"/>
        <v>1.3963414634146341</v>
      </c>
    </row>
    <row r="103" spans="1:30" x14ac:dyDescent="0.25">
      <c r="A103">
        <v>3</v>
      </c>
      <c r="B103">
        <v>24.504422280000004</v>
      </c>
      <c r="C103" s="4">
        <v>0.2</v>
      </c>
      <c r="D103">
        <v>245</v>
      </c>
      <c r="E103">
        <v>11.545352804999998</v>
      </c>
      <c r="F103" s="4">
        <v>0.17499999999999999</v>
      </c>
      <c r="G103">
        <v>530</v>
      </c>
      <c r="H103">
        <v>7.2158455031249993</v>
      </c>
      <c r="I103" s="4">
        <v>0.17499999999999999</v>
      </c>
      <c r="J103">
        <v>4</v>
      </c>
      <c r="K103">
        <v>7.2158455031249993</v>
      </c>
      <c r="L103" s="4">
        <v>0.17499999999999999</v>
      </c>
      <c r="M103" s="5">
        <v>25.977043811249995</v>
      </c>
      <c r="N103" s="5">
        <v>0.52499999999999991</v>
      </c>
      <c r="O103">
        <v>21</v>
      </c>
      <c r="P103">
        <v>31.415926000000006</v>
      </c>
      <c r="Q103" s="4">
        <v>0.2</v>
      </c>
      <c r="R103" s="5">
        <v>31.415926000000006</v>
      </c>
      <c r="S103" s="5">
        <v>0.2</v>
      </c>
      <c r="T103">
        <v>3</v>
      </c>
      <c r="U103">
        <v>3</v>
      </c>
      <c r="V103">
        <v>3</v>
      </c>
      <c r="W103">
        <v>1</v>
      </c>
      <c r="X103">
        <v>0.82687499999999969</v>
      </c>
      <c r="Y103">
        <v>1.0600961538461535</v>
      </c>
      <c r="Z103">
        <v>2.6249999999999996</v>
      </c>
      <c r="AA103">
        <v>2.6249999999999996</v>
      </c>
      <c r="AC103">
        <v>0.46453651685393238</v>
      </c>
      <c r="AD103">
        <f t="shared" si="3"/>
        <v>1.3936095505617971</v>
      </c>
    </row>
    <row r="104" spans="1:30" x14ac:dyDescent="0.25">
      <c r="A104">
        <v>284</v>
      </c>
      <c r="B104">
        <v>3.7699111200000006</v>
      </c>
      <c r="C104" s="4">
        <v>0.2</v>
      </c>
      <c r="D104">
        <v>223</v>
      </c>
      <c r="E104">
        <v>2.8863382012499996</v>
      </c>
      <c r="F104" s="4">
        <v>0.17499999999999999</v>
      </c>
      <c r="G104">
        <v>267</v>
      </c>
      <c r="H104">
        <v>11.545352804999998</v>
      </c>
      <c r="I104" s="4">
        <v>0.17499999999999999</v>
      </c>
      <c r="K104" t="s">
        <v>229</v>
      </c>
      <c r="L104" s="4" t="s">
        <v>229</v>
      </c>
      <c r="M104" s="5">
        <v>14.431691006249999</v>
      </c>
      <c r="N104" s="5">
        <v>0.35</v>
      </c>
      <c r="O104">
        <v>295</v>
      </c>
      <c r="P104">
        <v>16.964600040000001</v>
      </c>
      <c r="Q104" s="4">
        <v>0.3</v>
      </c>
      <c r="R104" s="5">
        <v>16.964600040000001</v>
      </c>
      <c r="S104" s="5">
        <v>0.3</v>
      </c>
      <c r="T104">
        <v>284</v>
      </c>
      <c r="U104">
        <v>2</v>
      </c>
      <c r="V104">
        <v>2</v>
      </c>
      <c r="W104">
        <v>1</v>
      </c>
      <c r="X104">
        <v>0.85069444444444431</v>
      </c>
      <c r="Y104">
        <v>3.8281249999999991</v>
      </c>
      <c r="Z104">
        <v>1.1666666666666667</v>
      </c>
      <c r="AA104">
        <v>1.7499999999999998</v>
      </c>
      <c r="AC104">
        <v>0.69602272727272718</v>
      </c>
      <c r="AD104">
        <f t="shared" si="3"/>
        <v>1.3920454545454544</v>
      </c>
    </row>
    <row r="105" spans="1:30" x14ac:dyDescent="0.25">
      <c r="A105">
        <v>32</v>
      </c>
      <c r="B105">
        <v>26.474200840200002</v>
      </c>
      <c r="C105" s="4">
        <v>0.26500000000000001</v>
      </c>
      <c r="D105">
        <v>510</v>
      </c>
      <c r="E105">
        <v>21.166480142499999</v>
      </c>
      <c r="F105" s="4">
        <v>0.17499999999999999</v>
      </c>
      <c r="G105">
        <v>31</v>
      </c>
      <c r="H105">
        <v>8.8247336134000012</v>
      </c>
      <c r="I105" s="4">
        <v>0.26500000000000001</v>
      </c>
      <c r="K105" t="s">
        <v>229</v>
      </c>
      <c r="L105" s="4" t="s">
        <v>229</v>
      </c>
      <c r="M105" s="5">
        <v>29.991213755899999</v>
      </c>
      <c r="N105" s="5">
        <v>0.44</v>
      </c>
      <c r="O105">
        <v>33</v>
      </c>
      <c r="P105">
        <v>17.649467226800002</v>
      </c>
      <c r="Q105" s="4">
        <v>0.26500000000000001</v>
      </c>
      <c r="R105" s="5">
        <v>17.649467226800002</v>
      </c>
      <c r="S105" s="5">
        <v>0.26500000000000001</v>
      </c>
      <c r="T105">
        <v>32</v>
      </c>
      <c r="U105">
        <v>2</v>
      </c>
      <c r="V105">
        <v>2</v>
      </c>
      <c r="W105">
        <v>1</v>
      </c>
      <c r="X105">
        <v>1.699270202919188</v>
      </c>
      <c r="Y105">
        <v>1.1328468019461255</v>
      </c>
      <c r="Z105">
        <v>1.6603773584905659</v>
      </c>
      <c r="AA105">
        <v>1.6603773584905659</v>
      </c>
      <c r="AC105">
        <v>0.67970808116767523</v>
      </c>
      <c r="AD105">
        <f t="shared" si="3"/>
        <v>1.3594161623353505</v>
      </c>
    </row>
    <row r="106" spans="1:30" x14ac:dyDescent="0.25">
      <c r="A106">
        <v>52</v>
      </c>
      <c r="B106">
        <v>49.639126575375009</v>
      </c>
      <c r="C106" s="4">
        <v>0.26500000000000001</v>
      </c>
      <c r="D106">
        <v>378</v>
      </c>
      <c r="E106">
        <v>7.6969018699999987</v>
      </c>
      <c r="F106" s="4">
        <v>0.17499999999999999</v>
      </c>
      <c r="G106">
        <v>19</v>
      </c>
      <c r="H106">
        <v>57.36076848710001</v>
      </c>
      <c r="I106" s="4">
        <v>0.26500000000000001</v>
      </c>
      <c r="K106" t="s">
        <v>229</v>
      </c>
      <c r="L106" s="4" t="s">
        <v>229</v>
      </c>
      <c r="M106" s="5">
        <v>65.057670357100008</v>
      </c>
      <c r="N106" s="5">
        <v>0.44</v>
      </c>
      <c r="O106">
        <v>92</v>
      </c>
      <c r="P106">
        <v>48.536034873700011</v>
      </c>
      <c r="Q106" s="4">
        <v>0.26500000000000001</v>
      </c>
      <c r="R106" s="5">
        <v>48.536034873700011</v>
      </c>
      <c r="S106" s="5">
        <v>0.26500000000000001</v>
      </c>
      <c r="T106">
        <v>52</v>
      </c>
      <c r="U106">
        <v>2</v>
      </c>
      <c r="V106">
        <v>2</v>
      </c>
      <c r="W106">
        <v>1</v>
      </c>
      <c r="X106">
        <v>1.3403993656752644</v>
      </c>
      <c r="Y106">
        <v>1.310612713104703</v>
      </c>
      <c r="Z106">
        <v>1.6603773584905659</v>
      </c>
      <c r="AA106">
        <v>1.6603773584905659</v>
      </c>
      <c r="AC106">
        <v>0.66266934932260269</v>
      </c>
      <c r="AD106">
        <f t="shared" si="3"/>
        <v>1.3253386986452054</v>
      </c>
    </row>
    <row r="107" spans="1:30" x14ac:dyDescent="0.25">
      <c r="A107">
        <v>286</v>
      </c>
      <c r="B107">
        <v>77.911496480000025</v>
      </c>
      <c r="C107" s="4">
        <v>0.4</v>
      </c>
      <c r="D107">
        <v>490</v>
      </c>
      <c r="E107">
        <v>14.912747373124999</v>
      </c>
      <c r="F107" s="4">
        <v>0.17499999999999999</v>
      </c>
      <c r="G107">
        <v>278</v>
      </c>
      <c r="H107">
        <v>75.398222400000023</v>
      </c>
      <c r="I107" s="4">
        <v>0.4</v>
      </c>
      <c r="K107" t="s">
        <v>229</v>
      </c>
      <c r="L107" s="4" t="s">
        <v>229</v>
      </c>
      <c r="M107" s="5">
        <v>90.310969773125024</v>
      </c>
      <c r="N107" s="5">
        <v>0.57499999999999996</v>
      </c>
      <c r="O107">
        <v>285</v>
      </c>
      <c r="P107">
        <v>58.904861250000003</v>
      </c>
      <c r="Q107" s="4">
        <v>0.5</v>
      </c>
      <c r="R107" s="5">
        <v>58.904861250000003</v>
      </c>
      <c r="S107" s="5">
        <v>0.5</v>
      </c>
      <c r="T107">
        <v>286</v>
      </c>
      <c r="U107">
        <v>2</v>
      </c>
      <c r="V107">
        <v>2</v>
      </c>
      <c r="W107">
        <v>1</v>
      </c>
      <c r="X107">
        <v>1.533166666666667</v>
      </c>
      <c r="Y107">
        <v>1.159148185483871</v>
      </c>
      <c r="Z107">
        <v>1.1499999999999999</v>
      </c>
      <c r="AA107">
        <v>1.4374999999999998</v>
      </c>
      <c r="AC107">
        <v>0.66008897818599321</v>
      </c>
      <c r="AD107">
        <f t="shared" si="3"/>
        <v>1.3201779563719864</v>
      </c>
    </row>
    <row r="108" spans="1:30" x14ac:dyDescent="0.25">
      <c r="A108">
        <v>220</v>
      </c>
      <c r="B108">
        <v>52.778755680000017</v>
      </c>
      <c r="C108" s="4">
        <v>0.4</v>
      </c>
      <c r="D108">
        <v>229</v>
      </c>
      <c r="E108">
        <v>47.432943172025006</v>
      </c>
      <c r="F108" s="4">
        <v>0.26500000000000001</v>
      </c>
      <c r="G108">
        <v>221</v>
      </c>
      <c r="H108">
        <v>20.204367408749999</v>
      </c>
      <c r="I108" s="4">
        <v>0.17499999999999999</v>
      </c>
      <c r="K108" t="s">
        <v>229</v>
      </c>
      <c r="L108" s="4" t="s">
        <v>229</v>
      </c>
      <c r="M108" s="5">
        <v>67.637310580775008</v>
      </c>
      <c r="N108" s="5">
        <v>0.44</v>
      </c>
      <c r="O108">
        <v>219</v>
      </c>
      <c r="P108">
        <v>50.265481600000015</v>
      </c>
      <c r="Q108" s="4">
        <v>0.4</v>
      </c>
      <c r="R108" s="5">
        <v>50.265481600000015</v>
      </c>
      <c r="S108" s="5">
        <v>0.4</v>
      </c>
      <c r="T108">
        <v>220</v>
      </c>
      <c r="U108">
        <v>2</v>
      </c>
      <c r="V108">
        <v>2</v>
      </c>
      <c r="W108">
        <v>1</v>
      </c>
      <c r="X108">
        <v>1.3456015624999997</v>
      </c>
      <c r="Y108">
        <v>1.2815252976190474</v>
      </c>
      <c r="Z108">
        <v>1.0999999999999999</v>
      </c>
      <c r="AA108">
        <v>1.0999999999999999</v>
      </c>
      <c r="AC108">
        <v>0.65639100609756085</v>
      </c>
      <c r="AD108">
        <f t="shared" si="3"/>
        <v>1.3127820121951217</v>
      </c>
    </row>
    <row r="109" spans="1:30" x14ac:dyDescent="0.25">
      <c r="A109">
        <v>307</v>
      </c>
      <c r="B109">
        <v>84.823000199999996</v>
      </c>
      <c r="C109" s="4">
        <v>0.6</v>
      </c>
      <c r="D109">
        <v>282</v>
      </c>
      <c r="E109">
        <v>84.823000199999996</v>
      </c>
      <c r="F109" s="4">
        <v>0.6</v>
      </c>
      <c r="G109">
        <v>265</v>
      </c>
      <c r="H109">
        <v>26.474200840200002</v>
      </c>
      <c r="I109" s="4">
        <v>0.26500000000000001</v>
      </c>
      <c r="K109" t="s">
        <v>229</v>
      </c>
      <c r="L109" s="4" t="s">
        <v>229</v>
      </c>
      <c r="M109" s="5">
        <v>111.29720104019999</v>
      </c>
      <c r="N109" s="5">
        <v>0.86499999999999999</v>
      </c>
      <c r="O109">
        <v>308</v>
      </c>
      <c r="P109">
        <v>84.823000199999996</v>
      </c>
      <c r="Q109" s="4">
        <v>0.6</v>
      </c>
      <c r="R109" s="5">
        <v>84.823000199999996</v>
      </c>
      <c r="S109" s="5">
        <v>0.6</v>
      </c>
      <c r="T109">
        <v>307</v>
      </c>
      <c r="U109">
        <v>2</v>
      </c>
      <c r="V109">
        <v>2</v>
      </c>
      <c r="W109">
        <v>1</v>
      </c>
      <c r="X109">
        <v>1.312111111111111</v>
      </c>
      <c r="Y109">
        <v>1.312111111111111</v>
      </c>
      <c r="Z109">
        <v>1.4416666666666667</v>
      </c>
      <c r="AA109">
        <v>1.4416666666666667</v>
      </c>
      <c r="AC109">
        <v>0.6560555555555555</v>
      </c>
      <c r="AD109">
        <f t="shared" si="3"/>
        <v>1.312111111111111</v>
      </c>
    </row>
    <row r="110" spans="1:30" x14ac:dyDescent="0.25">
      <c r="A110">
        <v>17</v>
      </c>
      <c r="B110">
        <v>10.053096320000002</v>
      </c>
      <c r="C110" s="4">
        <v>0.2</v>
      </c>
      <c r="D110">
        <v>359</v>
      </c>
      <c r="E110">
        <v>7.6969018699999987</v>
      </c>
      <c r="F110" s="4">
        <v>0.17499999999999999</v>
      </c>
      <c r="G110">
        <v>7</v>
      </c>
      <c r="H110">
        <v>20.106192640000003</v>
      </c>
      <c r="I110" s="4">
        <v>0.2</v>
      </c>
      <c r="K110" t="s">
        <v>229</v>
      </c>
      <c r="L110" s="4" t="s">
        <v>229</v>
      </c>
      <c r="M110" s="5">
        <v>27.803094510000001</v>
      </c>
      <c r="N110" s="5">
        <v>0.375</v>
      </c>
      <c r="O110">
        <v>18</v>
      </c>
      <c r="P110">
        <v>32.672563040000007</v>
      </c>
      <c r="Q110" s="4">
        <v>0.2</v>
      </c>
      <c r="R110" s="5">
        <v>32.672563040000007</v>
      </c>
      <c r="S110" s="5">
        <v>0.2</v>
      </c>
      <c r="T110">
        <v>17</v>
      </c>
      <c r="U110">
        <v>2</v>
      </c>
      <c r="V110">
        <v>2</v>
      </c>
      <c r="W110">
        <v>1</v>
      </c>
      <c r="X110">
        <v>0.85096153846153832</v>
      </c>
      <c r="Y110">
        <v>2.7656249999999996</v>
      </c>
      <c r="Z110">
        <v>1.875</v>
      </c>
      <c r="AA110">
        <v>1.875</v>
      </c>
      <c r="AC110">
        <v>0.65073529411764697</v>
      </c>
      <c r="AD110">
        <f t="shared" si="3"/>
        <v>1.3014705882352939</v>
      </c>
    </row>
    <row r="111" spans="1:30" x14ac:dyDescent="0.25">
      <c r="A111">
        <v>317</v>
      </c>
      <c r="B111">
        <v>85.451318720000017</v>
      </c>
      <c r="C111" s="4">
        <v>0.4</v>
      </c>
      <c r="D111">
        <v>519</v>
      </c>
      <c r="E111">
        <v>10.679451344624999</v>
      </c>
      <c r="F111" s="4">
        <v>0.17499999999999999</v>
      </c>
      <c r="G111">
        <v>477</v>
      </c>
      <c r="H111">
        <v>5.2916200356249998</v>
      </c>
      <c r="I111" s="4">
        <v>0.17499999999999999</v>
      </c>
      <c r="J111">
        <v>306</v>
      </c>
      <c r="K111">
        <v>75.398222400000023</v>
      </c>
      <c r="L111" s="4">
        <v>0.4</v>
      </c>
      <c r="M111" s="5">
        <v>91.369293780250018</v>
      </c>
      <c r="N111" s="5">
        <v>0.75</v>
      </c>
      <c r="O111">
        <v>290</v>
      </c>
      <c r="P111">
        <v>125.663704</v>
      </c>
      <c r="Q111" s="4">
        <v>0.5</v>
      </c>
      <c r="R111" s="5">
        <v>125.663704</v>
      </c>
      <c r="S111" s="5">
        <v>0.5</v>
      </c>
      <c r="T111">
        <v>317</v>
      </c>
      <c r="U111">
        <v>3</v>
      </c>
      <c r="V111">
        <v>3</v>
      </c>
      <c r="W111">
        <v>1</v>
      </c>
      <c r="X111">
        <v>0.72709375000000021</v>
      </c>
      <c r="Y111">
        <v>1.0692555147058824</v>
      </c>
      <c r="Z111">
        <v>1.5</v>
      </c>
      <c r="AA111">
        <v>1.875</v>
      </c>
      <c r="AC111">
        <v>0.43279389880952385</v>
      </c>
      <c r="AD111">
        <f t="shared" si="3"/>
        <v>1.2983816964285715</v>
      </c>
    </row>
    <row r="112" spans="1:30" x14ac:dyDescent="0.25">
      <c r="A112">
        <v>87</v>
      </c>
      <c r="B112">
        <v>388.77208425000003</v>
      </c>
      <c r="C112" s="4">
        <v>0.75</v>
      </c>
      <c r="D112">
        <v>48</v>
      </c>
      <c r="E112">
        <v>397.6078134375</v>
      </c>
      <c r="F112" s="4">
        <v>0.75</v>
      </c>
      <c r="G112">
        <v>86</v>
      </c>
      <c r="H112">
        <v>90.477866879999993</v>
      </c>
      <c r="I112" s="4">
        <v>0.6</v>
      </c>
      <c r="K112" t="s">
        <v>229</v>
      </c>
      <c r="L112" s="4" t="s">
        <v>229</v>
      </c>
      <c r="M112" s="5">
        <v>488.08568031749996</v>
      </c>
      <c r="N112" s="5">
        <v>1.35</v>
      </c>
      <c r="O112">
        <v>154</v>
      </c>
      <c r="P112">
        <v>388.77208425000003</v>
      </c>
      <c r="Q112" s="4">
        <v>0.75</v>
      </c>
      <c r="R112" s="5">
        <v>388.77208425000003</v>
      </c>
      <c r="S112" s="5">
        <v>0.75</v>
      </c>
      <c r="T112">
        <v>87</v>
      </c>
      <c r="U112">
        <v>2</v>
      </c>
      <c r="V112">
        <v>2</v>
      </c>
      <c r="W112">
        <v>1</v>
      </c>
      <c r="X112">
        <v>1.2554545454545452</v>
      </c>
      <c r="Y112">
        <v>1.2554545454545452</v>
      </c>
      <c r="Z112">
        <v>1.8</v>
      </c>
      <c r="AA112">
        <v>1.8</v>
      </c>
      <c r="AC112">
        <v>0.62772727272727258</v>
      </c>
      <c r="AD112">
        <f t="shared" si="3"/>
        <v>1.2554545454545452</v>
      </c>
    </row>
    <row r="113" spans="1:30" x14ac:dyDescent="0.25">
      <c r="A113">
        <v>66</v>
      </c>
      <c r="B113">
        <v>25.977043811249995</v>
      </c>
      <c r="C113" s="4">
        <v>0.17499999999999999</v>
      </c>
      <c r="D113">
        <v>389</v>
      </c>
      <c r="E113">
        <v>7.6969018699999987</v>
      </c>
      <c r="F113" s="4">
        <v>0.17499999999999999</v>
      </c>
      <c r="G113">
        <v>234</v>
      </c>
      <c r="H113">
        <v>11.545352804999998</v>
      </c>
      <c r="I113" s="4">
        <v>0.17499999999999999</v>
      </c>
      <c r="K113" t="s">
        <v>229</v>
      </c>
      <c r="L113" s="4" t="s">
        <v>229</v>
      </c>
      <c r="M113" s="5">
        <v>19.242254674999998</v>
      </c>
      <c r="N113" s="5">
        <v>0.35</v>
      </c>
      <c r="O113">
        <v>62</v>
      </c>
      <c r="P113">
        <v>4.8105636687499995</v>
      </c>
      <c r="Q113" s="4">
        <v>0.17499999999999999</v>
      </c>
      <c r="R113" s="5">
        <v>4.8105636687499995</v>
      </c>
      <c r="S113" s="5">
        <v>0.17499999999999999</v>
      </c>
      <c r="T113">
        <v>66</v>
      </c>
      <c r="U113">
        <v>2</v>
      </c>
      <c r="V113">
        <v>2</v>
      </c>
      <c r="W113">
        <v>1</v>
      </c>
      <c r="X113">
        <v>4</v>
      </c>
      <c r="Y113">
        <v>0.74074074074074081</v>
      </c>
      <c r="Z113">
        <v>2</v>
      </c>
      <c r="AA113">
        <v>2</v>
      </c>
      <c r="AC113">
        <v>0.625</v>
      </c>
      <c r="AD113">
        <f t="shared" si="3"/>
        <v>1.25</v>
      </c>
    </row>
    <row r="114" spans="1:30" x14ac:dyDescent="0.25">
      <c r="A114">
        <v>282</v>
      </c>
      <c r="B114">
        <v>84.823000199999996</v>
      </c>
      <c r="C114" s="4">
        <v>0.6</v>
      </c>
      <c r="D114">
        <v>283</v>
      </c>
      <c r="E114">
        <v>62.831851999999998</v>
      </c>
      <c r="F114" s="4">
        <v>0.5</v>
      </c>
      <c r="G114">
        <v>281</v>
      </c>
      <c r="H114">
        <v>42.411500099999998</v>
      </c>
      <c r="I114" s="4">
        <v>0.3</v>
      </c>
      <c r="K114" t="s">
        <v>229</v>
      </c>
      <c r="L114" s="4" t="s">
        <v>229</v>
      </c>
      <c r="M114" s="5">
        <v>105.2433521</v>
      </c>
      <c r="N114" s="5">
        <v>0.8</v>
      </c>
      <c r="O114">
        <v>307</v>
      </c>
      <c r="P114">
        <v>84.823000199999996</v>
      </c>
      <c r="Q114" s="4">
        <v>0.6</v>
      </c>
      <c r="R114" s="5">
        <v>84.823000199999996</v>
      </c>
      <c r="S114" s="5">
        <v>0.6</v>
      </c>
      <c r="T114">
        <v>282</v>
      </c>
      <c r="U114">
        <v>2</v>
      </c>
      <c r="V114">
        <v>2</v>
      </c>
      <c r="W114">
        <v>1</v>
      </c>
      <c r="X114">
        <v>1.2407407407407407</v>
      </c>
      <c r="Y114">
        <v>1.2407407407407407</v>
      </c>
      <c r="Z114">
        <v>1.3333333333333335</v>
      </c>
      <c r="AA114">
        <v>1.3333333333333335</v>
      </c>
      <c r="AC114">
        <v>0.62037037037037035</v>
      </c>
      <c r="AD114">
        <f t="shared" si="3"/>
        <v>1.2407407407407407</v>
      </c>
    </row>
    <row r="115" spans="1:30" x14ac:dyDescent="0.25">
      <c r="A115">
        <v>92</v>
      </c>
      <c r="B115">
        <v>48.536034873700011</v>
      </c>
      <c r="C115" s="4">
        <v>0.26500000000000001</v>
      </c>
      <c r="D115">
        <v>423</v>
      </c>
      <c r="E115">
        <v>7.6969018699999987</v>
      </c>
      <c r="F115" s="4">
        <v>0.17499999999999999</v>
      </c>
      <c r="G115">
        <v>52</v>
      </c>
      <c r="H115">
        <v>49.639126575375009</v>
      </c>
      <c r="I115" s="4">
        <v>0.26500000000000001</v>
      </c>
      <c r="K115" t="s">
        <v>229</v>
      </c>
      <c r="L115" s="4" t="s">
        <v>229</v>
      </c>
      <c r="M115" s="5">
        <v>57.336028445375007</v>
      </c>
      <c r="N115" s="5">
        <v>0.44</v>
      </c>
      <c r="O115">
        <v>140</v>
      </c>
      <c r="P115">
        <v>45.238933439999997</v>
      </c>
      <c r="Q115" s="4">
        <v>0.3</v>
      </c>
      <c r="R115" s="5">
        <v>45.238933439999997</v>
      </c>
      <c r="S115" s="5">
        <v>0.3</v>
      </c>
      <c r="T115">
        <v>92</v>
      </c>
      <c r="U115">
        <v>2</v>
      </c>
      <c r="V115">
        <v>2</v>
      </c>
      <c r="W115">
        <v>1</v>
      </c>
      <c r="X115">
        <v>1.2674045138888892</v>
      </c>
      <c r="Y115">
        <v>1.1813084565843555</v>
      </c>
      <c r="Z115">
        <v>1.4666666666666668</v>
      </c>
      <c r="AA115">
        <v>1.6603773584905659</v>
      </c>
      <c r="AC115">
        <v>0.61142146434613642</v>
      </c>
      <c r="AD115">
        <f t="shared" si="3"/>
        <v>1.2228429286922728</v>
      </c>
    </row>
    <row r="116" spans="1:30" x14ac:dyDescent="0.25">
      <c r="A116">
        <v>290</v>
      </c>
      <c r="B116">
        <v>125.663704</v>
      </c>
      <c r="C116" s="4">
        <v>0.5</v>
      </c>
      <c r="D116">
        <v>291</v>
      </c>
      <c r="E116">
        <v>65.345126080000014</v>
      </c>
      <c r="F116" s="4">
        <v>0.4</v>
      </c>
      <c r="G116">
        <v>317</v>
      </c>
      <c r="H116">
        <v>85.451318720000017</v>
      </c>
      <c r="I116" s="4">
        <v>0.4</v>
      </c>
      <c r="K116" t="s">
        <v>229</v>
      </c>
      <c r="L116" s="4" t="s">
        <v>229</v>
      </c>
      <c r="M116" s="5">
        <v>150.79644480000002</v>
      </c>
      <c r="N116" s="5">
        <v>0.8</v>
      </c>
      <c r="O116">
        <v>292</v>
      </c>
      <c r="P116">
        <v>121.73671325000001</v>
      </c>
      <c r="Q116" s="4">
        <v>0.5</v>
      </c>
      <c r="R116" s="5">
        <v>121.73671325000001</v>
      </c>
      <c r="S116" s="5">
        <v>0.5</v>
      </c>
      <c r="T116">
        <v>290</v>
      </c>
      <c r="U116">
        <v>2</v>
      </c>
      <c r="V116">
        <v>2</v>
      </c>
      <c r="W116">
        <v>1</v>
      </c>
      <c r="X116">
        <v>1.2387096774193549</v>
      </c>
      <c r="Y116">
        <v>1.2000000000000002</v>
      </c>
      <c r="Z116">
        <v>1.6</v>
      </c>
      <c r="AA116">
        <v>1.6</v>
      </c>
      <c r="AC116">
        <v>0.60952380952380958</v>
      </c>
      <c r="AD116">
        <f t="shared" si="3"/>
        <v>1.2190476190476192</v>
      </c>
    </row>
    <row r="117" spans="1:30" x14ac:dyDescent="0.25">
      <c r="A117">
        <v>29</v>
      </c>
      <c r="B117">
        <v>260.12386727999996</v>
      </c>
      <c r="C117" s="4">
        <v>0.6</v>
      </c>
      <c r="D117">
        <v>372</v>
      </c>
      <c r="E117">
        <v>7.6969018699999987</v>
      </c>
      <c r="F117" s="4">
        <v>0.17499999999999999</v>
      </c>
      <c r="G117">
        <v>303</v>
      </c>
      <c r="H117">
        <v>226.1946672</v>
      </c>
      <c r="I117" s="4">
        <v>0.6</v>
      </c>
      <c r="K117" t="s">
        <v>229</v>
      </c>
      <c r="L117" s="4" t="s">
        <v>229</v>
      </c>
      <c r="M117" s="5">
        <v>233.89156907</v>
      </c>
      <c r="N117" s="5">
        <v>0.77499999999999991</v>
      </c>
      <c r="O117">
        <v>70</v>
      </c>
      <c r="P117">
        <v>124.40706696000001</v>
      </c>
      <c r="Q117" s="4">
        <v>0.6</v>
      </c>
      <c r="R117" s="5">
        <v>124.40706696000001</v>
      </c>
      <c r="S117" s="5">
        <v>0.6</v>
      </c>
      <c r="T117">
        <v>29</v>
      </c>
      <c r="U117">
        <v>2</v>
      </c>
      <c r="V117">
        <v>2</v>
      </c>
      <c r="W117">
        <v>1</v>
      </c>
      <c r="X117">
        <v>1.880050505050505</v>
      </c>
      <c r="Y117">
        <v>0.89915458937198078</v>
      </c>
      <c r="Z117">
        <v>1.2916666666666665</v>
      </c>
      <c r="AA117">
        <v>1.2916666666666665</v>
      </c>
      <c r="AC117">
        <v>0.60825163398692816</v>
      </c>
      <c r="AD117">
        <f t="shared" si="3"/>
        <v>1.2165032679738563</v>
      </c>
    </row>
    <row r="118" spans="1:30" x14ac:dyDescent="0.25">
      <c r="A118">
        <v>70</v>
      </c>
      <c r="B118">
        <v>124.40706696000001</v>
      </c>
      <c r="C118" s="4">
        <v>0.6</v>
      </c>
      <c r="D118">
        <v>29</v>
      </c>
      <c r="E118">
        <v>260.12386727999996</v>
      </c>
      <c r="F118" s="4">
        <v>0.6</v>
      </c>
      <c r="H118" t="s">
        <v>229</v>
      </c>
      <c r="I118" s="4" t="s">
        <v>229</v>
      </c>
      <c r="K118" t="s">
        <v>229</v>
      </c>
      <c r="L118" s="4" t="s">
        <v>229</v>
      </c>
      <c r="M118" s="5">
        <v>260.12386727999996</v>
      </c>
      <c r="N118" s="5">
        <v>0.6</v>
      </c>
      <c r="O118">
        <v>71</v>
      </c>
      <c r="P118">
        <v>90.477866879999993</v>
      </c>
      <c r="Q118" s="4">
        <v>0.6</v>
      </c>
      <c r="R118" s="5">
        <v>90.477866879999993</v>
      </c>
      <c r="S118" s="5">
        <v>0.6</v>
      </c>
      <c r="T118">
        <v>70</v>
      </c>
      <c r="U118">
        <v>1</v>
      </c>
      <c r="V118">
        <v>1</v>
      </c>
      <c r="W118">
        <v>1</v>
      </c>
      <c r="X118">
        <v>2.8749999999999996</v>
      </c>
      <c r="Y118">
        <v>2.0909090909090904</v>
      </c>
      <c r="Z118">
        <v>1</v>
      </c>
      <c r="AA118">
        <v>1</v>
      </c>
      <c r="AC118">
        <v>1.2105263157894735</v>
      </c>
      <c r="AD118">
        <f t="shared" si="3"/>
        <v>1.2105263157894735</v>
      </c>
    </row>
    <row r="119" spans="1:30" x14ac:dyDescent="0.25">
      <c r="A119">
        <v>140</v>
      </c>
      <c r="B119">
        <v>45.238933439999997</v>
      </c>
      <c r="C119" s="4">
        <v>0.3</v>
      </c>
      <c r="D119">
        <v>443</v>
      </c>
      <c r="E119">
        <v>7.6969018699999987</v>
      </c>
      <c r="F119" s="4">
        <v>0.17499999999999999</v>
      </c>
      <c r="G119">
        <v>92</v>
      </c>
      <c r="H119">
        <v>48.536034873700011</v>
      </c>
      <c r="I119" s="4">
        <v>0.26500000000000001</v>
      </c>
      <c r="K119" t="s">
        <v>229</v>
      </c>
      <c r="L119" s="4" t="s">
        <v>229</v>
      </c>
      <c r="M119" s="5">
        <v>56.232936743700009</v>
      </c>
      <c r="N119" s="5">
        <v>0.44</v>
      </c>
      <c r="O119">
        <v>139</v>
      </c>
      <c r="P119">
        <v>48.066366779999996</v>
      </c>
      <c r="Q119" s="4">
        <v>0.3</v>
      </c>
      <c r="R119" s="5">
        <v>48.066366779999996</v>
      </c>
      <c r="S119" s="5">
        <v>0.3</v>
      </c>
      <c r="T119">
        <v>140</v>
      </c>
      <c r="U119">
        <v>2</v>
      </c>
      <c r="V119">
        <v>2</v>
      </c>
      <c r="W119">
        <v>1</v>
      </c>
      <c r="X119">
        <v>1.169901960784314</v>
      </c>
      <c r="Y119">
        <v>1.2430208333333337</v>
      </c>
      <c r="Z119">
        <v>1.4666666666666668</v>
      </c>
      <c r="AA119">
        <v>1.4666666666666668</v>
      </c>
      <c r="AC119">
        <v>0.60267676767676781</v>
      </c>
      <c r="AD119">
        <f t="shared" si="3"/>
        <v>1.2053535353535356</v>
      </c>
    </row>
    <row r="120" spans="1:30" x14ac:dyDescent="0.25">
      <c r="A120">
        <v>5</v>
      </c>
      <c r="B120">
        <v>39.711301260300004</v>
      </c>
      <c r="C120" s="4">
        <v>0.26500000000000001</v>
      </c>
      <c r="D120">
        <v>351</v>
      </c>
      <c r="E120">
        <v>7.2158455031249993</v>
      </c>
      <c r="F120" s="4">
        <v>0.17499999999999999</v>
      </c>
      <c r="G120">
        <v>243</v>
      </c>
      <c r="H120">
        <v>15.079644480000002</v>
      </c>
      <c r="I120" s="4">
        <v>0.2</v>
      </c>
      <c r="J120">
        <v>6</v>
      </c>
      <c r="K120">
        <v>16.546375525125004</v>
      </c>
      <c r="L120" s="4">
        <v>0.26500000000000001</v>
      </c>
      <c r="M120" s="5">
        <v>38.841865508250009</v>
      </c>
      <c r="N120" s="5">
        <v>0.64</v>
      </c>
      <c r="O120">
        <v>19</v>
      </c>
      <c r="P120">
        <v>57.36076848710001</v>
      </c>
      <c r="Q120" s="4">
        <v>0.26500000000000001</v>
      </c>
      <c r="R120" s="5">
        <v>57.36076848710001</v>
      </c>
      <c r="S120" s="5">
        <v>0.26500000000000001</v>
      </c>
      <c r="T120">
        <v>5</v>
      </c>
      <c r="U120">
        <v>3</v>
      </c>
      <c r="V120">
        <v>3</v>
      </c>
      <c r="W120">
        <v>1</v>
      </c>
      <c r="X120">
        <v>0.67715036832160369</v>
      </c>
      <c r="Y120">
        <v>0.97810608757564987</v>
      </c>
      <c r="Z120">
        <v>2.4150943396226414</v>
      </c>
      <c r="AA120">
        <v>2.4150943396226414</v>
      </c>
      <c r="AC120">
        <v>0.40013430855367493</v>
      </c>
      <c r="AD120">
        <f t="shared" si="3"/>
        <v>1.2004029256610247</v>
      </c>
    </row>
    <row r="121" spans="1:30" x14ac:dyDescent="0.25">
      <c r="A121">
        <v>318</v>
      </c>
      <c r="B121">
        <v>132.53593781250001</v>
      </c>
      <c r="C121" s="4">
        <v>0.75</v>
      </c>
      <c r="D121">
        <v>316</v>
      </c>
      <c r="E121">
        <v>132.53593781250001</v>
      </c>
      <c r="F121" s="4">
        <v>0.75</v>
      </c>
      <c r="G121">
        <v>254</v>
      </c>
      <c r="H121">
        <v>26.474200840200002</v>
      </c>
      <c r="I121" s="4">
        <v>0.26500000000000001</v>
      </c>
      <c r="K121" t="s">
        <v>229</v>
      </c>
      <c r="L121" s="4" t="s">
        <v>229</v>
      </c>
      <c r="M121" s="5">
        <v>159.01013865270002</v>
      </c>
      <c r="N121" s="5">
        <v>1.0150000000000001</v>
      </c>
      <c r="O121">
        <v>319</v>
      </c>
      <c r="P121">
        <v>132.53593781250001</v>
      </c>
      <c r="Q121" s="4">
        <v>0.75</v>
      </c>
      <c r="R121" s="5">
        <v>132.53593781250001</v>
      </c>
      <c r="S121" s="5">
        <v>0.75</v>
      </c>
      <c r="T121">
        <v>318</v>
      </c>
      <c r="U121">
        <v>2</v>
      </c>
      <c r="V121">
        <v>2</v>
      </c>
      <c r="W121">
        <v>1</v>
      </c>
      <c r="X121">
        <v>1.1997511111111112</v>
      </c>
      <c r="Y121">
        <v>1.1997511111111112</v>
      </c>
      <c r="Z121">
        <v>1.3533333333333335</v>
      </c>
      <c r="AA121">
        <v>1.3533333333333335</v>
      </c>
      <c r="AC121">
        <v>0.59987555555555561</v>
      </c>
      <c r="AD121">
        <f t="shared" si="3"/>
        <v>1.1997511111111112</v>
      </c>
    </row>
    <row r="122" spans="1:30" x14ac:dyDescent="0.25">
      <c r="A122">
        <v>316</v>
      </c>
      <c r="B122">
        <v>132.53593781250001</v>
      </c>
      <c r="C122" s="4">
        <v>0.75</v>
      </c>
      <c r="D122">
        <v>315</v>
      </c>
      <c r="E122">
        <v>132.53593781250001</v>
      </c>
      <c r="F122" s="4">
        <v>0.75</v>
      </c>
      <c r="G122">
        <v>255</v>
      </c>
      <c r="H122">
        <v>26.474200840200002</v>
      </c>
      <c r="I122" s="4">
        <v>0.26500000000000001</v>
      </c>
      <c r="K122" t="s">
        <v>229</v>
      </c>
      <c r="L122" s="4" t="s">
        <v>229</v>
      </c>
      <c r="M122" s="5">
        <v>159.01013865270002</v>
      </c>
      <c r="N122" s="5">
        <v>1.0150000000000001</v>
      </c>
      <c r="O122">
        <v>318</v>
      </c>
      <c r="P122">
        <v>132.53593781250001</v>
      </c>
      <c r="Q122" s="4">
        <v>0.75</v>
      </c>
      <c r="R122" s="5">
        <v>132.53593781250001</v>
      </c>
      <c r="S122" s="5">
        <v>0.75</v>
      </c>
      <c r="T122">
        <v>316</v>
      </c>
      <c r="U122">
        <v>2</v>
      </c>
      <c r="V122">
        <v>2</v>
      </c>
      <c r="W122">
        <v>1</v>
      </c>
      <c r="X122">
        <v>1.1997511111111112</v>
      </c>
      <c r="Y122">
        <v>1.1997511111111112</v>
      </c>
      <c r="Z122">
        <v>1.3533333333333335</v>
      </c>
      <c r="AA122">
        <v>1.3533333333333335</v>
      </c>
      <c r="AC122">
        <v>0.59987555555555561</v>
      </c>
      <c r="AD122">
        <f t="shared" si="3"/>
        <v>1.1997511111111112</v>
      </c>
    </row>
    <row r="123" spans="1:30" x14ac:dyDescent="0.25">
      <c r="A123">
        <v>13</v>
      </c>
      <c r="B123">
        <v>9.621127337499999</v>
      </c>
      <c r="C123" s="4">
        <v>0.17499999999999999</v>
      </c>
      <c r="D123">
        <v>367</v>
      </c>
      <c r="E123">
        <v>7.6969018699999987</v>
      </c>
      <c r="F123" s="4">
        <v>0.17499999999999999</v>
      </c>
      <c r="G123">
        <v>350</v>
      </c>
      <c r="H123">
        <v>7.6969018699999987</v>
      </c>
      <c r="I123" s="4">
        <v>0.17499999999999999</v>
      </c>
      <c r="K123" t="s">
        <v>229</v>
      </c>
      <c r="L123" s="4" t="s">
        <v>229</v>
      </c>
      <c r="M123" s="5">
        <v>15.393803739999997</v>
      </c>
      <c r="N123" s="5">
        <v>0.35</v>
      </c>
      <c r="O123">
        <v>201</v>
      </c>
      <c r="P123">
        <v>16.355916473749996</v>
      </c>
      <c r="Q123" s="4">
        <v>0.17499999999999999</v>
      </c>
      <c r="R123" s="5">
        <v>16.355916473749996</v>
      </c>
      <c r="S123" s="5">
        <v>0.17499999999999999</v>
      </c>
      <c r="T123">
        <v>13</v>
      </c>
      <c r="U123">
        <v>2</v>
      </c>
      <c r="V123">
        <v>2</v>
      </c>
      <c r="W123">
        <v>1</v>
      </c>
      <c r="X123">
        <v>0.94117647058823539</v>
      </c>
      <c r="Y123">
        <v>1.5999999999999999</v>
      </c>
      <c r="Z123">
        <v>2</v>
      </c>
      <c r="AA123">
        <v>2</v>
      </c>
      <c r="AC123">
        <v>0.59259259259259256</v>
      </c>
      <c r="AD123">
        <f t="shared" si="3"/>
        <v>1.1851851851851851</v>
      </c>
    </row>
    <row r="124" spans="1:30" x14ac:dyDescent="0.25">
      <c r="A124">
        <v>175</v>
      </c>
      <c r="B124">
        <v>17.649467226800002</v>
      </c>
      <c r="C124" s="4">
        <v>0.26500000000000001</v>
      </c>
      <c r="D124">
        <v>174</v>
      </c>
      <c r="E124">
        <v>15.874860106874999</v>
      </c>
      <c r="F124" s="4">
        <v>0.17499999999999999</v>
      </c>
      <c r="G124">
        <v>181</v>
      </c>
      <c r="H124">
        <v>7.6969018699999987</v>
      </c>
      <c r="I124" s="4">
        <v>0.17499999999999999</v>
      </c>
      <c r="K124" t="s">
        <v>229</v>
      </c>
      <c r="L124" s="4" t="s">
        <v>229</v>
      </c>
      <c r="M124" s="5">
        <v>23.571761976874999</v>
      </c>
      <c r="N124" s="5">
        <v>0.35</v>
      </c>
      <c r="O124">
        <v>172</v>
      </c>
      <c r="P124">
        <v>22.619466719999998</v>
      </c>
      <c r="Q124" s="4">
        <v>0.3</v>
      </c>
      <c r="R124" s="5">
        <v>22.619466719999998</v>
      </c>
      <c r="S124" s="5">
        <v>0.3</v>
      </c>
      <c r="T124">
        <v>175</v>
      </c>
      <c r="U124">
        <v>2</v>
      </c>
      <c r="V124">
        <v>2</v>
      </c>
      <c r="W124">
        <v>1</v>
      </c>
      <c r="X124">
        <v>1.0421006944444444</v>
      </c>
      <c r="Y124">
        <v>1.3355509077963685</v>
      </c>
      <c r="Z124">
        <v>1.1666666666666667</v>
      </c>
      <c r="AA124">
        <v>1.320754716981132</v>
      </c>
      <c r="AC124">
        <v>0.58535848026213133</v>
      </c>
      <c r="AD124">
        <f t="shared" si="3"/>
        <v>1.1707169605242627</v>
      </c>
    </row>
    <row r="125" spans="1:30" x14ac:dyDescent="0.25">
      <c r="A125">
        <v>219</v>
      </c>
      <c r="B125">
        <v>50.265481600000015</v>
      </c>
      <c r="C125" s="4">
        <v>0.4</v>
      </c>
      <c r="D125">
        <v>476</v>
      </c>
      <c r="E125">
        <v>19.242254674999998</v>
      </c>
      <c r="F125" s="4">
        <v>0.17499999999999999</v>
      </c>
      <c r="G125">
        <v>220</v>
      </c>
      <c r="H125">
        <v>52.778755680000017</v>
      </c>
      <c r="I125" s="4">
        <v>0.4</v>
      </c>
      <c r="K125" t="s">
        <v>229</v>
      </c>
      <c r="L125" s="4" t="s">
        <v>229</v>
      </c>
      <c r="M125" s="5">
        <v>72.021010355000016</v>
      </c>
      <c r="N125" s="5">
        <v>0.57499999999999996</v>
      </c>
      <c r="O125">
        <v>203</v>
      </c>
      <c r="P125">
        <v>75.398222400000023</v>
      </c>
      <c r="Q125" s="4">
        <v>0.4</v>
      </c>
      <c r="R125" s="5">
        <v>75.398222400000023</v>
      </c>
      <c r="S125" s="5">
        <v>0.4</v>
      </c>
      <c r="T125">
        <v>219</v>
      </c>
      <c r="U125">
        <v>2</v>
      </c>
      <c r="V125">
        <v>2</v>
      </c>
      <c r="W125">
        <v>1</v>
      </c>
      <c r="X125">
        <v>0.95520833333333321</v>
      </c>
      <c r="Y125">
        <v>1.4328124999999998</v>
      </c>
      <c r="Z125">
        <v>1.4374999999999998</v>
      </c>
      <c r="AA125">
        <v>1.4374999999999998</v>
      </c>
      <c r="AC125">
        <v>0.573125</v>
      </c>
      <c r="AD125">
        <f t="shared" si="3"/>
        <v>1.14625</v>
      </c>
    </row>
    <row r="126" spans="1:30" x14ac:dyDescent="0.25">
      <c r="A126">
        <v>308</v>
      </c>
      <c r="B126">
        <v>84.823000199999996</v>
      </c>
      <c r="C126" s="4">
        <v>0.6</v>
      </c>
      <c r="D126">
        <v>307</v>
      </c>
      <c r="E126">
        <v>84.823000199999996</v>
      </c>
      <c r="F126" s="4">
        <v>0.6</v>
      </c>
      <c r="G126">
        <v>264</v>
      </c>
      <c r="H126">
        <v>11.545352804999998</v>
      </c>
      <c r="I126" s="4">
        <v>0.17499999999999999</v>
      </c>
      <c r="K126" t="s">
        <v>229</v>
      </c>
      <c r="L126" s="4" t="s">
        <v>229</v>
      </c>
      <c r="M126" s="5">
        <v>96.368353004999989</v>
      </c>
      <c r="N126" s="5">
        <v>0.77499999999999991</v>
      </c>
      <c r="O126">
        <v>309</v>
      </c>
      <c r="P126">
        <v>84.823000199999996</v>
      </c>
      <c r="Q126" s="4">
        <v>0.6</v>
      </c>
      <c r="R126" s="5">
        <v>84.823000199999996</v>
      </c>
      <c r="S126" s="5">
        <v>0.6</v>
      </c>
      <c r="T126">
        <v>308</v>
      </c>
      <c r="U126">
        <v>2</v>
      </c>
      <c r="V126">
        <v>2</v>
      </c>
      <c r="W126">
        <v>1</v>
      </c>
      <c r="X126">
        <v>1.1361111111111111</v>
      </c>
      <c r="Y126">
        <v>1.1361111111111111</v>
      </c>
      <c r="Z126">
        <v>1.2916666666666665</v>
      </c>
      <c r="AA126">
        <v>1.2916666666666665</v>
      </c>
      <c r="AC126">
        <v>0.56805555555555554</v>
      </c>
      <c r="AD126">
        <f t="shared" si="3"/>
        <v>1.1361111111111111</v>
      </c>
    </row>
    <row r="127" spans="1:30" x14ac:dyDescent="0.25">
      <c r="A127">
        <v>313</v>
      </c>
      <c r="B127">
        <v>132.53593781250001</v>
      </c>
      <c r="C127" s="4">
        <v>0.75</v>
      </c>
      <c r="D127">
        <v>311</v>
      </c>
      <c r="E127">
        <v>132.53593781250001</v>
      </c>
      <c r="F127" s="4">
        <v>0.75</v>
      </c>
      <c r="G127">
        <v>260</v>
      </c>
      <c r="H127">
        <v>15.079644480000002</v>
      </c>
      <c r="I127" s="4">
        <v>0.2</v>
      </c>
      <c r="K127" t="s">
        <v>229</v>
      </c>
      <c r="L127" s="4" t="s">
        <v>229</v>
      </c>
      <c r="M127" s="5">
        <v>147.61558229250002</v>
      </c>
      <c r="N127" s="5">
        <v>0.95</v>
      </c>
      <c r="O127">
        <v>312</v>
      </c>
      <c r="P127">
        <v>132.53593781250001</v>
      </c>
      <c r="Q127" s="4">
        <v>0.75</v>
      </c>
      <c r="R127" s="5">
        <v>132.53593781250001</v>
      </c>
      <c r="S127" s="5">
        <v>0.75</v>
      </c>
      <c r="T127">
        <v>313</v>
      </c>
      <c r="U127">
        <v>2</v>
      </c>
      <c r="V127">
        <v>2</v>
      </c>
      <c r="W127">
        <v>1</v>
      </c>
      <c r="X127">
        <v>1.113777777777778</v>
      </c>
      <c r="Y127">
        <v>1.113777777777778</v>
      </c>
      <c r="Z127">
        <v>1.2666666666666666</v>
      </c>
      <c r="AA127">
        <v>1.2666666666666666</v>
      </c>
      <c r="AC127">
        <v>0.55688888888888899</v>
      </c>
      <c r="AD127">
        <f t="shared" si="3"/>
        <v>1.113777777777778</v>
      </c>
    </row>
    <row r="128" spans="1:30" x14ac:dyDescent="0.25">
      <c r="A128">
        <v>132</v>
      </c>
      <c r="B128">
        <v>175.30086708000002</v>
      </c>
      <c r="C128" s="4">
        <v>0.6</v>
      </c>
      <c r="D128">
        <v>442</v>
      </c>
      <c r="E128">
        <v>7.6969018699999987</v>
      </c>
      <c r="F128" s="4">
        <v>0.17499999999999999</v>
      </c>
      <c r="G128">
        <v>130</v>
      </c>
      <c r="H128">
        <v>133.5176855</v>
      </c>
      <c r="I128" s="4">
        <v>0.5</v>
      </c>
      <c r="J128">
        <v>93</v>
      </c>
      <c r="K128">
        <v>25.132740800000008</v>
      </c>
      <c r="L128" s="4">
        <v>0.2</v>
      </c>
      <c r="M128" s="5">
        <v>166.34732817000003</v>
      </c>
      <c r="N128" s="5">
        <v>0.875</v>
      </c>
      <c r="O128">
        <v>133</v>
      </c>
      <c r="P128">
        <v>273.90760481250004</v>
      </c>
      <c r="Q128" s="4">
        <v>0.75</v>
      </c>
      <c r="R128" s="5">
        <v>273.90760481250004</v>
      </c>
      <c r="S128" s="5">
        <v>0.75</v>
      </c>
      <c r="T128">
        <v>132</v>
      </c>
      <c r="U128">
        <v>3</v>
      </c>
      <c r="V128">
        <v>3</v>
      </c>
      <c r="W128">
        <v>1</v>
      </c>
      <c r="X128">
        <v>0.60731182795698924</v>
      </c>
      <c r="Y128">
        <v>0.94892473118279574</v>
      </c>
      <c r="Z128">
        <v>1.1666666666666667</v>
      </c>
      <c r="AA128">
        <v>1.4583333333333335</v>
      </c>
      <c r="AC128">
        <v>0.37031209021767642</v>
      </c>
      <c r="AD128">
        <f t="shared" si="3"/>
        <v>1.1109362706530292</v>
      </c>
    </row>
    <row r="129" spans="1:30" x14ac:dyDescent="0.25">
      <c r="A129">
        <v>195</v>
      </c>
      <c r="B129">
        <v>20.734511160000007</v>
      </c>
      <c r="C129" s="4">
        <v>0.2</v>
      </c>
      <c r="D129">
        <v>464</v>
      </c>
      <c r="E129">
        <v>19.242254674999998</v>
      </c>
      <c r="F129" s="4">
        <v>0.17499999999999999</v>
      </c>
      <c r="G129">
        <v>216</v>
      </c>
      <c r="H129">
        <v>14.451325960000002</v>
      </c>
      <c r="I129" s="4">
        <v>0.2</v>
      </c>
      <c r="K129" t="s">
        <v>229</v>
      </c>
      <c r="L129" s="4" t="s">
        <v>229</v>
      </c>
      <c r="M129" s="5">
        <v>33.693580635000004</v>
      </c>
      <c r="N129" s="5">
        <v>0.375</v>
      </c>
      <c r="O129">
        <v>188</v>
      </c>
      <c r="P129">
        <v>40.212385280000007</v>
      </c>
      <c r="Q129" s="4">
        <v>0.4</v>
      </c>
      <c r="R129" s="5">
        <v>40.212385280000007</v>
      </c>
      <c r="S129" s="5">
        <v>0.4</v>
      </c>
      <c r="T129">
        <v>195</v>
      </c>
      <c r="U129">
        <v>2</v>
      </c>
      <c r="V129">
        <v>2</v>
      </c>
      <c r="W129">
        <v>1</v>
      </c>
      <c r="X129">
        <v>0.837890625</v>
      </c>
      <c r="Y129">
        <v>1.6249999999999996</v>
      </c>
      <c r="Z129">
        <v>0.9375</v>
      </c>
      <c r="AA129">
        <v>1.875</v>
      </c>
      <c r="AC129">
        <v>0.55283505154639168</v>
      </c>
      <c r="AD129">
        <f t="shared" si="3"/>
        <v>1.1056701030927834</v>
      </c>
    </row>
    <row r="130" spans="1:30" x14ac:dyDescent="0.25">
      <c r="A130">
        <v>149</v>
      </c>
      <c r="B130">
        <v>267.035371</v>
      </c>
      <c r="C130" s="4">
        <v>1</v>
      </c>
      <c r="D130">
        <v>148</v>
      </c>
      <c r="E130">
        <v>23.876103760000007</v>
      </c>
      <c r="F130" s="4">
        <v>0.2</v>
      </c>
      <c r="G130">
        <v>144</v>
      </c>
      <c r="H130">
        <v>267.035371</v>
      </c>
      <c r="I130" s="4">
        <v>1</v>
      </c>
      <c r="K130" t="s">
        <v>229</v>
      </c>
      <c r="L130" s="4" t="s">
        <v>229</v>
      </c>
      <c r="M130" s="5">
        <v>290.91147476000003</v>
      </c>
      <c r="N130" s="5">
        <v>1.2</v>
      </c>
      <c r="O130">
        <v>153</v>
      </c>
      <c r="P130">
        <v>267.035371</v>
      </c>
      <c r="Q130" s="4">
        <v>1</v>
      </c>
      <c r="R130" s="5">
        <v>267.035371</v>
      </c>
      <c r="S130" s="5">
        <v>1</v>
      </c>
      <c r="T130">
        <v>149</v>
      </c>
      <c r="U130">
        <v>2</v>
      </c>
      <c r="V130">
        <v>2</v>
      </c>
      <c r="W130">
        <v>1</v>
      </c>
      <c r="X130">
        <v>1.0894117647058825</v>
      </c>
      <c r="Y130">
        <v>1.0894117647058825</v>
      </c>
      <c r="Z130">
        <v>1.2</v>
      </c>
      <c r="AA130">
        <v>1.2</v>
      </c>
      <c r="AC130">
        <v>0.54470588235294126</v>
      </c>
      <c r="AD130">
        <f t="shared" ref="AD130:AD193" si="4">AC130*U130</f>
        <v>1.0894117647058825</v>
      </c>
    </row>
    <row r="131" spans="1:30" x14ac:dyDescent="0.25">
      <c r="A131">
        <v>315</v>
      </c>
      <c r="B131">
        <v>132.53593781250001</v>
      </c>
      <c r="C131" s="4">
        <v>0.75</v>
      </c>
      <c r="D131">
        <v>314</v>
      </c>
      <c r="E131">
        <v>132.53593781250001</v>
      </c>
      <c r="F131" s="4">
        <v>0.75</v>
      </c>
      <c r="G131">
        <v>256</v>
      </c>
      <c r="H131">
        <v>11.545352804999998</v>
      </c>
      <c r="I131" s="4">
        <v>0.17499999999999999</v>
      </c>
      <c r="K131" t="s">
        <v>229</v>
      </c>
      <c r="L131" s="4" t="s">
        <v>229</v>
      </c>
      <c r="M131" s="5">
        <v>144.0812906175</v>
      </c>
      <c r="N131" s="5">
        <v>0.92500000000000004</v>
      </c>
      <c r="O131">
        <v>316</v>
      </c>
      <c r="P131">
        <v>132.53593781250001</v>
      </c>
      <c r="Q131" s="4">
        <v>0.75</v>
      </c>
      <c r="R131" s="5">
        <v>132.53593781250001</v>
      </c>
      <c r="S131" s="5">
        <v>0.75</v>
      </c>
      <c r="T131">
        <v>315</v>
      </c>
      <c r="U131">
        <v>2</v>
      </c>
      <c r="V131">
        <v>2</v>
      </c>
      <c r="W131">
        <v>1</v>
      </c>
      <c r="X131">
        <v>1.0871111111111111</v>
      </c>
      <c r="Y131">
        <v>1.0871111111111111</v>
      </c>
      <c r="Z131">
        <v>1.2333333333333334</v>
      </c>
      <c r="AA131">
        <v>1.2333333333333334</v>
      </c>
      <c r="AC131">
        <v>0.54355555555555557</v>
      </c>
      <c r="AD131">
        <f t="shared" si="4"/>
        <v>1.0871111111111111</v>
      </c>
    </row>
    <row r="132" spans="1:30" x14ac:dyDescent="0.25">
      <c r="A132">
        <v>312</v>
      </c>
      <c r="B132">
        <v>132.53593781250001</v>
      </c>
      <c r="C132" s="4">
        <v>0.75</v>
      </c>
      <c r="D132">
        <v>313</v>
      </c>
      <c r="E132">
        <v>132.53593781250001</v>
      </c>
      <c r="F132" s="4">
        <v>0.75</v>
      </c>
      <c r="G132">
        <v>259</v>
      </c>
      <c r="H132">
        <v>11.545352804999998</v>
      </c>
      <c r="I132" s="4">
        <v>0.17499999999999999</v>
      </c>
      <c r="K132" t="s">
        <v>229</v>
      </c>
      <c r="L132" s="4" t="s">
        <v>229</v>
      </c>
      <c r="M132" s="5">
        <v>144.0812906175</v>
      </c>
      <c r="N132" s="5">
        <v>0.92500000000000004</v>
      </c>
      <c r="O132">
        <v>314</v>
      </c>
      <c r="P132">
        <v>132.53593781250001</v>
      </c>
      <c r="Q132" s="4">
        <v>0.75</v>
      </c>
      <c r="R132" s="5">
        <v>132.53593781250001</v>
      </c>
      <c r="S132" s="5">
        <v>0.75</v>
      </c>
      <c r="T132">
        <v>312</v>
      </c>
      <c r="U132">
        <v>2</v>
      </c>
      <c r="V132">
        <v>2</v>
      </c>
      <c r="W132">
        <v>1</v>
      </c>
      <c r="X132">
        <v>1.0871111111111111</v>
      </c>
      <c r="Y132">
        <v>1.0871111111111111</v>
      </c>
      <c r="Z132">
        <v>1.2333333333333334</v>
      </c>
      <c r="AA132">
        <v>1.2333333333333334</v>
      </c>
      <c r="AC132">
        <v>0.54355555555555557</v>
      </c>
      <c r="AD132">
        <f t="shared" si="4"/>
        <v>1.0871111111111111</v>
      </c>
    </row>
    <row r="133" spans="1:30" x14ac:dyDescent="0.25">
      <c r="A133">
        <v>304</v>
      </c>
      <c r="B133">
        <v>192.26546711999998</v>
      </c>
      <c r="C133" s="4">
        <v>0.6</v>
      </c>
      <c r="D133">
        <v>305</v>
      </c>
      <c r="E133">
        <v>203.57520048000001</v>
      </c>
      <c r="F133" s="4">
        <v>0.6</v>
      </c>
      <c r="G133">
        <v>296</v>
      </c>
      <c r="H133">
        <v>22.619466720000005</v>
      </c>
      <c r="I133" s="4">
        <v>0.2</v>
      </c>
      <c r="K133" t="s">
        <v>229</v>
      </c>
      <c r="L133" s="4" t="s">
        <v>229</v>
      </c>
      <c r="M133" s="5">
        <v>226.19466720000003</v>
      </c>
      <c r="N133" s="5">
        <v>0.8</v>
      </c>
      <c r="O133">
        <v>303</v>
      </c>
      <c r="P133">
        <v>226.1946672</v>
      </c>
      <c r="Q133" s="4">
        <v>0.6</v>
      </c>
      <c r="R133" s="5">
        <v>226.1946672</v>
      </c>
      <c r="S133" s="5">
        <v>0.6</v>
      </c>
      <c r="T133">
        <v>304</v>
      </c>
      <c r="U133">
        <v>2</v>
      </c>
      <c r="V133">
        <v>2</v>
      </c>
      <c r="W133">
        <v>1</v>
      </c>
      <c r="X133">
        <v>1.0000000000000002</v>
      </c>
      <c r="Y133">
        <v>1.1764705882352944</v>
      </c>
      <c r="Z133">
        <v>1.3333333333333335</v>
      </c>
      <c r="AA133">
        <v>1.3333333333333335</v>
      </c>
      <c r="AC133">
        <v>0.54054054054054068</v>
      </c>
      <c r="AD133">
        <f t="shared" si="4"/>
        <v>1.0810810810810814</v>
      </c>
    </row>
    <row r="134" spans="1:30" x14ac:dyDescent="0.25">
      <c r="A134">
        <v>68</v>
      </c>
      <c r="B134">
        <v>17.649467226800002</v>
      </c>
      <c r="C134" s="4">
        <v>0.26500000000000001</v>
      </c>
      <c r="D134">
        <v>447</v>
      </c>
      <c r="E134">
        <v>9.621127337499999</v>
      </c>
      <c r="F134" s="4">
        <v>0.17499999999999999</v>
      </c>
      <c r="G134">
        <v>57</v>
      </c>
      <c r="H134">
        <v>17.649467226800002</v>
      </c>
      <c r="I134" s="4">
        <v>0.26500000000000001</v>
      </c>
      <c r="K134" t="s">
        <v>229</v>
      </c>
      <c r="L134" s="4" t="s">
        <v>229</v>
      </c>
      <c r="M134" s="5">
        <v>27.270594564300001</v>
      </c>
      <c r="N134" s="5">
        <v>0.44</v>
      </c>
      <c r="O134">
        <v>79</v>
      </c>
      <c r="P134">
        <v>33.092751050250008</v>
      </c>
      <c r="Q134" s="4">
        <v>0.26500000000000001</v>
      </c>
      <c r="R134" s="5">
        <v>33.092751050250008</v>
      </c>
      <c r="S134" s="5">
        <v>0.26500000000000001</v>
      </c>
      <c r="T134">
        <v>68</v>
      </c>
      <c r="U134">
        <v>2</v>
      </c>
      <c r="V134">
        <v>2</v>
      </c>
      <c r="W134">
        <v>1</v>
      </c>
      <c r="X134">
        <v>0.82406550373798493</v>
      </c>
      <c r="Y134">
        <v>1.5451228195087219</v>
      </c>
      <c r="Z134">
        <v>1.6603773584905659</v>
      </c>
      <c r="AA134">
        <v>1.6603773584905659</v>
      </c>
      <c r="AC134">
        <v>0.53743402417694663</v>
      </c>
      <c r="AD134">
        <f t="shared" si="4"/>
        <v>1.0748680483538933</v>
      </c>
    </row>
    <row r="135" spans="1:30" x14ac:dyDescent="0.25">
      <c r="A135">
        <v>144</v>
      </c>
      <c r="B135">
        <v>267.035371</v>
      </c>
      <c r="C135" s="4">
        <v>1</v>
      </c>
      <c r="D135">
        <v>143</v>
      </c>
      <c r="E135">
        <v>17.799085574374995</v>
      </c>
      <c r="F135" s="4">
        <v>0.17499999999999999</v>
      </c>
      <c r="G135">
        <v>137</v>
      </c>
      <c r="H135">
        <v>267.035371</v>
      </c>
      <c r="I135" s="4">
        <v>1</v>
      </c>
      <c r="K135" t="s">
        <v>229</v>
      </c>
      <c r="L135" s="4" t="s">
        <v>229</v>
      </c>
      <c r="M135" s="5">
        <v>284.834456574375</v>
      </c>
      <c r="N135" s="5">
        <v>1.175</v>
      </c>
      <c r="O135">
        <v>149</v>
      </c>
      <c r="P135">
        <v>267.035371</v>
      </c>
      <c r="Q135" s="4">
        <v>1</v>
      </c>
      <c r="R135" s="5">
        <v>267.035371</v>
      </c>
      <c r="S135" s="5">
        <v>1</v>
      </c>
      <c r="T135">
        <v>144</v>
      </c>
      <c r="U135">
        <v>2</v>
      </c>
      <c r="V135">
        <v>2</v>
      </c>
      <c r="W135">
        <v>1</v>
      </c>
      <c r="X135">
        <v>1.0666544117647059</v>
      </c>
      <c r="Y135">
        <v>1.0666544117647059</v>
      </c>
      <c r="Z135">
        <v>1.175</v>
      </c>
      <c r="AA135">
        <v>1.175</v>
      </c>
      <c r="AC135">
        <v>0.53332720588235294</v>
      </c>
      <c r="AD135">
        <f t="shared" si="4"/>
        <v>1.0666544117647059</v>
      </c>
    </row>
    <row r="136" spans="1:30" x14ac:dyDescent="0.25">
      <c r="A136">
        <v>293</v>
      </c>
      <c r="B136">
        <v>70.685833500000001</v>
      </c>
      <c r="C136" s="4">
        <v>0.5</v>
      </c>
      <c r="D136">
        <v>292</v>
      </c>
      <c r="E136">
        <v>121.73671325000001</v>
      </c>
      <c r="F136" s="4">
        <v>0.5</v>
      </c>
      <c r="G136">
        <v>288</v>
      </c>
      <c r="H136">
        <v>22.619466720000005</v>
      </c>
      <c r="I136" s="4">
        <v>0.2</v>
      </c>
      <c r="K136" t="s">
        <v>229</v>
      </c>
      <c r="L136" s="4" t="s">
        <v>229</v>
      </c>
      <c r="M136" s="5">
        <v>144.35617997000003</v>
      </c>
      <c r="N136" s="5">
        <v>0.7</v>
      </c>
      <c r="O136">
        <v>305</v>
      </c>
      <c r="P136">
        <v>203.57520048000001</v>
      </c>
      <c r="Q136" s="4">
        <v>0.6</v>
      </c>
      <c r="R136" s="5">
        <v>203.57520048000001</v>
      </c>
      <c r="S136" s="5">
        <v>0.6</v>
      </c>
      <c r="T136">
        <v>293</v>
      </c>
      <c r="U136">
        <v>2</v>
      </c>
      <c r="V136">
        <v>2</v>
      </c>
      <c r="W136">
        <v>1</v>
      </c>
      <c r="X136">
        <v>0.70910493827160503</v>
      </c>
      <c r="Y136">
        <v>2.0422222222222226</v>
      </c>
      <c r="Z136">
        <v>1.1666666666666667</v>
      </c>
      <c r="AA136">
        <v>1.4</v>
      </c>
      <c r="AC136">
        <v>0.52634593356242854</v>
      </c>
      <c r="AD136">
        <f t="shared" si="4"/>
        <v>1.0526918671248571</v>
      </c>
    </row>
    <row r="137" spans="1:30" x14ac:dyDescent="0.25">
      <c r="A137">
        <v>26</v>
      </c>
      <c r="B137">
        <v>70.685833500000001</v>
      </c>
      <c r="C137" s="4">
        <v>0.75</v>
      </c>
      <c r="D137">
        <v>346</v>
      </c>
      <c r="E137">
        <v>115.61060768000002</v>
      </c>
      <c r="F137" s="4">
        <v>0.4</v>
      </c>
      <c r="G137">
        <v>27</v>
      </c>
      <c r="H137">
        <v>141.371667</v>
      </c>
      <c r="I137" s="4">
        <v>0.75</v>
      </c>
      <c r="K137" t="s">
        <v>229</v>
      </c>
      <c r="L137" s="4" t="s">
        <v>229</v>
      </c>
      <c r="M137" s="5">
        <v>256.98227468000005</v>
      </c>
      <c r="N137" s="5">
        <v>1.1499999999999999</v>
      </c>
      <c r="O137">
        <v>25</v>
      </c>
      <c r="P137">
        <v>424.11500100000001</v>
      </c>
      <c r="Q137" s="4">
        <v>0.75</v>
      </c>
      <c r="R137" s="5">
        <v>424.11500100000001</v>
      </c>
      <c r="S137" s="5">
        <v>0.75</v>
      </c>
      <c r="T137">
        <v>26</v>
      </c>
      <c r="U137">
        <v>2</v>
      </c>
      <c r="V137">
        <v>2</v>
      </c>
      <c r="W137">
        <v>1</v>
      </c>
      <c r="X137">
        <v>0.60592592592592598</v>
      </c>
      <c r="Y137">
        <v>3.6355555555555563</v>
      </c>
      <c r="Z137">
        <v>1.5333333333333332</v>
      </c>
      <c r="AA137">
        <v>1.5333333333333332</v>
      </c>
      <c r="AC137">
        <v>0.51936507936507947</v>
      </c>
      <c r="AD137">
        <f t="shared" si="4"/>
        <v>1.0387301587301589</v>
      </c>
    </row>
    <row r="138" spans="1:30" x14ac:dyDescent="0.25">
      <c r="A138">
        <v>21</v>
      </c>
      <c r="B138">
        <v>31.415926000000006</v>
      </c>
      <c r="C138" s="4">
        <v>0.2</v>
      </c>
      <c r="D138">
        <v>20</v>
      </c>
      <c r="E138">
        <v>3.8484509349999994</v>
      </c>
      <c r="F138" s="4">
        <v>0.17499999999999999</v>
      </c>
      <c r="G138">
        <v>3</v>
      </c>
      <c r="H138">
        <v>24.504422280000004</v>
      </c>
      <c r="I138" s="4">
        <v>0.2</v>
      </c>
      <c r="K138" t="s">
        <v>229</v>
      </c>
      <c r="L138" s="4" t="s">
        <v>229</v>
      </c>
      <c r="M138" s="5">
        <v>28.352873215000002</v>
      </c>
      <c r="N138" s="5">
        <v>0.375</v>
      </c>
      <c r="O138">
        <v>50</v>
      </c>
      <c r="P138">
        <v>28.274333400000007</v>
      </c>
      <c r="Q138" s="4">
        <v>0.2</v>
      </c>
      <c r="R138" s="5">
        <v>28.274333400000007</v>
      </c>
      <c r="S138" s="5">
        <v>0.2</v>
      </c>
      <c r="T138">
        <v>21</v>
      </c>
      <c r="U138">
        <v>2</v>
      </c>
      <c r="V138">
        <v>2</v>
      </c>
      <c r="W138">
        <v>1</v>
      </c>
      <c r="X138">
        <v>1.0027777777777775</v>
      </c>
      <c r="Y138">
        <v>0.90249999999999986</v>
      </c>
      <c r="Z138">
        <v>1.875</v>
      </c>
      <c r="AA138">
        <v>1.875</v>
      </c>
      <c r="AC138">
        <v>0.47499999999999992</v>
      </c>
      <c r="AD138">
        <f t="shared" si="4"/>
        <v>0.94999999999999984</v>
      </c>
    </row>
    <row r="139" spans="1:30" x14ac:dyDescent="0.25">
      <c r="A139">
        <v>226</v>
      </c>
      <c r="B139">
        <v>17.649467226800002</v>
      </c>
      <c r="C139" s="4">
        <v>0.26500000000000001</v>
      </c>
      <c r="D139">
        <v>227</v>
      </c>
      <c r="E139">
        <v>33.092751050250008</v>
      </c>
      <c r="F139" s="4">
        <v>0.26500000000000001</v>
      </c>
      <c r="H139" t="s">
        <v>229</v>
      </c>
      <c r="I139" s="4" t="s">
        <v>229</v>
      </c>
      <c r="K139" t="s">
        <v>229</v>
      </c>
      <c r="L139" s="4" t="s">
        <v>229</v>
      </c>
      <c r="M139" s="5">
        <v>33.092751050250008</v>
      </c>
      <c r="N139" s="5">
        <v>0.26500000000000001</v>
      </c>
      <c r="O139">
        <v>225</v>
      </c>
      <c r="P139">
        <v>17.649467226800002</v>
      </c>
      <c r="Q139" s="4">
        <v>0.26500000000000001</v>
      </c>
      <c r="R139" s="5">
        <v>17.649467226800002</v>
      </c>
      <c r="S139" s="5">
        <v>0.26500000000000001</v>
      </c>
      <c r="T139">
        <v>226</v>
      </c>
      <c r="U139">
        <v>1</v>
      </c>
      <c r="V139">
        <v>1</v>
      </c>
      <c r="W139">
        <v>1</v>
      </c>
      <c r="X139">
        <v>1.8750000000000002</v>
      </c>
      <c r="Y139">
        <v>1.8750000000000002</v>
      </c>
      <c r="Z139">
        <v>1</v>
      </c>
      <c r="AA139">
        <v>1</v>
      </c>
      <c r="AC139">
        <v>0.93750000000000011</v>
      </c>
      <c r="AD139">
        <f t="shared" si="4"/>
        <v>0.93750000000000011</v>
      </c>
    </row>
    <row r="140" spans="1:30" x14ac:dyDescent="0.25">
      <c r="A140">
        <v>210</v>
      </c>
      <c r="B140">
        <v>50.265481600000015</v>
      </c>
      <c r="C140" s="4">
        <v>0.4</v>
      </c>
      <c r="D140">
        <v>211</v>
      </c>
      <c r="E140">
        <v>4.8105636687499995</v>
      </c>
      <c r="F140" s="4">
        <v>0.17499999999999999</v>
      </c>
      <c r="G140">
        <v>203</v>
      </c>
      <c r="H140">
        <v>75.398222400000023</v>
      </c>
      <c r="I140" s="4">
        <v>0.4</v>
      </c>
      <c r="K140" t="s">
        <v>229</v>
      </c>
      <c r="L140" s="4" t="s">
        <v>229</v>
      </c>
      <c r="M140" s="5">
        <v>80.208786068750015</v>
      </c>
      <c r="N140" s="5">
        <v>0.57499999999999996</v>
      </c>
      <c r="O140">
        <v>209</v>
      </c>
      <c r="P140">
        <v>123.700208625</v>
      </c>
      <c r="Q140" s="4">
        <v>0.75</v>
      </c>
      <c r="R140" s="5">
        <v>123.700208625</v>
      </c>
      <c r="S140" s="5">
        <v>0.75</v>
      </c>
      <c r="T140">
        <v>210</v>
      </c>
      <c r="U140">
        <v>2</v>
      </c>
      <c r="V140">
        <v>2</v>
      </c>
      <c r="W140">
        <v>1</v>
      </c>
      <c r="X140">
        <v>0.64841269841269855</v>
      </c>
      <c r="Y140">
        <v>1.5957031249999998</v>
      </c>
      <c r="Z140">
        <v>0.76666666666666661</v>
      </c>
      <c r="AA140">
        <v>1.4374999999999998</v>
      </c>
      <c r="AC140">
        <v>0.46106094808126419</v>
      </c>
      <c r="AD140">
        <f t="shared" si="4"/>
        <v>0.92212189616252838</v>
      </c>
    </row>
    <row r="141" spans="1:30" x14ac:dyDescent="0.25">
      <c r="A141">
        <v>324</v>
      </c>
      <c r="B141">
        <v>75.398222400000023</v>
      </c>
      <c r="C141" s="4">
        <v>0.4</v>
      </c>
      <c r="D141">
        <v>517</v>
      </c>
      <c r="E141">
        <v>15.393803739999997</v>
      </c>
      <c r="F141" s="4">
        <v>0.17499999999999999</v>
      </c>
      <c r="G141">
        <v>325</v>
      </c>
      <c r="H141">
        <v>37.699111200000011</v>
      </c>
      <c r="I141" s="4">
        <v>0.4</v>
      </c>
      <c r="K141" t="s">
        <v>229</v>
      </c>
      <c r="L141" s="4" t="s">
        <v>229</v>
      </c>
      <c r="M141" s="5">
        <v>53.092914940000007</v>
      </c>
      <c r="N141" s="5">
        <v>0.57499999999999996</v>
      </c>
      <c r="O141">
        <v>323</v>
      </c>
      <c r="P141">
        <v>40.212385280000007</v>
      </c>
      <c r="Q141" s="4">
        <v>0.4</v>
      </c>
      <c r="R141" s="5">
        <v>40.212385280000007</v>
      </c>
      <c r="S141" s="5">
        <v>0.4</v>
      </c>
      <c r="T141">
        <v>324</v>
      </c>
      <c r="U141">
        <v>2</v>
      </c>
      <c r="V141">
        <v>2</v>
      </c>
      <c r="W141">
        <v>1</v>
      </c>
      <c r="X141">
        <v>1.3203125</v>
      </c>
      <c r="Y141">
        <v>0.7041666666666665</v>
      </c>
      <c r="Z141">
        <v>1.4374999999999998</v>
      </c>
      <c r="AA141">
        <v>1.4374999999999998</v>
      </c>
      <c r="AC141">
        <v>0.45923913043478254</v>
      </c>
      <c r="AD141">
        <f t="shared" si="4"/>
        <v>0.91847826086956508</v>
      </c>
    </row>
    <row r="142" spans="1:30" x14ac:dyDescent="0.25">
      <c r="A142">
        <v>319</v>
      </c>
      <c r="B142">
        <v>132.53593781250001</v>
      </c>
      <c r="C142" s="4">
        <v>0.75</v>
      </c>
      <c r="D142">
        <v>505</v>
      </c>
      <c r="E142">
        <v>14.431691006249999</v>
      </c>
      <c r="F142" s="4">
        <v>0.17499999999999999</v>
      </c>
      <c r="G142">
        <v>318</v>
      </c>
      <c r="H142">
        <v>132.53593781250001</v>
      </c>
      <c r="I142" s="4">
        <v>0.75</v>
      </c>
      <c r="J142">
        <v>253</v>
      </c>
      <c r="K142">
        <v>15.079644480000002</v>
      </c>
      <c r="L142" s="4">
        <v>0.2</v>
      </c>
      <c r="M142" s="5">
        <v>162.04727329875001</v>
      </c>
      <c r="N142" s="5">
        <v>1.125</v>
      </c>
      <c r="O142">
        <v>344</v>
      </c>
      <c r="P142">
        <v>441.78645937499999</v>
      </c>
      <c r="Q142" s="4">
        <v>0.75</v>
      </c>
      <c r="R142" s="5">
        <v>441.78645937499999</v>
      </c>
      <c r="S142" s="5">
        <v>0.75</v>
      </c>
      <c r="T142">
        <v>319</v>
      </c>
      <c r="U142">
        <v>3</v>
      </c>
      <c r="V142">
        <v>3</v>
      </c>
      <c r="W142">
        <v>1</v>
      </c>
      <c r="X142">
        <v>0.36680000000000001</v>
      </c>
      <c r="Y142">
        <v>1.2226666666666668</v>
      </c>
      <c r="Z142">
        <v>1.5</v>
      </c>
      <c r="AA142">
        <v>1.5</v>
      </c>
      <c r="AC142">
        <v>0.2821538461538462</v>
      </c>
      <c r="AD142">
        <f t="shared" si="4"/>
        <v>0.8464615384615386</v>
      </c>
    </row>
    <row r="143" spans="1:30" x14ac:dyDescent="0.25">
      <c r="A143">
        <v>104</v>
      </c>
      <c r="B143">
        <v>19.242254674999998</v>
      </c>
      <c r="C143" s="4">
        <v>0.17499999999999999</v>
      </c>
      <c r="D143">
        <v>385</v>
      </c>
      <c r="E143">
        <v>15.393803739999997</v>
      </c>
      <c r="F143" s="4">
        <v>0.17499999999999999</v>
      </c>
      <c r="G143">
        <v>279</v>
      </c>
      <c r="H143">
        <v>5.7726764024999992</v>
      </c>
      <c r="I143" s="4">
        <v>0.17499999999999999</v>
      </c>
      <c r="K143" t="s">
        <v>229</v>
      </c>
      <c r="L143" s="4" t="s">
        <v>229</v>
      </c>
      <c r="M143" s="5">
        <v>21.166480142499996</v>
      </c>
      <c r="N143" s="5">
        <v>0.35</v>
      </c>
      <c r="O143">
        <v>105</v>
      </c>
      <c r="P143">
        <v>30.787607479999995</v>
      </c>
      <c r="Q143" s="4">
        <v>0.17499999999999999</v>
      </c>
      <c r="R143" s="5">
        <v>30.787607479999995</v>
      </c>
      <c r="S143" s="5">
        <v>0.17499999999999999</v>
      </c>
      <c r="T143">
        <v>104</v>
      </c>
      <c r="U143">
        <v>2</v>
      </c>
      <c r="V143">
        <v>2</v>
      </c>
      <c r="W143">
        <v>1</v>
      </c>
      <c r="X143">
        <v>0.6875</v>
      </c>
      <c r="Y143">
        <v>1.0999999999999999</v>
      </c>
      <c r="Z143">
        <v>2</v>
      </c>
      <c r="AA143">
        <v>2</v>
      </c>
      <c r="AC143">
        <v>0.42307692307692307</v>
      </c>
      <c r="AD143">
        <f t="shared" si="4"/>
        <v>0.84615384615384615</v>
      </c>
    </row>
    <row r="144" spans="1:30" x14ac:dyDescent="0.25">
      <c r="A144">
        <v>19</v>
      </c>
      <c r="B144">
        <v>57.36076848710001</v>
      </c>
      <c r="C144" s="4">
        <v>0.26500000000000001</v>
      </c>
      <c r="D144">
        <v>361</v>
      </c>
      <c r="E144">
        <v>3.8484509349999994</v>
      </c>
      <c r="F144" s="4">
        <v>0.17499999999999999</v>
      </c>
      <c r="G144">
        <v>5</v>
      </c>
      <c r="H144">
        <v>39.711301260300004</v>
      </c>
      <c r="I144" s="4">
        <v>0.26500000000000001</v>
      </c>
      <c r="K144" t="s">
        <v>229</v>
      </c>
      <c r="L144" s="4" t="s">
        <v>229</v>
      </c>
      <c r="M144" s="5">
        <v>43.559752195300007</v>
      </c>
      <c r="N144" s="5">
        <v>0.44</v>
      </c>
      <c r="O144">
        <v>52</v>
      </c>
      <c r="P144">
        <v>49.639126575375009</v>
      </c>
      <c r="Q144" s="4">
        <v>0.26500000000000001</v>
      </c>
      <c r="R144" s="5">
        <v>49.639126575375009</v>
      </c>
      <c r="S144" s="5">
        <v>0.26500000000000001</v>
      </c>
      <c r="T144">
        <v>19</v>
      </c>
      <c r="U144">
        <v>2</v>
      </c>
      <c r="V144">
        <v>2</v>
      </c>
      <c r="W144">
        <v>1</v>
      </c>
      <c r="X144">
        <v>0.8775285787745738</v>
      </c>
      <c r="Y144">
        <v>0.75939973163184271</v>
      </c>
      <c r="Z144">
        <v>1.6603773584905659</v>
      </c>
      <c r="AA144">
        <v>1.6603773584905659</v>
      </c>
      <c r="AC144">
        <v>0.40710088706036929</v>
      </c>
      <c r="AD144">
        <f t="shared" si="4"/>
        <v>0.81420177412073858</v>
      </c>
    </row>
    <row r="145" spans="1:30" x14ac:dyDescent="0.25">
      <c r="A145">
        <v>69</v>
      </c>
      <c r="B145">
        <v>59.566951890450007</v>
      </c>
      <c r="C145" s="4">
        <v>0.26500000000000001</v>
      </c>
      <c r="D145">
        <v>356</v>
      </c>
      <c r="E145">
        <v>7.6969018699999987</v>
      </c>
      <c r="F145" s="4">
        <v>0.17499999999999999</v>
      </c>
      <c r="G145">
        <v>237</v>
      </c>
      <c r="H145">
        <v>15.079644480000002</v>
      </c>
      <c r="I145" s="4">
        <v>0.2</v>
      </c>
      <c r="J145">
        <v>67</v>
      </c>
      <c r="K145">
        <v>17.649467226800002</v>
      </c>
      <c r="L145" s="4">
        <v>0.26500000000000001</v>
      </c>
      <c r="M145" s="5">
        <v>40.426013576800003</v>
      </c>
      <c r="N145" s="5">
        <v>0.64</v>
      </c>
      <c r="O145">
        <v>60</v>
      </c>
      <c r="P145">
        <v>90.477866880000022</v>
      </c>
      <c r="Q145" s="4">
        <v>0.4</v>
      </c>
      <c r="R145" s="5">
        <v>90.477866880000022</v>
      </c>
      <c r="S145" s="5">
        <v>0.4</v>
      </c>
      <c r="T145">
        <v>69</v>
      </c>
      <c r="U145">
        <v>3</v>
      </c>
      <c r="V145">
        <v>3</v>
      </c>
      <c r="W145">
        <v>1</v>
      </c>
      <c r="X145">
        <v>0.44680555555555546</v>
      </c>
      <c r="Y145">
        <v>0.67866513719130306</v>
      </c>
      <c r="Z145">
        <v>1.5999999999999999</v>
      </c>
      <c r="AA145">
        <v>2.4150943396226414</v>
      </c>
      <c r="AC145">
        <v>0.26942625482221277</v>
      </c>
      <c r="AD145">
        <f t="shared" si="4"/>
        <v>0.80827876446663827</v>
      </c>
    </row>
    <row r="146" spans="1:30" x14ac:dyDescent="0.25">
      <c r="A146">
        <v>257</v>
      </c>
      <c r="B146">
        <v>17.649467226800002</v>
      </c>
      <c r="C146" s="4">
        <v>0.26500000000000001</v>
      </c>
      <c r="D146">
        <v>246</v>
      </c>
      <c r="E146">
        <v>10.053096320000002</v>
      </c>
      <c r="F146" s="4">
        <v>0.2</v>
      </c>
      <c r="G146">
        <v>157</v>
      </c>
      <c r="H146">
        <v>12.988521905624998</v>
      </c>
      <c r="I146" s="4">
        <v>0.17499999999999999</v>
      </c>
      <c r="K146" t="s">
        <v>229</v>
      </c>
      <c r="L146" s="4" t="s">
        <v>229</v>
      </c>
      <c r="M146" s="5">
        <v>23.041618225625001</v>
      </c>
      <c r="N146" s="5">
        <v>0.375</v>
      </c>
      <c r="O146">
        <v>268</v>
      </c>
      <c r="P146">
        <v>40.212385280000007</v>
      </c>
      <c r="Q146" s="4">
        <v>0.4</v>
      </c>
      <c r="R146" s="5">
        <v>40.212385280000007</v>
      </c>
      <c r="S146" s="5">
        <v>0.4</v>
      </c>
      <c r="T146">
        <v>257</v>
      </c>
      <c r="U146">
        <v>2</v>
      </c>
      <c r="V146">
        <v>2</v>
      </c>
      <c r="W146">
        <v>1</v>
      </c>
      <c r="X146">
        <v>0.57299804687499989</v>
      </c>
      <c r="Y146">
        <v>1.305513527945888</v>
      </c>
      <c r="Z146">
        <v>0.9375</v>
      </c>
      <c r="AA146">
        <v>1.4150943396226414</v>
      </c>
      <c r="AC146">
        <v>0.39821777608860898</v>
      </c>
      <c r="AD146">
        <f t="shared" si="4"/>
        <v>0.79643555217721795</v>
      </c>
    </row>
    <row r="147" spans="1:30" x14ac:dyDescent="0.25">
      <c r="A147">
        <v>101</v>
      </c>
      <c r="B147">
        <v>19.855650630150002</v>
      </c>
      <c r="C147" s="4">
        <v>0.26500000000000001</v>
      </c>
      <c r="D147">
        <v>90</v>
      </c>
      <c r="E147">
        <v>35.298934453600005</v>
      </c>
      <c r="F147" s="4">
        <v>0.26500000000000001</v>
      </c>
      <c r="H147" t="s">
        <v>229</v>
      </c>
      <c r="I147" s="4" t="s">
        <v>229</v>
      </c>
      <c r="K147" t="s">
        <v>229</v>
      </c>
      <c r="L147" s="4" t="s">
        <v>229</v>
      </c>
      <c r="M147" s="5">
        <v>35.298934453600005</v>
      </c>
      <c r="N147" s="5">
        <v>0.26500000000000001</v>
      </c>
      <c r="O147">
        <v>113</v>
      </c>
      <c r="P147">
        <v>25.446900060000001</v>
      </c>
      <c r="Q147" s="4">
        <v>0.3</v>
      </c>
      <c r="R147" s="5">
        <v>25.446900060000001</v>
      </c>
      <c r="S147" s="5">
        <v>0.3</v>
      </c>
      <c r="T147">
        <v>101</v>
      </c>
      <c r="U147">
        <v>1</v>
      </c>
      <c r="V147">
        <v>1</v>
      </c>
      <c r="W147">
        <v>1</v>
      </c>
      <c r="X147">
        <v>1.3871604938271607</v>
      </c>
      <c r="Y147">
        <v>1.7777777777777779</v>
      </c>
      <c r="Z147">
        <v>0.88333333333333341</v>
      </c>
      <c r="AA147">
        <v>1</v>
      </c>
      <c r="AC147">
        <v>0.77918205301572452</v>
      </c>
      <c r="AD147">
        <f t="shared" si="4"/>
        <v>0.77918205301572452</v>
      </c>
    </row>
    <row r="148" spans="1:30" x14ac:dyDescent="0.25">
      <c r="A148">
        <v>207</v>
      </c>
      <c r="B148">
        <v>31.101766740000002</v>
      </c>
      <c r="C148" s="4">
        <v>0.3</v>
      </c>
      <c r="D148">
        <v>208</v>
      </c>
      <c r="E148">
        <v>25.132740800000008</v>
      </c>
      <c r="F148" s="4">
        <v>0.4</v>
      </c>
      <c r="G148">
        <v>206</v>
      </c>
      <c r="H148">
        <v>17.318029207499997</v>
      </c>
      <c r="I148" s="4">
        <v>0.17499999999999999</v>
      </c>
      <c r="K148" t="s">
        <v>229</v>
      </c>
      <c r="L148" s="4" t="s">
        <v>229</v>
      </c>
      <c r="M148" s="5">
        <v>42.450770007500005</v>
      </c>
      <c r="N148" s="5">
        <v>0.57499999999999996</v>
      </c>
      <c r="O148">
        <v>194</v>
      </c>
      <c r="P148">
        <v>80.424770560000013</v>
      </c>
      <c r="Q148" s="4">
        <v>0.4</v>
      </c>
      <c r="R148" s="5">
        <v>80.424770560000013</v>
      </c>
      <c r="S148" s="5">
        <v>0.4</v>
      </c>
      <c r="T148">
        <v>207</v>
      </c>
      <c r="U148">
        <v>2</v>
      </c>
      <c r="V148">
        <v>2</v>
      </c>
      <c r="W148">
        <v>1</v>
      </c>
      <c r="X148">
        <v>0.52783203125</v>
      </c>
      <c r="Y148">
        <v>1.3648989898989901</v>
      </c>
      <c r="Z148">
        <v>1.4374999999999998</v>
      </c>
      <c r="AA148">
        <v>1.9166666666666665</v>
      </c>
      <c r="AC148">
        <v>0.3806338028169014</v>
      </c>
      <c r="AD148">
        <f t="shared" si="4"/>
        <v>0.7612676056338028</v>
      </c>
    </row>
    <row r="149" spans="1:30" x14ac:dyDescent="0.25">
      <c r="A149">
        <v>137</v>
      </c>
      <c r="B149">
        <v>267.035371</v>
      </c>
      <c r="C149" s="4">
        <v>1</v>
      </c>
      <c r="D149">
        <v>138</v>
      </c>
      <c r="E149">
        <v>48.066366779999996</v>
      </c>
      <c r="F149" s="4">
        <v>0.3</v>
      </c>
      <c r="G149">
        <v>136</v>
      </c>
      <c r="H149">
        <v>150.2073961875</v>
      </c>
      <c r="I149" s="4">
        <v>0.75</v>
      </c>
      <c r="K149" t="s">
        <v>229</v>
      </c>
      <c r="L149" s="4" t="s">
        <v>229</v>
      </c>
      <c r="M149" s="5">
        <v>198.27376296749998</v>
      </c>
      <c r="N149" s="5">
        <v>1.05</v>
      </c>
      <c r="O149">
        <v>144</v>
      </c>
      <c r="P149">
        <v>267.035371</v>
      </c>
      <c r="Q149" s="4">
        <v>1</v>
      </c>
      <c r="R149" s="5">
        <v>267.035371</v>
      </c>
      <c r="S149" s="5">
        <v>1</v>
      </c>
      <c r="T149">
        <v>137</v>
      </c>
      <c r="U149">
        <v>2</v>
      </c>
      <c r="V149">
        <v>2</v>
      </c>
      <c r="W149">
        <v>1</v>
      </c>
      <c r="X149">
        <v>0.74249999999999994</v>
      </c>
      <c r="Y149">
        <v>0.74249999999999994</v>
      </c>
      <c r="Z149">
        <v>1.05</v>
      </c>
      <c r="AA149">
        <v>1.05</v>
      </c>
      <c r="AC149">
        <v>0.37124999999999997</v>
      </c>
      <c r="AD149">
        <f t="shared" si="4"/>
        <v>0.74249999999999994</v>
      </c>
    </row>
    <row r="150" spans="1:30" x14ac:dyDescent="0.25">
      <c r="A150">
        <v>348</v>
      </c>
      <c r="B150">
        <v>108.07078544000002</v>
      </c>
      <c r="C150" s="4">
        <v>0.4</v>
      </c>
      <c r="D150">
        <v>347</v>
      </c>
      <c r="E150">
        <v>9.4247778000000029</v>
      </c>
      <c r="F150" s="4">
        <v>0.2</v>
      </c>
      <c r="G150">
        <v>349</v>
      </c>
      <c r="H150">
        <v>21.205750049999999</v>
      </c>
      <c r="I150" s="4">
        <v>0.3</v>
      </c>
      <c r="J150">
        <v>248</v>
      </c>
      <c r="K150">
        <v>26.474200840200002</v>
      </c>
      <c r="L150" s="4">
        <v>0.26500000000000001</v>
      </c>
      <c r="M150" s="5">
        <v>57.104728690200005</v>
      </c>
      <c r="N150" s="5">
        <v>0.76500000000000001</v>
      </c>
      <c r="O150">
        <v>23</v>
      </c>
      <c r="P150">
        <v>125.66370400000002</v>
      </c>
      <c r="Q150" s="4">
        <v>0.4</v>
      </c>
      <c r="R150" s="5">
        <v>125.66370400000002</v>
      </c>
      <c r="S150" s="5">
        <v>0.4</v>
      </c>
      <c r="T150">
        <v>348</v>
      </c>
      <c r="U150">
        <v>3</v>
      </c>
      <c r="V150">
        <v>3</v>
      </c>
      <c r="W150">
        <v>1</v>
      </c>
      <c r="X150">
        <v>0.45442499999999997</v>
      </c>
      <c r="Y150">
        <v>0.5284011627906976</v>
      </c>
      <c r="Z150">
        <v>1.9124999999999999</v>
      </c>
      <c r="AA150">
        <v>1.9124999999999999</v>
      </c>
      <c r="AC150">
        <v>0.24431451612903221</v>
      </c>
      <c r="AD150">
        <f t="shared" si="4"/>
        <v>0.73294354838709663</v>
      </c>
    </row>
    <row r="151" spans="1:30" x14ac:dyDescent="0.25">
      <c r="A151">
        <v>310</v>
      </c>
      <c r="B151">
        <v>132.53593781250001</v>
      </c>
      <c r="C151" s="4">
        <v>0.75</v>
      </c>
      <c r="D151">
        <v>309</v>
      </c>
      <c r="E151">
        <v>84.823000199999996</v>
      </c>
      <c r="F151" s="4">
        <v>0.6</v>
      </c>
      <c r="G151">
        <v>262</v>
      </c>
      <c r="H151">
        <v>11.545352804999998</v>
      </c>
      <c r="I151" s="4">
        <v>0.17499999999999999</v>
      </c>
      <c r="K151" t="s">
        <v>229</v>
      </c>
      <c r="L151" s="4" t="s">
        <v>229</v>
      </c>
      <c r="M151" s="5">
        <v>96.368353004999989</v>
      </c>
      <c r="N151" s="5">
        <v>0.77499999999999991</v>
      </c>
      <c r="O151">
        <v>311</v>
      </c>
      <c r="P151">
        <v>132.53593781250001</v>
      </c>
      <c r="Q151" s="4">
        <v>0.75</v>
      </c>
      <c r="R151" s="5">
        <v>132.53593781250001</v>
      </c>
      <c r="S151" s="5">
        <v>0.75</v>
      </c>
      <c r="T151">
        <v>310</v>
      </c>
      <c r="U151">
        <v>2</v>
      </c>
      <c r="V151">
        <v>2</v>
      </c>
      <c r="W151">
        <v>1</v>
      </c>
      <c r="X151">
        <v>0.72711111111111093</v>
      </c>
      <c r="Y151">
        <v>0.72711111111111093</v>
      </c>
      <c r="Z151">
        <v>1.0333333333333332</v>
      </c>
      <c r="AA151">
        <v>1.0333333333333332</v>
      </c>
      <c r="AC151">
        <v>0.36355555555555547</v>
      </c>
      <c r="AD151">
        <f t="shared" si="4"/>
        <v>0.72711111111111093</v>
      </c>
    </row>
    <row r="152" spans="1:30" x14ac:dyDescent="0.25">
      <c r="A152">
        <v>322</v>
      </c>
      <c r="B152">
        <v>75.398222400000023</v>
      </c>
      <c r="C152" s="4">
        <v>0.4</v>
      </c>
      <c r="D152">
        <v>522</v>
      </c>
      <c r="E152">
        <v>13.950634639374998</v>
      </c>
      <c r="F152" s="4">
        <v>0.17499999999999999</v>
      </c>
      <c r="G152">
        <v>323</v>
      </c>
      <c r="H152">
        <v>40.212385280000007</v>
      </c>
      <c r="I152" s="4">
        <v>0.4</v>
      </c>
      <c r="K152" t="s">
        <v>229</v>
      </c>
      <c r="L152" s="4" t="s">
        <v>229</v>
      </c>
      <c r="M152" s="5">
        <v>54.163019919375003</v>
      </c>
      <c r="N152" s="5">
        <v>0.57499999999999996</v>
      </c>
      <c r="O152">
        <v>321</v>
      </c>
      <c r="P152">
        <v>80.424770560000013</v>
      </c>
      <c r="Q152" s="4">
        <v>0.4</v>
      </c>
      <c r="R152" s="5">
        <v>80.424770560000013</v>
      </c>
      <c r="S152" s="5">
        <v>0.4</v>
      </c>
      <c r="T152">
        <v>322</v>
      </c>
      <c r="U152">
        <v>2</v>
      </c>
      <c r="V152">
        <v>2</v>
      </c>
      <c r="W152">
        <v>1</v>
      </c>
      <c r="X152">
        <v>0.67346191406249989</v>
      </c>
      <c r="Y152">
        <v>0.7183593749999998</v>
      </c>
      <c r="Z152">
        <v>1.4374999999999998</v>
      </c>
      <c r="AA152">
        <v>1.4374999999999998</v>
      </c>
      <c r="AC152">
        <v>0.34759324596774188</v>
      </c>
      <c r="AD152">
        <f t="shared" si="4"/>
        <v>0.69518649193548376</v>
      </c>
    </row>
    <row r="153" spans="1:30" x14ac:dyDescent="0.25">
      <c r="A153">
        <v>114</v>
      </c>
      <c r="B153">
        <v>15.079644480000002</v>
      </c>
      <c r="C153" s="4">
        <v>0.2</v>
      </c>
      <c r="D153">
        <v>115</v>
      </c>
      <c r="E153">
        <v>18.849555600000006</v>
      </c>
      <c r="F153" s="4">
        <v>0.2</v>
      </c>
      <c r="H153" t="s">
        <v>229</v>
      </c>
      <c r="I153" s="4" t="s">
        <v>229</v>
      </c>
      <c r="K153" t="s">
        <v>229</v>
      </c>
      <c r="L153" s="4" t="s">
        <v>229</v>
      </c>
      <c r="M153" s="5">
        <v>18.849555600000006</v>
      </c>
      <c r="N153" s="5">
        <v>0.2</v>
      </c>
      <c r="O153">
        <v>111</v>
      </c>
      <c r="P153">
        <v>12.566370400000004</v>
      </c>
      <c r="Q153" s="4">
        <v>0.2</v>
      </c>
      <c r="R153" s="5">
        <v>12.566370400000004</v>
      </c>
      <c r="S153" s="5">
        <v>0.2</v>
      </c>
      <c r="T153">
        <v>114</v>
      </c>
      <c r="U153">
        <v>1</v>
      </c>
      <c r="V153">
        <v>1</v>
      </c>
      <c r="W153">
        <v>1</v>
      </c>
      <c r="X153">
        <v>1.5</v>
      </c>
      <c r="Y153">
        <v>1.2500000000000002</v>
      </c>
      <c r="Z153">
        <v>1</v>
      </c>
      <c r="AA153">
        <v>1</v>
      </c>
      <c r="AC153">
        <v>0.68181818181818188</v>
      </c>
      <c r="AD153">
        <f t="shared" si="4"/>
        <v>0.68181818181818188</v>
      </c>
    </row>
    <row r="154" spans="1:30" x14ac:dyDescent="0.25">
      <c r="A154">
        <v>95</v>
      </c>
      <c r="B154">
        <v>30.886567646900005</v>
      </c>
      <c r="C154" s="4">
        <v>0.26500000000000001</v>
      </c>
      <c r="D154">
        <v>426</v>
      </c>
      <c r="E154">
        <v>7.6969018699999987</v>
      </c>
      <c r="F154" s="4">
        <v>0.17499999999999999</v>
      </c>
      <c r="G154">
        <v>96</v>
      </c>
      <c r="H154">
        <v>7.6969018699999987</v>
      </c>
      <c r="I154" s="4">
        <v>0.17499999999999999</v>
      </c>
      <c r="J154">
        <v>55</v>
      </c>
      <c r="K154">
        <v>21.647536509374998</v>
      </c>
      <c r="L154" s="4">
        <v>0.17499999999999999</v>
      </c>
      <c r="M154" s="5">
        <v>37.041340249374997</v>
      </c>
      <c r="N154" s="5">
        <v>0.52499999999999991</v>
      </c>
      <c r="O154">
        <v>130</v>
      </c>
      <c r="P154">
        <v>133.5176855</v>
      </c>
      <c r="Q154" s="4">
        <v>0.5</v>
      </c>
      <c r="R154" s="5">
        <v>133.5176855</v>
      </c>
      <c r="S154" s="5">
        <v>0.5</v>
      </c>
      <c r="T154">
        <v>95</v>
      </c>
      <c r="U154">
        <v>3</v>
      </c>
      <c r="V154">
        <v>3</v>
      </c>
      <c r="W154">
        <v>1</v>
      </c>
      <c r="X154">
        <v>0.27742647058823527</v>
      </c>
      <c r="Y154">
        <v>1.199270202919188</v>
      </c>
      <c r="Z154">
        <v>1.0499999999999998</v>
      </c>
      <c r="AA154">
        <v>1.9811320754716977</v>
      </c>
      <c r="AC154">
        <v>0.22530645978043815</v>
      </c>
      <c r="AD154">
        <f t="shared" si="4"/>
        <v>0.67591937934131441</v>
      </c>
    </row>
    <row r="155" spans="1:30" x14ac:dyDescent="0.25">
      <c r="A155">
        <v>278</v>
      </c>
      <c r="B155">
        <v>75.398222400000023</v>
      </c>
      <c r="C155" s="4">
        <v>0.4</v>
      </c>
      <c r="D155">
        <v>268</v>
      </c>
      <c r="E155">
        <v>40.212385280000007</v>
      </c>
      <c r="F155" s="4">
        <v>0.4</v>
      </c>
      <c r="G155">
        <v>135</v>
      </c>
      <c r="H155">
        <v>11.545352804999998</v>
      </c>
      <c r="I155" s="4">
        <v>0.17499999999999999</v>
      </c>
      <c r="K155" t="s">
        <v>229</v>
      </c>
      <c r="L155" s="4" t="s">
        <v>229</v>
      </c>
      <c r="M155" s="5">
        <v>51.757738085000007</v>
      </c>
      <c r="N155" s="5">
        <v>0.57499999999999996</v>
      </c>
      <c r="O155">
        <v>286</v>
      </c>
      <c r="P155">
        <v>77.911496480000025</v>
      </c>
      <c r="Q155" s="4">
        <v>0.4</v>
      </c>
      <c r="R155" s="5">
        <v>77.911496480000025</v>
      </c>
      <c r="S155" s="5">
        <v>0.4</v>
      </c>
      <c r="T155">
        <v>278</v>
      </c>
      <c r="U155">
        <v>2</v>
      </c>
      <c r="V155">
        <v>2</v>
      </c>
      <c r="W155">
        <v>1</v>
      </c>
      <c r="X155">
        <v>0.66431451612903214</v>
      </c>
      <c r="Y155">
        <v>0.68645833333333317</v>
      </c>
      <c r="Z155">
        <v>1.4374999999999998</v>
      </c>
      <c r="AA155">
        <v>1.4374999999999998</v>
      </c>
      <c r="AC155">
        <v>0.33760245901639341</v>
      </c>
      <c r="AD155">
        <f t="shared" si="4"/>
        <v>0.67520491803278682</v>
      </c>
    </row>
    <row r="156" spans="1:30" x14ac:dyDescent="0.25">
      <c r="A156">
        <v>128</v>
      </c>
      <c r="B156">
        <v>31.101766740000002</v>
      </c>
      <c r="C156" s="4">
        <v>0.3</v>
      </c>
      <c r="D156">
        <v>127</v>
      </c>
      <c r="E156">
        <v>45.238933439999997</v>
      </c>
      <c r="F156" s="4">
        <v>0.3</v>
      </c>
      <c r="G156">
        <v>129</v>
      </c>
      <c r="H156">
        <v>15.393803739999997</v>
      </c>
      <c r="I156" s="4">
        <v>0.17499999999999999</v>
      </c>
      <c r="K156" t="s">
        <v>229</v>
      </c>
      <c r="L156" s="4" t="s">
        <v>229</v>
      </c>
      <c r="M156" s="5">
        <v>60.632737179999992</v>
      </c>
      <c r="N156" s="5">
        <v>0.47499999999999998</v>
      </c>
      <c r="O156">
        <v>136</v>
      </c>
      <c r="P156">
        <v>150.2073961875</v>
      </c>
      <c r="Q156" s="4">
        <v>0.75</v>
      </c>
      <c r="R156" s="5">
        <v>150.2073961875</v>
      </c>
      <c r="S156" s="5">
        <v>0.75</v>
      </c>
      <c r="T156">
        <v>128</v>
      </c>
      <c r="U156">
        <v>2</v>
      </c>
      <c r="V156">
        <v>2</v>
      </c>
      <c r="W156">
        <v>1</v>
      </c>
      <c r="X156">
        <v>0.40366013071895424</v>
      </c>
      <c r="Y156">
        <v>1.9494949494949492</v>
      </c>
      <c r="Z156">
        <v>0.6333333333333333</v>
      </c>
      <c r="AA156">
        <v>1.5833333333333333</v>
      </c>
      <c r="AC156">
        <v>0.3344162876326619</v>
      </c>
      <c r="AD156">
        <f t="shared" si="4"/>
        <v>0.6688325752653238</v>
      </c>
    </row>
    <row r="157" spans="1:30" x14ac:dyDescent="0.25">
      <c r="A157">
        <v>156</v>
      </c>
      <c r="B157">
        <v>388.77208425000003</v>
      </c>
      <c r="C157" s="4">
        <v>0.75</v>
      </c>
      <c r="D157">
        <v>155</v>
      </c>
      <c r="E157">
        <v>371.10062587500005</v>
      </c>
      <c r="F157" s="4">
        <v>0.75</v>
      </c>
      <c r="G157">
        <v>161</v>
      </c>
      <c r="H157">
        <v>17.649467226800002</v>
      </c>
      <c r="I157" s="4">
        <v>0.26500000000000001</v>
      </c>
      <c r="K157" t="s">
        <v>229</v>
      </c>
      <c r="L157" s="4" t="s">
        <v>229</v>
      </c>
      <c r="M157" s="5">
        <v>388.75009310180008</v>
      </c>
      <c r="N157" s="5">
        <v>1.0150000000000001</v>
      </c>
      <c r="O157">
        <v>158</v>
      </c>
      <c r="P157">
        <v>785.39814999999999</v>
      </c>
      <c r="Q157" s="4">
        <v>1</v>
      </c>
      <c r="R157" s="5">
        <v>785.39814999999999</v>
      </c>
      <c r="S157" s="5">
        <v>1</v>
      </c>
      <c r="T157">
        <v>156</v>
      </c>
      <c r="U157">
        <v>2</v>
      </c>
      <c r="V157">
        <v>2</v>
      </c>
      <c r="W157">
        <v>1</v>
      </c>
      <c r="X157">
        <v>0.49497200000000008</v>
      </c>
      <c r="Y157">
        <v>0.99994343434343447</v>
      </c>
      <c r="Z157">
        <v>1.0150000000000001</v>
      </c>
      <c r="AA157">
        <v>1.3533333333333335</v>
      </c>
      <c r="AC157">
        <v>0.33108494983277598</v>
      </c>
      <c r="AD157">
        <f t="shared" si="4"/>
        <v>0.66216989966555195</v>
      </c>
    </row>
    <row r="158" spans="1:30" x14ac:dyDescent="0.25">
      <c r="A158">
        <v>93</v>
      </c>
      <c r="B158">
        <v>25.132740800000008</v>
      </c>
      <c r="C158" s="4">
        <v>0.2</v>
      </c>
      <c r="D158">
        <v>424</v>
      </c>
      <c r="E158">
        <v>7.6969018699999987</v>
      </c>
      <c r="F158" s="4">
        <v>0.17499999999999999</v>
      </c>
      <c r="G158">
        <v>94</v>
      </c>
      <c r="H158">
        <v>7.6969018699999987</v>
      </c>
      <c r="I158" s="4">
        <v>0.17499999999999999</v>
      </c>
      <c r="J158">
        <v>53</v>
      </c>
      <c r="K158">
        <v>28.274333400000007</v>
      </c>
      <c r="L158" s="4">
        <v>0.2</v>
      </c>
      <c r="M158" s="5">
        <v>43.668137140000006</v>
      </c>
      <c r="N158" s="5">
        <v>0.55000000000000004</v>
      </c>
      <c r="O158">
        <v>132</v>
      </c>
      <c r="P158">
        <v>175.30086708000002</v>
      </c>
      <c r="Q158" s="4">
        <v>0.6</v>
      </c>
      <c r="R158" s="5">
        <v>175.30086708000002</v>
      </c>
      <c r="S158" s="5">
        <v>0.6</v>
      </c>
      <c r="T158">
        <v>93</v>
      </c>
      <c r="U158">
        <v>3</v>
      </c>
      <c r="V158">
        <v>3</v>
      </c>
      <c r="W158">
        <v>1</v>
      </c>
      <c r="X158">
        <v>0.24910394265232977</v>
      </c>
      <c r="Y158">
        <v>1.7374999999999996</v>
      </c>
      <c r="Z158">
        <v>0.91666666666666674</v>
      </c>
      <c r="AA158">
        <v>2.75</v>
      </c>
      <c r="AC158">
        <v>0.21786833855799376</v>
      </c>
      <c r="AD158">
        <f t="shared" si="4"/>
        <v>0.65360501567398122</v>
      </c>
    </row>
    <row r="159" spans="1:30" x14ac:dyDescent="0.25">
      <c r="A159">
        <v>134</v>
      </c>
      <c r="B159">
        <v>273.90760481250004</v>
      </c>
      <c r="C159" s="4">
        <v>0.75</v>
      </c>
      <c r="D159">
        <v>133</v>
      </c>
      <c r="E159">
        <v>273.90760481250004</v>
      </c>
      <c r="F159" s="4">
        <v>0.75</v>
      </c>
      <c r="H159" t="s">
        <v>229</v>
      </c>
      <c r="I159" s="4" t="s">
        <v>229</v>
      </c>
      <c r="K159" t="s">
        <v>229</v>
      </c>
      <c r="L159" s="4" t="s">
        <v>229</v>
      </c>
      <c r="M159" s="5">
        <v>273.90760481250004</v>
      </c>
      <c r="N159" s="5">
        <v>0.75</v>
      </c>
      <c r="O159">
        <v>136</v>
      </c>
      <c r="P159">
        <v>150.2073961875</v>
      </c>
      <c r="Q159" s="4">
        <v>0.75</v>
      </c>
      <c r="R159" s="5">
        <v>150.2073961875</v>
      </c>
      <c r="S159" s="5">
        <v>0.75</v>
      </c>
      <c r="T159">
        <v>134</v>
      </c>
      <c r="U159">
        <v>1</v>
      </c>
      <c r="V159">
        <v>1</v>
      </c>
      <c r="W159">
        <v>1</v>
      </c>
      <c r="X159">
        <v>1.8235294117647063</v>
      </c>
      <c r="Y159">
        <v>1</v>
      </c>
      <c r="Z159">
        <v>1</v>
      </c>
      <c r="AA159">
        <v>1</v>
      </c>
      <c r="AC159">
        <v>0.64583333333333337</v>
      </c>
      <c r="AD159">
        <f t="shared" si="4"/>
        <v>0.64583333333333337</v>
      </c>
    </row>
    <row r="160" spans="1:30" x14ac:dyDescent="0.25">
      <c r="A160">
        <v>320</v>
      </c>
      <c r="B160">
        <v>82.466805750000006</v>
      </c>
      <c r="C160" s="4">
        <v>0.5</v>
      </c>
      <c r="D160">
        <v>321</v>
      </c>
      <c r="E160">
        <v>80.424770560000013</v>
      </c>
      <c r="F160" s="4">
        <v>0.4</v>
      </c>
      <c r="H160" t="s">
        <v>229</v>
      </c>
      <c r="I160" s="4" t="s">
        <v>229</v>
      </c>
      <c r="K160" t="s">
        <v>229</v>
      </c>
      <c r="L160" s="4" t="s">
        <v>229</v>
      </c>
      <c r="M160" s="5">
        <v>80.424770560000013</v>
      </c>
      <c r="N160" s="5">
        <v>0.4</v>
      </c>
      <c r="O160">
        <v>343</v>
      </c>
      <c r="P160">
        <v>45.238933439999997</v>
      </c>
      <c r="Q160" s="4">
        <v>0.6</v>
      </c>
      <c r="R160" s="5">
        <v>45.238933439999997</v>
      </c>
      <c r="S160" s="5">
        <v>0.6</v>
      </c>
      <c r="T160">
        <v>320</v>
      </c>
      <c r="U160">
        <v>1</v>
      </c>
      <c r="V160">
        <v>1</v>
      </c>
      <c r="W160">
        <v>1</v>
      </c>
      <c r="X160">
        <v>1.7777777777777781</v>
      </c>
      <c r="Y160">
        <v>0.97523809523809535</v>
      </c>
      <c r="Z160">
        <v>0.66666666666666674</v>
      </c>
      <c r="AA160">
        <v>0.8</v>
      </c>
      <c r="AC160">
        <v>0.62976629766297676</v>
      </c>
      <c r="AD160">
        <f t="shared" si="4"/>
        <v>0.62976629766297676</v>
      </c>
    </row>
    <row r="161" spans="1:30" x14ac:dyDescent="0.25">
      <c r="A161">
        <v>127</v>
      </c>
      <c r="B161">
        <v>45.238933439999997</v>
      </c>
      <c r="C161" s="4">
        <v>0.3</v>
      </c>
      <c r="D161">
        <v>120</v>
      </c>
      <c r="E161">
        <v>10.681414840000002</v>
      </c>
      <c r="F161" s="4">
        <v>0.2</v>
      </c>
      <c r="G161">
        <v>126</v>
      </c>
      <c r="H161">
        <v>12.507465538749999</v>
      </c>
      <c r="I161" s="4">
        <v>0.17499999999999999</v>
      </c>
      <c r="K161" t="s">
        <v>229</v>
      </c>
      <c r="L161" s="4" t="s">
        <v>229</v>
      </c>
      <c r="M161" s="5">
        <v>23.18888037875</v>
      </c>
      <c r="N161" s="5">
        <v>0.375</v>
      </c>
      <c r="O161">
        <v>128</v>
      </c>
      <c r="P161">
        <v>31.101766740000002</v>
      </c>
      <c r="Q161" s="4">
        <v>0.3</v>
      </c>
      <c r="R161" s="5">
        <v>31.101766740000002</v>
      </c>
      <c r="S161" s="5">
        <v>0.3</v>
      </c>
      <c r="T161">
        <v>127</v>
      </c>
      <c r="U161">
        <v>2</v>
      </c>
      <c r="V161">
        <v>2</v>
      </c>
      <c r="W161">
        <v>1</v>
      </c>
      <c r="X161">
        <v>0.74558080808080807</v>
      </c>
      <c r="Y161">
        <v>0.51258680555555558</v>
      </c>
      <c r="Z161">
        <v>1.25</v>
      </c>
      <c r="AA161">
        <v>1.25</v>
      </c>
      <c r="AC161">
        <v>0.30375514403292181</v>
      </c>
      <c r="AD161">
        <f t="shared" si="4"/>
        <v>0.60751028806584362</v>
      </c>
    </row>
    <row r="162" spans="1:30" x14ac:dyDescent="0.25">
      <c r="A162">
        <v>180</v>
      </c>
      <c r="B162">
        <v>20.734511160000007</v>
      </c>
      <c r="C162" s="4">
        <v>0.2</v>
      </c>
      <c r="D162">
        <v>457</v>
      </c>
      <c r="E162">
        <v>15.874860106874999</v>
      </c>
      <c r="F162" s="4">
        <v>0.17499999999999999</v>
      </c>
      <c r="H162" t="s">
        <v>229</v>
      </c>
      <c r="I162" s="4" t="s">
        <v>229</v>
      </c>
      <c r="K162" t="s">
        <v>229</v>
      </c>
      <c r="L162" s="4" t="s">
        <v>229</v>
      </c>
      <c r="M162" s="5">
        <v>15.874860106874999</v>
      </c>
      <c r="N162" s="5">
        <v>0.17499999999999999</v>
      </c>
      <c r="O162">
        <v>181</v>
      </c>
      <c r="P162">
        <v>7.6969018699999987</v>
      </c>
      <c r="Q162" s="4">
        <v>0.17499999999999999</v>
      </c>
      <c r="R162" s="5">
        <v>7.6969018699999987</v>
      </c>
      <c r="S162" s="5">
        <v>0.17499999999999999</v>
      </c>
      <c r="T162">
        <v>180</v>
      </c>
      <c r="U162">
        <v>1</v>
      </c>
      <c r="V162">
        <v>1</v>
      </c>
      <c r="W162">
        <v>1</v>
      </c>
      <c r="X162">
        <v>2.0625000000000004</v>
      </c>
      <c r="Y162">
        <v>0.76562499999999967</v>
      </c>
      <c r="Z162">
        <v>1</v>
      </c>
      <c r="AA162">
        <v>0.87499999999999989</v>
      </c>
      <c r="AC162">
        <v>0.55835635359116009</v>
      </c>
      <c r="AD162">
        <f t="shared" si="4"/>
        <v>0.55835635359116009</v>
      </c>
    </row>
    <row r="163" spans="1:30" x14ac:dyDescent="0.25">
      <c r="A163">
        <v>194</v>
      </c>
      <c r="B163">
        <v>80.424770560000013</v>
      </c>
      <c r="C163" s="4">
        <v>0.4</v>
      </c>
      <c r="D163">
        <v>207</v>
      </c>
      <c r="E163">
        <v>31.101766740000002</v>
      </c>
      <c r="F163" s="4">
        <v>0.3</v>
      </c>
      <c r="G163">
        <v>193</v>
      </c>
      <c r="H163">
        <v>19.242254674999998</v>
      </c>
      <c r="I163" s="4">
        <v>0.17499999999999999</v>
      </c>
      <c r="K163" t="s">
        <v>229</v>
      </c>
      <c r="L163" s="4" t="s">
        <v>229</v>
      </c>
      <c r="M163" s="5">
        <v>50.344021415</v>
      </c>
      <c r="N163" s="5">
        <v>0.47499999999999998</v>
      </c>
      <c r="O163">
        <v>187</v>
      </c>
      <c r="P163">
        <v>100.53096320000003</v>
      </c>
      <c r="Q163" s="4">
        <v>0.4</v>
      </c>
      <c r="R163" s="5">
        <v>100.53096320000003</v>
      </c>
      <c r="S163" s="5">
        <v>0.4</v>
      </c>
      <c r="T163">
        <v>194</v>
      </c>
      <c r="U163">
        <v>2</v>
      </c>
      <c r="V163">
        <v>2</v>
      </c>
      <c r="W163">
        <v>1</v>
      </c>
      <c r="X163">
        <v>0.50078124999999984</v>
      </c>
      <c r="Y163">
        <v>0.62597656249999989</v>
      </c>
      <c r="Z163">
        <v>1.1874999999999998</v>
      </c>
      <c r="AA163">
        <v>1.1874999999999998</v>
      </c>
      <c r="AC163">
        <v>0.27821180555555547</v>
      </c>
      <c r="AD163">
        <f t="shared" si="4"/>
        <v>0.55642361111111094</v>
      </c>
    </row>
    <row r="164" spans="1:30" x14ac:dyDescent="0.25">
      <c r="A164">
        <v>153</v>
      </c>
      <c r="B164">
        <v>267.035371</v>
      </c>
      <c r="C164" s="4">
        <v>1</v>
      </c>
      <c r="D164">
        <v>152</v>
      </c>
      <c r="E164">
        <v>25.132740800000008</v>
      </c>
      <c r="F164" s="4">
        <v>0.2</v>
      </c>
      <c r="G164">
        <v>149</v>
      </c>
      <c r="H164">
        <v>267.035371</v>
      </c>
      <c r="I164" s="4">
        <v>1</v>
      </c>
      <c r="K164" t="s">
        <v>229</v>
      </c>
      <c r="L164" s="4" t="s">
        <v>229</v>
      </c>
      <c r="M164" s="5">
        <v>292.16811180000002</v>
      </c>
      <c r="N164" s="5">
        <v>1.2</v>
      </c>
      <c r="O164">
        <v>158</v>
      </c>
      <c r="P164">
        <v>785.39814999999999</v>
      </c>
      <c r="Q164" s="4">
        <v>1</v>
      </c>
      <c r="R164" s="5">
        <v>785.39814999999999</v>
      </c>
      <c r="S164" s="5">
        <v>1</v>
      </c>
      <c r="T164">
        <v>153</v>
      </c>
      <c r="U164">
        <v>2</v>
      </c>
      <c r="V164">
        <v>2</v>
      </c>
      <c r="W164">
        <v>1</v>
      </c>
      <c r="X164">
        <v>0.37200000000000005</v>
      </c>
      <c r="Y164">
        <v>1.0941176470588236</v>
      </c>
      <c r="Z164">
        <v>1.2</v>
      </c>
      <c r="AA164">
        <v>1.2</v>
      </c>
      <c r="AC164">
        <v>0.2776119402985075</v>
      </c>
      <c r="AD164">
        <f t="shared" si="4"/>
        <v>0.555223880597015</v>
      </c>
    </row>
    <row r="165" spans="1:30" x14ac:dyDescent="0.25">
      <c r="A165">
        <v>10</v>
      </c>
      <c r="B165">
        <v>7.2158455031249993</v>
      </c>
      <c r="C165" s="4">
        <v>0.17499999999999999</v>
      </c>
      <c r="D165">
        <v>238</v>
      </c>
      <c r="E165">
        <v>11.545352804999998</v>
      </c>
      <c r="F165" s="4">
        <v>0.17499999999999999</v>
      </c>
      <c r="H165" t="s">
        <v>229</v>
      </c>
      <c r="I165" s="4" t="s">
        <v>229</v>
      </c>
      <c r="K165" t="s">
        <v>229</v>
      </c>
      <c r="L165" s="4" t="s">
        <v>229</v>
      </c>
      <c r="M165" s="5">
        <v>11.545352804999998</v>
      </c>
      <c r="N165" s="5">
        <v>0.17499999999999999</v>
      </c>
      <c r="O165">
        <v>9</v>
      </c>
      <c r="P165">
        <v>14.431691006249999</v>
      </c>
      <c r="Q165" s="4">
        <v>0.17499999999999999</v>
      </c>
      <c r="R165" s="5">
        <v>14.431691006249999</v>
      </c>
      <c r="S165" s="5">
        <v>0.17499999999999999</v>
      </c>
      <c r="T165">
        <v>10</v>
      </c>
      <c r="U165">
        <v>1</v>
      </c>
      <c r="V165">
        <v>1</v>
      </c>
      <c r="W165">
        <v>1</v>
      </c>
      <c r="X165">
        <v>0.79999999999999993</v>
      </c>
      <c r="Y165">
        <v>1.5999999999999999</v>
      </c>
      <c r="Z165">
        <v>1</v>
      </c>
      <c r="AA165">
        <v>1</v>
      </c>
      <c r="AC165">
        <v>0.53333333333333333</v>
      </c>
      <c r="AD165">
        <f t="shared" si="4"/>
        <v>0.53333333333333333</v>
      </c>
    </row>
    <row r="166" spans="1:30" x14ac:dyDescent="0.25">
      <c r="A166">
        <v>346</v>
      </c>
      <c r="B166">
        <v>115.61060768000002</v>
      </c>
      <c r="C166" s="4">
        <v>0.4</v>
      </c>
      <c r="D166">
        <v>345</v>
      </c>
      <c r="E166">
        <v>37.699111200000011</v>
      </c>
      <c r="F166" s="4">
        <v>0.4</v>
      </c>
      <c r="G166">
        <v>250</v>
      </c>
      <c r="H166">
        <v>11.545352804999998</v>
      </c>
      <c r="I166" s="4">
        <v>0.17499999999999999</v>
      </c>
      <c r="K166" t="s">
        <v>229</v>
      </c>
      <c r="L166" s="4" t="s">
        <v>229</v>
      </c>
      <c r="M166" s="5">
        <v>49.244464005000012</v>
      </c>
      <c r="N166" s="5">
        <v>0.57499999999999996</v>
      </c>
      <c r="O166">
        <v>26</v>
      </c>
      <c r="P166">
        <v>70.685833500000001</v>
      </c>
      <c r="Q166" s="4">
        <v>0.75</v>
      </c>
      <c r="R166" s="5">
        <v>70.685833500000001</v>
      </c>
      <c r="S166" s="5">
        <v>0.75</v>
      </c>
      <c r="T166">
        <v>346</v>
      </c>
      <c r="U166">
        <v>2</v>
      </c>
      <c r="V166">
        <v>2</v>
      </c>
      <c r="W166">
        <v>1</v>
      </c>
      <c r="X166">
        <v>0.69666666666666677</v>
      </c>
      <c r="Y166">
        <v>0.42595108695652178</v>
      </c>
      <c r="Z166">
        <v>0.76666666666666661</v>
      </c>
      <c r="AA166">
        <v>1.4374999999999998</v>
      </c>
      <c r="AC166">
        <v>0.2643338954468803</v>
      </c>
      <c r="AD166">
        <f t="shared" si="4"/>
        <v>0.52866779089376059</v>
      </c>
    </row>
    <row r="167" spans="1:30" x14ac:dyDescent="0.25">
      <c r="A167">
        <v>108</v>
      </c>
      <c r="B167">
        <v>15.393803739999997</v>
      </c>
      <c r="C167" s="4">
        <v>0.17499999999999999</v>
      </c>
      <c r="D167">
        <v>429</v>
      </c>
      <c r="E167">
        <v>15.393803739999997</v>
      </c>
      <c r="F167" s="4">
        <v>0.17499999999999999</v>
      </c>
      <c r="H167" t="s">
        <v>229</v>
      </c>
      <c r="I167" s="4" t="s">
        <v>229</v>
      </c>
      <c r="K167" t="s">
        <v>229</v>
      </c>
      <c r="L167" s="4" t="s">
        <v>229</v>
      </c>
      <c r="M167" s="5">
        <v>15.393803739999997</v>
      </c>
      <c r="N167" s="5">
        <v>0.17499999999999999</v>
      </c>
      <c r="O167">
        <v>109</v>
      </c>
      <c r="P167">
        <v>14.431691006249999</v>
      </c>
      <c r="Q167" s="4">
        <v>0.17499999999999999</v>
      </c>
      <c r="R167" s="5">
        <v>14.431691006249999</v>
      </c>
      <c r="S167" s="5">
        <v>0.17499999999999999</v>
      </c>
      <c r="T167">
        <v>108</v>
      </c>
      <c r="U167">
        <v>1</v>
      </c>
      <c r="V167">
        <v>1</v>
      </c>
      <c r="W167">
        <v>1</v>
      </c>
      <c r="X167">
        <v>1.0666666666666667</v>
      </c>
      <c r="Y167">
        <v>1</v>
      </c>
      <c r="Z167">
        <v>1</v>
      </c>
      <c r="AA167">
        <v>1</v>
      </c>
      <c r="AC167">
        <v>0.5161290322580645</v>
      </c>
      <c r="AD167">
        <f t="shared" si="4"/>
        <v>0.5161290322580645</v>
      </c>
    </row>
    <row r="168" spans="1:30" x14ac:dyDescent="0.25">
      <c r="A168">
        <v>167</v>
      </c>
      <c r="B168">
        <v>175.30086708000002</v>
      </c>
      <c r="C168" s="4">
        <v>0.6</v>
      </c>
      <c r="D168">
        <v>451</v>
      </c>
      <c r="E168">
        <v>8.6590146037499984</v>
      </c>
      <c r="F168" s="4">
        <v>0.17499999999999999</v>
      </c>
      <c r="G168">
        <v>166</v>
      </c>
      <c r="H168">
        <v>47.432943172025006</v>
      </c>
      <c r="I168" s="4">
        <v>0.26500000000000001</v>
      </c>
      <c r="K168" t="s">
        <v>229</v>
      </c>
      <c r="L168" s="4" t="s">
        <v>229</v>
      </c>
      <c r="M168" s="5">
        <v>56.091957775775001</v>
      </c>
      <c r="N168" s="5">
        <v>0.44</v>
      </c>
      <c r="O168">
        <v>169</v>
      </c>
      <c r="P168">
        <v>42.725659360000009</v>
      </c>
      <c r="Q168" s="4">
        <v>0.4</v>
      </c>
      <c r="R168" s="5">
        <v>42.725659360000009</v>
      </c>
      <c r="S168" s="5">
        <v>0.4</v>
      </c>
      <c r="T168">
        <v>167</v>
      </c>
      <c r="U168">
        <v>2</v>
      </c>
      <c r="V168">
        <v>2</v>
      </c>
      <c r="W168">
        <v>1</v>
      </c>
      <c r="X168">
        <v>1.3128400735294115</v>
      </c>
      <c r="Y168">
        <v>0.31997535842293906</v>
      </c>
      <c r="Z168">
        <v>1.0999999999999999</v>
      </c>
      <c r="AA168">
        <v>0.73333333333333339</v>
      </c>
      <c r="AC168">
        <v>0.25727125360230546</v>
      </c>
      <c r="AD168">
        <f t="shared" si="4"/>
        <v>0.51454250720461092</v>
      </c>
    </row>
    <row r="169" spans="1:30" x14ac:dyDescent="0.25">
      <c r="A169">
        <v>268</v>
      </c>
      <c r="B169">
        <v>40.212385280000007</v>
      </c>
      <c r="C169" s="4">
        <v>0.4</v>
      </c>
      <c r="D169">
        <v>257</v>
      </c>
      <c r="E169">
        <v>17.649467226800002</v>
      </c>
      <c r="F169" s="4">
        <v>0.26500000000000001</v>
      </c>
      <c r="G169">
        <v>146</v>
      </c>
      <c r="H169">
        <v>12.026409171874999</v>
      </c>
      <c r="I169" s="4">
        <v>0.17499999999999999</v>
      </c>
      <c r="K169" t="s">
        <v>229</v>
      </c>
      <c r="L169" s="4" t="s">
        <v>229</v>
      </c>
      <c r="M169" s="5">
        <v>29.675876398675001</v>
      </c>
      <c r="N169" s="5">
        <v>0.44</v>
      </c>
      <c r="O169">
        <v>278</v>
      </c>
      <c r="P169">
        <v>75.398222400000023</v>
      </c>
      <c r="Q169" s="4">
        <v>0.4</v>
      </c>
      <c r="R169" s="5">
        <v>75.398222400000023</v>
      </c>
      <c r="S169" s="5">
        <v>0.4</v>
      </c>
      <c r="T169">
        <v>268</v>
      </c>
      <c r="U169">
        <v>2</v>
      </c>
      <c r="V169">
        <v>2</v>
      </c>
      <c r="W169">
        <v>1</v>
      </c>
      <c r="X169">
        <v>0.39358854166666657</v>
      </c>
      <c r="Y169">
        <v>0.73797851562499994</v>
      </c>
      <c r="Z169">
        <v>1.0999999999999999</v>
      </c>
      <c r="AA169">
        <v>1.0999999999999999</v>
      </c>
      <c r="AC169">
        <v>0.25668817934782601</v>
      </c>
      <c r="AD169">
        <f t="shared" si="4"/>
        <v>0.51337635869565201</v>
      </c>
    </row>
    <row r="170" spans="1:30" x14ac:dyDescent="0.25">
      <c r="A170">
        <v>155</v>
      </c>
      <c r="B170">
        <v>371.10062587500005</v>
      </c>
      <c r="C170" s="4">
        <v>0.75</v>
      </c>
      <c r="D170">
        <v>154</v>
      </c>
      <c r="E170">
        <v>388.77208425000003</v>
      </c>
      <c r="F170" s="4">
        <v>0.75</v>
      </c>
      <c r="H170" t="s">
        <v>229</v>
      </c>
      <c r="I170" s="4" t="s">
        <v>229</v>
      </c>
      <c r="K170" t="s">
        <v>229</v>
      </c>
      <c r="L170" s="4" t="s">
        <v>229</v>
      </c>
      <c r="M170" s="5">
        <v>388.77208425000003</v>
      </c>
      <c r="N170" s="5">
        <v>0.75</v>
      </c>
      <c r="O170">
        <v>156</v>
      </c>
      <c r="P170">
        <v>388.77208425000003</v>
      </c>
      <c r="Q170" s="4">
        <v>0.75</v>
      </c>
      <c r="R170" s="5">
        <v>388.77208425000003</v>
      </c>
      <c r="S170" s="5">
        <v>0.75</v>
      </c>
      <c r="T170">
        <v>155</v>
      </c>
      <c r="U170">
        <v>1</v>
      </c>
      <c r="V170">
        <v>1</v>
      </c>
      <c r="W170">
        <v>1</v>
      </c>
      <c r="X170">
        <v>1</v>
      </c>
      <c r="Y170">
        <v>1.0476190476190477</v>
      </c>
      <c r="Z170">
        <v>1</v>
      </c>
      <c r="AA170">
        <v>1</v>
      </c>
      <c r="AC170">
        <v>0.5116279069767441</v>
      </c>
      <c r="AD170">
        <f t="shared" si="4"/>
        <v>0.5116279069767441</v>
      </c>
    </row>
    <row r="171" spans="1:30" x14ac:dyDescent="0.25">
      <c r="A171">
        <v>154</v>
      </c>
      <c r="B171">
        <v>388.77208425000003</v>
      </c>
      <c r="C171" s="4">
        <v>0.75</v>
      </c>
      <c r="D171">
        <v>87</v>
      </c>
      <c r="E171">
        <v>388.77208425000003</v>
      </c>
      <c r="F171" s="4">
        <v>0.75</v>
      </c>
      <c r="H171" t="s">
        <v>229</v>
      </c>
      <c r="I171" s="4" t="s">
        <v>229</v>
      </c>
      <c r="K171" t="s">
        <v>229</v>
      </c>
      <c r="L171" s="4" t="s">
        <v>229</v>
      </c>
      <c r="M171" s="5">
        <v>388.77208425000003</v>
      </c>
      <c r="N171" s="5">
        <v>0.75</v>
      </c>
      <c r="O171">
        <v>155</v>
      </c>
      <c r="P171">
        <v>371.10062587500005</v>
      </c>
      <c r="Q171" s="4">
        <v>0.75</v>
      </c>
      <c r="R171" s="5">
        <v>371.10062587500005</v>
      </c>
      <c r="S171" s="5">
        <v>0.75</v>
      </c>
      <c r="T171">
        <v>154</v>
      </c>
      <c r="U171">
        <v>1</v>
      </c>
      <c r="V171">
        <v>1</v>
      </c>
      <c r="W171">
        <v>1</v>
      </c>
      <c r="X171">
        <v>1.0476190476190477</v>
      </c>
      <c r="Y171">
        <v>1</v>
      </c>
      <c r="Z171">
        <v>1</v>
      </c>
      <c r="AA171">
        <v>1</v>
      </c>
      <c r="AC171">
        <v>0.5116279069767441</v>
      </c>
      <c r="AD171">
        <f t="shared" si="4"/>
        <v>0.5116279069767441</v>
      </c>
    </row>
    <row r="172" spans="1:30" x14ac:dyDescent="0.25">
      <c r="A172">
        <v>8</v>
      </c>
      <c r="B172">
        <v>9.4247778000000029</v>
      </c>
      <c r="C172" s="4">
        <v>0.2</v>
      </c>
      <c r="D172">
        <v>240</v>
      </c>
      <c r="E172">
        <v>15.079644480000002</v>
      </c>
      <c r="F172" s="4">
        <v>0.2</v>
      </c>
      <c r="H172" t="s">
        <v>229</v>
      </c>
      <c r="I172" s="4" t="s">
        <v>229</v>
      </c>
      <c r="K172" t="s">
        <v>229</v>
      </c>
      <c r="L172" s="4" t="s">
        <v>229</v>
      </c>
      <c r="M172" s="5">
        <v>15.079644480000002</v>
      </c>
      <c r="N172" s="5">
        <v>0.2</v>
      </c>
      <c r="O172">
        <v>7</v>
      </c>
      <c r="P172">
        <v>20.106192640000003</v>
      </c>
      <c r="Q172" s="4">
        <v>0.2</v>
      </c>
      <c r="R172" s="5">
        <v>20.106192640000003</v>
      </c>
      <c r="S172" s="5">
        <v>0.2</v>
      </c>
      <c r="T172">
        <v>8</v>
      </c>
      <c r="U172">
        <v>1</v>
      </c>
      <c r="V172">
        <v>1</v>
      </c>
      <c r="W172">
        <v>1</v>
      </c>
      <c r="X172">
        <v>0.75</v>
      </c>
      <c r="Y172">
        <v>1.5999999999999999</v>
      </c>
      <c r="Z172">
        <v>1</v>
      </c>
      <c r="AA172">
        <v>1</v>
      </c>
      <c r="AC172">
        <v>0.51063829787234039</v>
      </c>
      <c r="AD172">
        <f t="shared" si="4"/>
        <v>0.51063829787234039</v>
      </c>
    </row>
    <row r="173" spans="1:30" x14ac:dyDescent="0.25">
      <c r="A173">
        <v>233</v>
      </c>
      <c r="B173">
        <v>24.838687732640004</v>
      </c>
      <c r="C173" s="4">
        <v>0.2</v>
      </c>
      <c r="D173">
        <v>270</v>
      </c>
      <c r="E173">
        <v>28.863382012499997</v>
      </c>
      <c r="F173" s="4">
        <v>0.17499999999999999</v>
      </c>
      <c r="H173" t="s">
        <v>229</v>
      </c>
      <c r="I173" s="4" t="s">
        <v>229</v>
      </c>
      <c r="K173" t="s">
        <v>229</v>
      </c>
      <c r="L173" s="4" t="s">
        <v>229</v>
      </c>
      <c r="M173" s="5">
        <v>28.863382012499997</v>
      </c>
      <c r="N173" s="5">
        <v>0.17499999999999999</v>
      </c>
      <c r="O173">
        <v>112</v>
      </c>
      <c r="P173">
        <v>31.989659348575007</v>
      </c>
      <c r="Q173" s="4">
        <v>0.26500000000000001</v>
      </c>
      <c r="R173" s="5">
        <v>31.989659348575007</v>
      </c>
      <c r="S173" s="5">
        <v>0.26500000000000001</v>
      </c>
      <c r="T173">
        <v>233</v>
      </c>
      <c r="U173">
        <v>1</v>
      </c>
      <c r="V173">
        <v>1</v>
      </c>
      <c r="W173">
        <v>1</v>
      </c>
      <c r="X173">
        <v>0.90227225297995328</v>
      </c>
      <c r="Y173">
        <v>1.1620332894869976</v>
      </c>
      <c r="Z173">
        <v>0.660377358490566</v>
      </c>
      <c r="AA173">
        <v>0.87499999999999989</v>
      </c>
      <c r="AC173">
        <v>0.50790465489433489</v>
      </c>
      <c r="AD173">
        <f t="shared" si="4"/>
        <v>0.50790465489433489</v>
      </c>
    </row>
    <row r="174" spans="1:30" x14ac:dyDescent="0.25">
      <c r="A174">
        <v>344</v>
      </c>
      <c r="B174">
        <v>441.78645937499999</v>
      </c>
      <c r="C174" s="4">
        <v>0.75</v>
      </c>
      <c r="D174">
        <v>319</v>
      </c>
      <c r="E174">
        <v>132.53593781250001</v>
      </c>
      <c r="F174" s="4">
        <v>0.75</v>
      </c>
      <c r="G174">
        <v>252</v>
      </c>
      <c r="H174">
        <v>15.079644480000002</v>
      </c>
      <c r="I174" s="4">
        <v>0.2</v>
      </c>
      <c r="K174" t="s">
        <v>229</v>
      </c>
      <c r="L174" s="4" t="s">
        <v>229</v>
      </c>
      <c r="M174" s="5">
        <v>147.61558229250002</v>
      </c>
      <c r="N174" s="5">
        <v>0.95</v>
      </c>
      <c r="O174">
        <v>27</v>
      </c>
      <c r="P174">
        <v>141.371667</v>
      </c>
      <c r="Q174" s="4">
        <v>0.75</v>
      </c>
      <c r="R174" s="5">
        <v>141.371667</v>
      </c>
      <c r="S174" s="5">
        <v>0.75</v>
      </c>
      <c r="T174">
        <v>344</v>
      </c>
      <c r="U174">
        <v>2</v>
      </c>
      <c r="V174">
        <v>2</v>
      </c>
      <c r="W174">
        <v>1</v>
      </c>
      <c r="X174">
        <v>1.0441666666666669</v>
      </c>
      <c r="Y174">
        <v>0.33413333333333339</v>
      </c>
      <c r="Z174">
        <v>1.2666666666666666</v>
      </c>
      <c r="AA174">
        <v>1.2666666666666666</v>
      </c>
      <c r="AC174">
        <v>0.25313131313131321</v>
      </c>
      <c r="AD174">
        <f t="shared" si="4"/>
        <v>0.50626262626262641</v>
      </c>
    </row>
    <row r="175" spans="1:30" x14ac:dyDescent="0.25">
      <c r="A175">
        <v>147</v>
      </c>
      <c r="B175">
        <v>23.876103760000007</v>
      </c>
      <c r="C175" s="4">
        <v>0.2</v>
      </c>
      <c r="D175">
        <v>145</v>
      </c>
      <c r="E175">
        <v>23.876103760000007</v>
      </c>
      <c r="F175" s="4">
        <v>0.2</v>
      </c>
      <c r="H175" t="s">
        <v>229</v>
      </c>
      <c r="I175" s="4" t="s">
        <v>229</v>
      </c>
      <c r="K175" t="s">
        <v>229</v>
      </c>
      <c r="L175" s="4" t="s">
        <v>229</v>
      </c>
      <c r="M175" s="5">
        <v>23.876103760000007</v>
      </c>
      <c r="N175" s="5">
        <v>0.2</v>
      </c>
      <c r="O175">
        <v>148</v>
      </c>
      <c r="P175">
        <v>23.876103760000007</v>
      </c>
      <c r="Q175" s="4">
        <v>0.2</v>
      </c>
      <c r="R175" s="5">
        <v>23.876103760000007</v>
      </c>
      <c r="S175" s="5">
        <v>0.2</v>
      </c>
      <c r="T175">
        <v>147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C175">
        <v>0.5</v>
      </c>
      <c r="AD175">
        <f t="shared" si="4"/>
        <v>0.5</v>
      </c>
    </row>
    <row r="176" spans="1:30" x14ac:dyDescent="0.25">
      <c r="A176">
        <v>142</v>
      </c>
      <c r="B176">
        <v>17.799085574374995</v>
      </c>
      <c r="C176" s="4">
        <v>0.17499999999999999</v>
      </c>
      <c r="D176">
        <v>141</v>
      </c>
      <c r="E176">
        <v>17.799085574374995</v>
      </c>
      <c r="F176" s="4">
        <v>0.17499999999999999</v>
      </c>
      <c r="H176" t="s">
        <v>229</v>
      </c>
      <c r="I176" s="4" t="s">
        <v>229</v>
      </c>
      <c r="K176" t="s">
        <v>229</v>
      </c>
      <c r="L176" s="4" t="s">
        <v>229</v>
      </c>
      <c r="M176" s="5">
        <v>17.799085574374995</v>
      </c>
      <c r="N176" s="5">
        <v>0.17499999999999999</v>
      </c>
      <c r="O176">
        <v>143</v>
      </c>
      <c r="P176">
        <v>17.799085574374995</v>
      </c>
      <c r="Q176" s="4">
        <v>0.17499999999999999</v>
      </c>
      <c r="R176" s="5">
        <v>17.799085574374995</v>
      </c>
      <c r="S176" s="5">
        <v>0.17499999999999999</v>
      </c>
      <c r="T176">
        <v>142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C176">
        <v>0.5</v>
      </c>
      <c r="AD176">
        <f t="shared" si="4"/>
        <v>0.5</v>
      </c>
    </row>
    <row r="177" spans="1:30" x14ac:dyDescent="0.25">
      <c r="A177">
        <v>85</v>
      </c>
      <c r="B177">
        <v>90.477866879999993</v>
      </c>
      <c r="C177" s="4">
        <v>0.6</v>
      </c>
      <c r="D177">
        <v>84</v>
      </c>
      <c r="E177">
        <v>90.477866879999993</v>
      </c>
      <c r="F177" s="4">
        <v>0.6</v>
      </c>
      <c r="H177" t="s">
        <v>229</v>
      </c>
      <c r="I177" s="4" t="s">
        <v>229</v>
      </c>
      <c r="K177" t="s">
        <v>229</v>
      </c>
      <c r="L177" s="4" t="s">
        <v>229</v>
      </c>
      <c r="M177" s="5">
        <v>90.477866879999993</v>
      </c>
      <c r="N177" s="5">
        <v>0.6</v>
      </c>
      <c r="O177">
        <v>86</v>
      </c>
      <c r="P177">
        <v>90.477866879999993</v>
      </c>
      <c r="Q177" s="4">
        <v>0.6</v>
      </c>
      <c r="R177" s="5">
        <v>90.477866879999993</v>
      </c>
      <c r="S177" s="5">
        <v>0.6</v>
      </c>
      <c r="T177">
        <v>85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C177">
        <v>0.5</v>
      </c>
      <c r="AD177">
        <f t="shared" si="4"/>
        <v>0.5</v>
      </c>
    </row>
    <row r="178" spans="1:30" x14ac:dyDescent="0.25">
      <c r="A178">
        <v>84</v>
      </c>
      <c r="B178">
        <v>90.477866879999993</v>
      </c>
      <c r="C178" s="4">
        <v>0.6</v>
      </c>
      <c r="D178">
        <v>83</v>
      </c>
      <c r="E178">
        <v>90.477866879999993</v>
      </c>
      <c r="F178" s="4">
        <v>0.6</v>
      </c>
      <c r="H178" t="s">
        <v>229</v>
      </c>
      <c r="I178" s="4" t="s">
        <v>229</v>
      </c>
      <c r="K178" t="s">
        <v>229</v>
      </c>
      <c r="L178" s="4" t="s">
        <v>229</v>
      </c>
      <c r="M178" s="5">
        <v>90.477866879999993</v>
      </c>
      <c r="N178" s="5">
        <v>0.6</v>
      </c>
      <c r="O178">
        <v>85</v>
      </c>
      <c r="P178">
        <v>90.477866879999993</v>
      </c>
      <c r="Q178" s="4">
        <v>0.6</v>
      </c>
      <c r="R178" s="5">
        <v>90.477866879999993</v>
      </c>
      <c r="S178" s="5">
        <v>0.6</v>
      </c>
      <c r="T178">
        <v>84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C178">
        <v>0.5</v>
      </c>
      <c r="AD178">
        <f t="shared" si="4"/>
        <v>0.5</v>
      </c>
    </row>
    <row r="179" spans="1:30" x14ac:dyDescent="0.25">
      <c r="A179">
        <v>83</v>
      </c>
      <c r="B179">
        <v>90.477866879999993</v>
      </c>
      <c r="C179" s="4">
        <v>0.6</v>
      </c>
      <c r="D179">
        <v>82</v>
      </c>
      <c r="E179">
        <v>90.477866879999993</v>
      </c>
      <c r="F179" s="4">
        <v>0.6</v>
      </c>
      <c r="H179" t="s">
        <v>229</v>
      </c>
      <c r="I179" s="4" t="s">
        <v>229</v>
      </c>
      <c r="K179" t="s">
        <v>229</v>
      </c>
      <c r="L179" s="4" t="s">
        <v>229</v>
      </c>
      <c r="M179" s="5">
        <v>90.477866879999993</v>
      </c>
      <c r="N179" s="5">
        <v>0.6</v>
      </c>
      <c r="O179">
        <v>84</v>
      </c>
      <c r="P179">
        <v>90.477866879999993</v>
      </c>
      <c r="Q179" s="4">
        <v>0.6</v>
      </c>
      <c r="R179" s="5">
        <v>90.477866879999993</v>
      </c>
      <c r="S179" s="5">
        <v>0.6</v>
      </c>
      <c r="T179">
        <v>83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C179">
        <v>0.5</v>
      </c>
      <c r="AD179">
        <f t="shared" si="4"/>
        <v>0.5</v>
      </c>
    </row>
    <row r="180" spans="1:30" x14ac:dyDescent="0.25">
      <c r="A180">
        <v>82</v>
      </c>
      <c r="B180">
        <v>90.477866879999993</v>
      </c>
      <c r="C180" s="4">
        <v>0.6</v>
      </c>
      <c r="D180">
        <v>81</v>
      </c>
      <c r="E180">
        <v>90.477866879999993</v>
      </c>
      <c r="F180" s="4">
        <v>0.6</v>
      </c>
      <c r="H180" t="s">
        <v>229</v>
      </c>
      <c r="I180" s="4" t="s">
        <v>229</v>
      </c>
      <c r="K180" t="s">
        <v>229</v>
      </c>
      <c r="L180" s="4" t="s">
        <v>229</v>
      </c>
      <c r="M180" s="5">
        <v>90.477866879999993</v>
      </c>
      <c r="N180" s="5">
        <v>0.6</v>
      </c>
      <c r="O180">
        <v>83</v>
      </c>
      <c r="P180">
        <v>90.477866879999993</v>
      </c>
      <c r="Q180" s="4">
        <v>0.6</v>
      </c>
      <c r="R180" s="5">
        <v>90.477866879999993</v>
      </c>
      <c r="S180" s="5">
        <v>0.6</v>
      </c>
      <c r="T180">
        <v>82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C180">
        <v>0.5</v>
      </c>
      <c r="AD180">
        <f t="shared" si="4"/>
        <v>0.5</v>
      </c>
    </row>
    <row r="181" spans="1:30" x14ac:dyDescent="0.25">
      <c r="A181">
        <v>81</v>
      </c>
      <c r="B181">
        <v>90.477866879999993</v>
      </c>
      <c r="C181" s="4">
        <v>0.6</v>
      </c>
      <c r="D181">
        <v>80</v>
      </c>
      <c r="E181">
        <v>90.477866879999993</v>
      </c>
      <c r="F181" s="4">
        <v>0.6</v>
      </c>
      <c r="H181" t="s">
        <v>229</v>
      </c>
      <c r="I181" s="4" t="s">
        <v>229</v>
      </c>
      <c r="K181" t="s">
        <v>229</v>
      </c>
      <c r="L181" s="4" t="s">
        <v>229</v>
      </c>
      <c r="M181" s="5">
        <v>90.477866879999993</v>
      </c>
      <c r="N181" s="5">
        <v>0.6</v>
      </c>
      <c r="O181">
        <v>82</v>
      </c>
      <c r="P181">
        <v>90.477866879999993</v>
      </c>
      <c r="Q181" s="4">
        <v>0.6</v>
      </c>
      <c r="R181" s="5">
        <v>90.477866879999993</v>
      </c>
      <c r="S181" s="5">
        <v>0.6</v>
      </c>
      <c r="T181">
        <v>81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C181">
        <v>0.5</v>
      </c>
      <c r="AD181">
        <f t="shared" si="4"/>
        <v>0.5</v>
      </c>
    </row>
    <row r="182" spans="1:30" x14ac:dyDescent="0.25">
      <c r="A182">
        <v>80</v>
      </c>
      <c r="B182">
        <v>90.477866879999993</v>
      </c>
      <c r="C182" s="4">
        <v>0.6</v>
      </c>
      <c r="D182">
        <v>78</v>
      </c>
      <c r="E182">
        <v>90.477866879999993</v>
      </c>
      <c r="F182" s="4">
        <v>0.6</v>
      </c>
      <c r="H182" t="s">
        <v>229</v>
      </c>
      <c r="I182" s="4" t="s">
        <v>229</v>
      </c>
      <c r="K182" t="s">
        <v>229</v>
      </c>
      <c r="L182" s="4" t="s">
        <v>229</v>
      </c>
      <c r="M182" s="5">
        <v>90.477866879999993</v>
      </c>
      <c r="N182" s="5">
        <v>0.6</v>
      </c>
      <c r="O182">
        <v>81</v>
      </c>
      <c r="P182">
        <v>90.477866879999993</v>
      </c>
      <c r="Q182" s="4">
        <v>0.6</v>
      </c>
      <c r="R182" s="5">
        <v>90.477866879999993</v>
      </c>
      <c r="S182" s="5">
        <v>0.6</v>
      </c>
      <c r="T182">
        <v>80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C182">
        <v>0.5</v>
      </c>
      <c r="AD182">
        <f t="shared" si="4"/>
        <v>0.5</v>
      </c>
    </row>
    <row r="183" spans="1:30" x14ac:dyDescent="0.25">
      <c r="A183">
        <v>78</v>
      </c>
      <c r="B183">
        <v>90.477866879999993</v>
      </c>
      <c r="C183" s="4">
        <v>0.6</v>
      </c>
      <c r="D183">
        <v>77</v>
      </c>
      <c r="E183">
        <v>90.477866879999993</v>
      </c>
      <c r="F183" s="4">
        <v>0.6</v>
      </c>
      <c r="H183" t="s">
        <v>229</v>
      </c>
      <c r="I183" s="4" t="s">
        <v>229</v>
      </c>
      <c r="K183" t="s">
        <v>229</v>
      </c>
      <c r="L183" s="4" t="s">
        <v>229</v>
      </c>
      <c r="M183" s="5">
        <v>90.477866879999993</v>
      </c>
      <c r="N183" s="5">
        <v>0.6</v>
      </c>
      <c r="O183">
        <v>80</v>
      </c>
      <c r="P183">
        <v>90.477866879999993</v>
      </c>
      <c r="Q183" s="4">
        <v>0.6</v>
      </c>
      <c r="R183" s="5">
        <v>90.477866879999993</v>
      </c>
      <c r="S183" s="5">
        <v>0.6</v>
      </c>
      <c r="T183">
        <v>78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C183">
        <v>0.5</v>
      </c>
      <c r="AD183">
        <f t="shared" si="4"/>
        <v>0.5</v>
      </c>
    </row>
    <row r="184" spans="1:30" x14ac:dyDescent="0.25">
      <c r="A184">
        <v>77</v>
      </c>
      <c r="B184">
        <v>90.477866879999993</v>
      </c>
      <c r="C184" s="4">
        <v>0.6</v>
      </c>
      <c r="D184">
        <v>76</v>
      </c>
      <c r="E184">
        <v>90.477866879999993</v>
      </c>
      <c r="F184" s="4">
        <v>0.6</v>
      </c>
      <c r="H184" t="s">
        <v>229</v>
      </c>
      <c r="I184" s="4" t="s">
        <v>229</v>
      </c>
      <c r="K184" t="s">
        <v>229</v>
      </c>
      <c r="L184" s="4" t="s">
        <v>229</v>
      </c>
      <c r="M184" s="5">
        <v>90.477866879999993</v>
      </c>
      <c r="N184" s="5">
        <v>0.6</v>
      </c>
      <c r="O184">
        <v>78</v>
      </c>
      <c r="P184">
        <v>90.477866879999993</v>
      </c>
      <c r="Q184" s="4">
        <v>0.6</v>
      </c>
      <c r="R184" s="5">
        <v>90.477866879999993</v>
      </c>
      <c r="S184" s="5">
        <v>0.6</v>
      </c>
      <c r="T184">
        <v>77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C184">
        <v>0.5</v>
      </c>
      <c r="AD184">
        <f t="shared" si="4"/>
        <v>0.5</v>
      </c>
    </row>
    <row r="185" spans="1:30" x14ac:dyDescent="0.25">
      <c r="A185">
        <v>76</v>
      </c>
      <c r="B185">
        <v>90.477866879999993</v>
      </c>
      <c r="C185" s="4">
        <v>0.6</v>
      </c>
      <c r="D185">
        <v>75</v>
      </c>
      <c r="E185">
        <v>90.477866879999993</v>
      </c>
      <c r="F185" s="4">
        <v>0.6</v>
      </c>
      <c r="H185" t="s">
        <v>229</v>
      </c>
      <c r="I185" s="4" t="s">
        <v>229</v>
      </c>
      <c r="K185" t="s">
        <v>229</v>
      </c>
      <c r="L185" s="4" t="s">
        <v>229</v>
      </c>
      <c r="M185" s="5">
        <v>90.477866879999993</v>
      </c>
      <c r="N185" s="5">
        <v>0.6</v>
      </c>
      <c r="O185">
        <v>77</v>
      </c>
      <c r="P185">
        <v>90.477866879999993</v>
      </c>
      <c r="Q185" s="4">
        <v>0.6</v>
      </c>
      <c r="R185" s="5">
        <v>90.477866879999993</v>
      </c>
      <c r="S185" s="5">
        <v>0.6</v>
      </c>
      <c r="T185">
        <v>76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C185">
        <v>0.5</v>
      </c>
      <c r="AD185">
        <f t="shared" si="4"/>
        <v>0.5</v>
      </c>
    </row>
    <row r="186" spans="1:30" x14ac:dyDescent="0.25">
      <c r="A186">
        <v>75</v>
      </c>
      <c r="B186">
        <v>90.477866879999993</v>
      </c>
      <c r="C186" s="4">
        <v>0.6</v>
      </c>
      <c r="D186">
        <v>74</v>
      </c>
      <c r="E186">
        <v>90.477866879999993</v>
      </c>
      <c r="F186" s="4">
        <v>0.6</v>
      </c>
      <c r="H186" t="s">
        <v>229</v>
      </c>
      <c r="I186" s="4" t="s">
        <v>229</v>
      </c>
      <c r="K186" t="s">
        <v>229</v>
      </c>
      <c r="L186" s="4" t="s">
        <v>229</v>
      </c>
      <c r="M186" s="5">
        <v>90.477866879999993</v>
      </c>
      <c r="N186" s="5">
        <v>0.6</v>
      </c>
      <c r="O186">
        <v>76</v>
      </c>
      <c r="P186">
        <v>90.477866879999993</v>
      </c>
      <c r="Q186" s="4">
        <v>0.6</v>
      </c>
      <c r="R186" s="5">
        <v>90.477866879999993</v>
      </c>
      <c r="S186" s="5">
        <v>0.6</v>
      </c>
      <c r="T186">
        <v>75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C186">
        <v>0.5</v>
      </c>
      <c r="AD186">
        <f t="shared" si="4"/>
        <v>0.5</v>
      </c>
    </row>
    <row r="187" spans="1:30" x14ac:dyDescent="0.25">
      <c r="A187">
        <v>74</v>
      </c>
      <c r="B187">
        <v>90.477866879999993</v>
      </c>
      <c r="C187" s="4">
        <v>0.6</v>
      </c>
      <c r="D187">
        <v>73</v>
      </c>
      <c r="E187">
        <v>90.477866879999993</v>
      </c>
      <c r="F187" s="4">
        <v>0.6</v>
      </c>
      <c r="H187" t="s">
        <v>229</v>
      </c>
      <c r="I187" s="4" t="s">
        <v>229</v>
      </c>
      <c r="K187" t="s">
        <v>229</v>
      </c>
      <c r="L187" s="4" t="s">
        <v>229</v>
      </c>
      <c r="M187" s="5">
        <v>90.477866879999993</v>
      </c>
      <c r="N187" s="5">
        <v>0.6</v>
      </c>
      <c r="O187">
        <v>75</v>
      </c>
      <c r="P187">
        <v>90.477866879999993</v>
      </c>
      <c r="Q187" s="4">
        <v>0.6</v>
      </c>
      <c r="R187" s="5">
        <v>90.477866879999993</v>
      </c>
      <c r="S187" s="5">
        <v>0.6</v>
      </c>
      <c r="T187">
        <v>74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C187">
        <v>0.5</v>
      </c>
      <c r="AD187">
        <f t="shared" si="4"/>
        <v>0.5</v>
      </c>
    </row>
    <row r="188" spans="1:30" x14ac:dyDescent="0.25">
      <c r="A188">
        <v>73</v>
      </c>
      <c r="B188">
        <v>90.477866879999993</v>
      </c>
      <c r="C188" s="4">
        <v>0.6</v>
      </c>
      <c r="D188">
        <v>72</v>
      </c>
      <c r="E188">
        <v>90.477866879999993</v>
      </c>
      <c r="F188" s="4">
        <v>0.6</v>
      </c>
      <c r="H188" t="s">
        <v>229</v>
      </c>
      <c r="I188" s="4" t="s">
        <v>229</v>
      </c>
      <c r="K188" t="s">
        <v>229</v>
      </c>
      <c r="L188" s="4" t="s">
        <v>229</v>
      </c>
      <c r="M188" s="5">
        <v>90.477866879999993</v>
      </c>
      <c r="N188" s="5">
        <v>0.6</v>
      </c>
      <c r="O188">
        <v>74</v>
      </c>
      <c r="P188">
        <v>90.477866879999993</v>
      </c>
      <c r="Q188" s="4">
        <v>0.6</v>
      </c>
      <c r="R188" s="5">
        <v>90.477866879999993</v>
      </c>
      <c r="S188" s="5">
        <v>0.6</v>
      </c>
      <c r="T188">
        <v>73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C188">
        <v>0.5</v>
      </c>
      <c r="AD188">
        <f t="shared" si="4"/>
        <v>0.5</v>
      </c>
    </row>
    <row r="189" spans="1:30" x14ac:dyDescent="0.25">
      <c r="A189">
        <v>72</v>
      </c>
      <c r="B189">
        <v>90.477866879999993</v>
      </c>
      <c r="C189" s="4">
        <v>0.6</v>
      </c>
      <c r="D189">
        <v>71</v>
      </c>
      <c r="E189">
        <v>90.477866879999993</v>
      </c>
      <c r="F189" s="4">
        <v>0.6</v>
      </c>
      <c r="H189" t="s">
        <v>229</v>
      </c>
      <c r="I189" s="4" t="s">
        <v>229</v>
      </c>
      <c r="K189" t="s">
        <v>229</v>
      </c>
      <c r="L189" s="4" t="s">
        <v>229</v>
      </c>
      <c r="M189" s="5">
        <v>90.477866879999993</v>
      </c>
      <c r="N189" s="5">
        <v>0.6</v>
      </c>
      <c r="O189">
        <v>73</v>
      </c>
      <c r="P189">
        <v>90.477866879999993</v>
      </c>
      <c r="Q189" s="4">
        <v>0.6</v>
      </c>
      <c r="R189" s="5">
        <v>90.477866879999993</v>
      </c>
      <c r="S189" s="5">
        <v>0.6</v>
      </c>
      <c r="T189">
        <v>72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C189">
        <v>0.5</v>
      </c>
      <c r="AD189">
        <f t="shared" si="4"/>
        <v>0.5</v>
      </c>
    </row>
    <row r="190" spans="1:30" x14ac:dyDescent="0.25">
      <c r="A190">
        <v>331</v>
      </c>
      <c r="B190">
        <v>7.6969018699999987</v>
      </c>
      <c r="C190" s="4">
        <v>0.17499999999999999</v>
      </c>
      <c r="D190">
        <v>330</v>
      </c>
      <c r="E190">
        <v>7.6969018699999987</v>
      </c>
      <c r="F190" s="4">
        <v>0.17499999999999999</v>
      </c>
      <c r="H190" t="s">
        <v>229</v>
      </c>
      <c r="I190" s="4" t="s">
        <v>229</v>
      </c>
      <c r="K190" t="s">
        <v>229</v>
      </c>
      <c r="L190" s="4" t="s">
        <v>229</v>
      </c>
      <c r="M190" s="5">
        <v>7.6969018699999987</v>
      </c>
      <c r="N190" s="5">
        <v>0.17499999999999999</v>
      </c>
      <c r="O190">
        <v>332</v>
      </c>
      <c r="P190">
        <v>7.6969018699999987</v>
      </c>
      <c r="Q190" s="4">
        <v>0.17499999999999999</v>
      </c>
      <c r="R190" s="5">
        <v>7.6969018699999987</v>
      </c>
      <c r="S190" s="5">
        <v>0.17499999999999999</v>
      </c>
      <c r="T190">
        <v>331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C190">
        <v>0.5</v>
      </c>
      <c r="AD190">
        <f t="shared" si="4"/>
        <v>0.5</v>
      </c>
    </row>
    <row r="191" spans="1:30" x14ac:dyDescent="0.25">
      <c r="A191">
        <v>330</v>
      </c>
      <c r="B191">
        <v>7.6969018699999987</v>
      </c>
      <c r="C191" s="4">
        <v>0.17499999999999999</v>
      </c>
      <c r="D191">
        <v>496</v>
      </c>
      <c r="E191">
        <v>7.6969018699999987</v>
      </c>
      <c r="F191" s="4">
        <v>0.17499999999999999</v>
      </c>
      <c r="H191" t="s">
        <v>229</v>
      </c>
      <c r="I191" s="4" t="s">
        <v>229</v>
      </c>
      <c r="K191" t="s">
        <v>229</v>
      </c>
      <c r="L191" s="4" t="s">
        <v>229</v>
      </c>
      <c r="M191" s="5">
        <v>7.6969018699999987</v>
      </c>
      <c r="N191" s="5">
        <v>0.17499999999999999</v>
      </c>
      <c r="O191">
        <v>331</v>
      </c>
      <c r="P191">
        <v>7.6969018699999987</v>
      </c>
      <c r="Q191" s="4">
        <v>0.17499999999999999</v>
      </c>
      <c r="R191" s="5">
        <v>7.6969018699999987</v>
      </c>
      <c r="S191" s="5">
        <v>0.17499999999999999</v>
      </c>
      <c r="T191">
        <v>330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C191">
        <v>0.5</v>
      </c>
      <c r="AD191">
        <f t="shared" si="4"/>
        <v>0.5</v>
      </c>
    </row>
    <row r="192" spans="1:30" x14ac:dyDescent="0.25">
      <c r="A192">
        <v>103</v>
      </c>
      <c r="B192">
        <v>10.102183704374999</v>
      </c>
      <c r="C192" s="4">
        <v>0.17499999999999999</v>
      </c>
      <c r="D192">
        <v>63</v>
      </c>
      <c r="E192">
        <v>10.102183704374999</v>
      </c>
      <c r="F192" s="4">
        <v>0.17499999999999999</v>
      </c>
      <c r="G192">
        <v>62</v>
      </c>
      <c r="H192">
        <v>4.8105636687499995</v>
      </c>
      <c r="I192" s="4">
        <v>0.17499999999999999</v>
      </c>
      <c r="K192" t="s">
        <v>229</v>
      </c>
      <c r="L192" s="4" t="s">
        <v>229</v>
      </c>
      <c r="M192" s="5">
        <v>14.912747373124999</v>
      </c>
      <c r="N192" s="5">
        <v>0.35</v>
      </c>
      <c r="O192">
        <v>102</v>
      </c>
      <c r="P192">
        <v>50.265481600000015</v>
      </c>
      <c r="Q192" s="4">
        <v>0.4</v>
      </c>
      <c r="R192" s="5">
        <v>50.265481600000015</v>
      </c>
      <c r="S192" s="5">
        <v>0.4</v>
      </c>
      <c r="T192">
        <v>103</v>
      </c>
      <c r="U192">
        <v>2</v>
      </c>
      <c r="V192">
        <v>2</v>
      </c>
      <c r="W192">
        <v>1</v>
      </c>
      <c r="X192">
        <v>0.2966796874999999</v>
      </c>
      <c r="Y192">
        <v>1.4761904761904763</v>
      </c>
      <c r="Z192">
        <v>0.87499999999999989</v>
      </c>
      <c r="AA192">
        <v>2</v>
      </c>
      <c r="AC192">
        <v>0.24703203772971205</v>
      </c>
      <c r="AD192">
        <f t="shared" si="4"/>
        <v>0.4940640754594241</v>
      </c>
    </row>
    <row r="193" spans="1:30" x14ac:dyDescent="0.25">
      <c r="A193">
        <v>109</v>
      </c>
      <c r="B193">
        <v>14.431691006249999</v>
      </c>
      <c r="C193" s="4">
        <v>0.17499999999999999</v>
      </c>
      <c r="D193">
        <v>108</v>
      </c>
      <c r="E193">
        <v>15.393803739999997</v>
      </c>
      <c r="F193" s="4">
        <v>0.17499999999999999</v>
      </c>
      <c r="H193" t="s">
        <v>229</v>
      </c>
      <c r="I193" s="4" t="s">
        <v>229</v>
      </c>
      <c r="K193" t="s">
        <v>229</v>
      </c>
      <c r="L193" s="4" t="s">
        <v>229</v>
      </c>
      <c r="M193" s="5">
        <v>15.393803739999997</v>
      </c>
      <c r="N193" s="5">
        <v>0.17499999999999999</v>
      </c>
      <c r="O193">
        <v>110</v>
      </c>
      <c r="P193">
        <v>17.592918560000005</v>
      </c>
      <c r="Q193" s="4">
        <v>0.2</v>
      </c>
      <c r="R193" s="5">
        <v>17.592918560000005</v>
      </c>
      <c r="S193" s="5">
        <v>0.2</v>
      </c>
      <c r="T193">
        <v>109</v>
      </c>
      <c r="U193">
        <v>1</v>
      </c>
      <c r="V193">
        <v>1</v>
      </c>
      <c r="W193">
        <v>1</v>
      </c>
      <c r="X193">
        <v>0.87499999999999967</v>
      </c>
      <c r="Y193">
        <v>1.0666666666666667</v>
      </c>
      <c r="Z193">
        <v>0.87499999999999989</v>
      </c>
      <c r="AA193">
        <v>1</v>
      </c>
      <c r="AC193">
        <v>0.48068669527896979</v>
      </c>
      <c r="AD193">
        <f t="shared" si="4"/>
        <v>0.48068669527896979</v>
      </c>
    </row>
    <row r="194" spans="1:30" x14ac:dyDescent="0.25">
      <c r="A194">
        <v>139</v>
      </c>
      <c r="B194">
        <v>48.066366779999996</v>
      </c>
      <c r="C194" s="4">
        <v>0.3</v>
      </c>
      <c r="D194">
        <v>140</v>
      </c>
      <c r="E194">
        <v>45.238933439999997</v>
      </c>
      <c r="F194" s="4">
        <v>0.3</v>
      </c>
      <c r="H194" t="s">
        <v>229</v>
      </c>
      <c r="I194" s="4" t="s">
        <v>229</v>
      </c>
      <c r="K194" t="s">
        <v>229</v>
      </c>
      <c r="L194" s="4" t="s">
        <v>229</v>
      </c>
      <c r="M194" s="5">
        <v>45.238933439999997</v>
      </c>
      <c r="N194" s="5">
        <v>0.3</v>
      </c>
      <c r="O194">
        <v>138</v>
      </c>
      <c r="P194">
        <v>48.066366779999996</v>
      </c>
      <c r="Q194" s="4">
        <v>0.3</v>
      </c>
      <c r="R194" s="5">
        <v>48.066366779999996</v>
      </c>
      <c r="S194" s="5">
        <v>0.3</v>
      </c>
      <c r="T194">
        <v>139</v>
      </c>
      <c r="U194">
        <v>1</v>
      </c>
      <c r="V194">
        <v>1</v>
      </c>
      <c r="W194">
        <v>1</v>
      </c>
      <c r="X194">
        <v>0.94117647058823528</v>
      </c>
      <c r="Y194">
        <v>0.94117647058823528</v>
      </c>
      <c r="Z194">
        <v>1</v>
      </c>
      <c r="AA194">
        <v>1</v>
      </c>
      <c r="AC194">
        <v>0.47058823529411764</v>
      </c>
      <c r="AD194">
        <f t="shared" ref="AD194:AD257" si="5">AC194*U194</f>
        <v>0.47058823529411764</v>
      </c>
    </row>
    <row r="195" spans="1:30" x14ac:dyDescent="0.25">
      <c r="A195">
        <v>6</v>
      </c>
      <c r="B195">
        <v>16.546375525125004</v>
      </c>
      <c r="C195" s="4">
        <v>0.26500000000000001</v>
      </c>
      <c r="D195">
        <v>242</v>
      </c>
      <c r="E195">
        <v>26.474200840200002</v>
      </c>
      <c r="F195" s="4">
        <v>0.26500000000000001</v>
      </c>
      <c r="H195" t="s">
        <v>229</v>
      </c>
      <c r="I195" s="4" t="s">
        <v>229</v>
      </c>
      <c r="K195" t="s">
        <v>229</v>
      </c>
      <c r="L195" s="4" t="s">
        <v>229</v>
      </c>
      <c r="M195" s="5">
        <v>26.474200840200002</v>
      </c>
      <c r="N195" s="5">
        <v>0.26500000000000001</v>
      </c>
      <c r="O195">
        <v>5</v>
      </c>
      <c r="P195">
        <v>39.711301260300004</v>
      </c>
      <c r="Q195" s="4">
        <v>0.26500000000000001</v>
      </c>
      <c r="R195" s="5">
        <v>39.711301260300004</v>
      </c>
      <c r="S195" s="5">
        <v>0.26500000000000001</v>
      </c>
      <c r="T195">
        <v>6</v>
      </c>
      <c r="U195">
        <v>1</v>
      </c>
      <c r="V195">
        <v>1</v>
      </c>
      <c r="W195">
        <v>1</v>
      </c>
      <c r="X195">
        <v>0.66666666666666663</v>
      </c>
      <c r="Y195">
        <v>1.5999999999999996</v>
      </c>
      <c r="Z195">
        <v>1</v>
      </c>
      <c r="AA195">
        <v>1</v>
      </c>
      <c r="AC195">
        <v>0.47058823529411764</v>
      </c>
      <c r="AD195">
        <f t="shared" si="5"/>
        <v>0.47058823529411764</v>
      </c>
    </row>
    <row r="196" spans="1:30" x14ac:dyDescent="0.25">
      <c r="A196">
        <v>60</v>
      </c>
      <c r="B196">
        <v>90.477866880000022</v>
      </c>
      <c r="C196" s="4">
        <v>0.4</v>
      </c>
      <c r="D196">
        <v>69</v>
      </c>
      <c r="E196">
        <v>59.566951890450007</v>
      </c>
      <c r="F196" s="4">
        <v>0.26500000000000001</v>
      </c>
      <c r="H196" t="s">
        <v>229</v>
      </c>
      <c r="I196" s="4" t="s">
        <v>229</v>
      </c>
      <c r="K196" t="s">
        <v>229</v>
      </c>
      <c r="L196" s="4" t="s">
        <v>229</v>
      </c>
      <c r="M196" s="5">
        <v>59.566951890450007</v>
      </c>
      <c r="N196" s="5">
        <v>0.26500000000000001</v>
      </c>
      <c r="O196">
        <v>100</v>
      </c>
      <c r="P196">
        <v>36.75663342</v>
      </c>
      <c r="Q196" s="4">
        <v>0.3</v>
      </c>
      <c r="R196" s="5">
        <v>36.75663342</v>
      </c>
      <c r="S196" s="5">
        <v>0.3</v>
      </c>
      <c r="T196">
        <v>60</v>
      </c>
      <c r="U196">
        <v>1</v>
      </c>
      <c r="V196">
        <v>1</v>
      </c>
      <c r="W196">
        <v>1</v>
      </c>
      <c r="X196">
        <v>1.6205769230769234</v>
      </c>
      <c r="Y196">
        <v>0.65835937499999997</v>
      </c>
      <c r="Z196">
        <v>0.88333333333333341</v>
      </c>
      <c r="AA196">
        <v>0.66249999999999998</v>
      </c>
      <c r="AC196">
        <v>0.46816666666666662</v>
      </c>
      <c r="AD196">
        <f t="shared" si="5"/>
        <v>0.46816666666666662</v>
      </c>
    </row>
    <row r="197" spans="1:30" x14ac:dyDescent="0.25">
      <c r="A197">
        <v>160</v>
      </c>
      <c r="B197">
        <v>27.017696360000006</v>
      </c>
      <c r="C197" s="4">
        <v>0.2</v>
      </c>
      <c r="D197">
        <v>449</v>
      </c>
      <c r="E197">
        <v>20.685423775624997</v>
      </c>
      <c r="F197" s="4">
        <v>0.17499999999999999</v>
      </c>
      <c r="H197" t="s">
        <v>229</v>
      </c>
      <c r="I197" s="4" t="s">
        <v>229</v>
      </c>
      <c r="K197" t="s">
        <v>229</v>
      </c>
      <c r="L197" s="4" t="s">
        <v>229</v>
      </c>
      <c r="M197" s="5">
        <v>20.685423775624997</v>
      </c>
      <c r="N197" s="5">
        <v>0.17499999999999999</v>
      </c>
      <c r="O197">
        <v>161</v>
      </c>
      <c r="P197">
        <v>17.649467226800002</v>
      </c>
      <c r="Q197" s="4">
        <v>0.26500000000000001</v>
      </c>
      <c r="R197" s="5">
        <v>17.649467226800002</v>
      </c>
      <c r="S197" s="5">
        <v>0.26500000000000001</v>
      </c>
      <c r="T197">
        <v>160</v>
      </c>
      <c r="U197">
        <v>1</v>
      </c>
      <c r="V197">
        <v>1</v>
      </c>
      <c r="W197">
        <v>1</v>
      </c>
      <c r="X197">
        <v>1.172014061943752</v>
      </c>
      <c r="Y197">
        <v>0.76562499999999978</v>
      </c>
      <c r="Z197">
        <v>0.660377358490566</v>
      </c>
      <c r="AA197">
        <v>0.87499999999999989</v>
      </c>
      <c r="AC197">
        <v>0.46310135040090011</v>
      </c>
      <c r="AD197">
        <f t="shared" si="5"/>
        <v>0.46310135040090011</v>
      </c>
    </row>
    <row r="198" spans="1:30" x14ac:dyDescent="0.25">
      <c r="A198">
        <v>209</v>
      </c>
      <c r="B198">
        <v>123.700208625</v>
      </c>
      <c r="C198" s="4">
        <v>0.75</v>
      </c>
      <c r="D198">
        <v>469</v>
      </c>
      <c r="E198">
        <v>16.836972840624998</v>
      </c>
      <c r="F198" s="4">
        <v>0.17499999999999999</v>
      </c>
      <c r="G198">
        <v>201</v>
      </c>
      <c r="H198">
        <v>16.355916473749996</v>
      </c>
      <c r="I198" s="4">
        <v>0.17499999999999999</v>
      </c>
      <c r="K198" t="s">
        <v>229</v>
      </c>
      <c r="L198" s="4" t="s">
        <v>229</v>
      </c>
      <c r="M198" s="5">
        <v>33.192889314374995</v>
      </c>
      <c r="N198" s="5">
        <v>0.35</v>
      </c>
      <c r="O198">
        <v>208</v>
      </c>
      <c r="P198">
        <v>25.132740800000008</v>
      </c>
      <c r="Q198" s="4">
        <v>0.4</v>
      </c>
      <c r="R198" s="5">
        <v>25.132740800000008</v>
      </c>
      <c r="S198" s="5">
        <v>0.4</v>
      </c>
      <c r="T198">
        <v>209</v>
      </c>
      <c r="U198">
        <v>2</v>
      </c>
      <c r="V198">
        <v>2</v>
      </c>
      <c r="W198">
        <v>1</v>
      </c>
      <c r="X198">
        <v>1.3207031249999994</v>
      </c>
      <c r="Y198">
        <v>0.26833333333333331</v>
      </c>
      <c r="Z198">
        <v>0.87499999999999989</v>
      </c>
      <c r="AA198">
        <v>0.46666666666666662</v>
      </c>
      <c r="AC198">
        <v>0.22302110817941947</v>
      </c>
      <c r="AD198">
        <f t="shared" si="5"/>
        <v>0.44604221635883895</v>
      </c>
    </row>
    <row r="199" spans="1:30" x14ac:dyDescent="0.25">
      <c r="A199">
        <v>59</v>
      </c>
      <c r="B199">
        <v>294.05306736</v>
      </c>
      <c r="C199" s="4">
        <v>0.6</v>
      </c>
      <c r="D199">
        <v>382</v>
      </c>
      <c r="E199">
        <v>7.6969018699999987</v>
      </c>
      <c r="F199" s="4">
        <v>0.17499999999999999</v>
      </c>
      <c r="G199">
        <v>381</v>
      </c>
      <c r="H199">
        <v>7.6969018699999987</v>
      </c>
      <c r="I199" s="4">
        <v>0.17499999999999999</v>
      </c>
      <c r="J199">
        <v>12</v>
      </c>
      <c r="K199">
        <v>32.672563040000007</v>
      </c>
      <c r="L199" s="4">
        <v>0.2</v>
      </c>
      <c r="M199" s="5">
        <v>48.066366780000003</v>
      </c>
      <c r="N199" s="5">
        <v>0.55000000000000004</v>
      </c>
      <c r="O199">
        <v>99</v>
      </c>
      <c r="P199">
        <v>29.688050070000003</v>
      </c>
      <c r="Q199" s="4">
        <v>0.3</v>
      </c>
      <c r="R199" s="5">
        <v>29.688050070000003</v>
      </c>
      <c r="S199" s="5">
        <v>0.3</v>
      </c>
      <c r="T199">
        <v>59</v>
      </c>
      <c r="U199">
        <v>3</v>
      </c>
      <c r="V199">
        <v>3</v>
      </c>
      <c r="W199">
        <v>1</v>
      </c>
      <c r="X199">
        <v>1.6190476190476191</v>
      </c>
      <c r="Y199">
        <v>0.16346153846153846</v>
      </c>
      <c r="Z199">
        <v>1.8333333333333335</v>
      </c>
      <c r="AA199">
        <v>0.91666666666666674</v>
      </c>
      <c r="AC199">
        <v>0.148471615720524</v>
      </c>
      <c r="AD199">
        <f t="shared" si="5"/>
        <v>0.44541484716157198</v>
      </c>
    </row>
    <row r="200" spans="1:30" x14ac:dyDescent="0.25">
      <c r="A200">
        <v>201</v>
      </c>
      <c r="B200">
        <v>16.355916473749996</v>
      </c>
      <c r="C200" s="4">
        <v>0.17499999999999999</v>
      </c>
      <c r="D200">
        <v>13</v>
      </c>
      <c r="E200">
        <v>9.621127337499999</v>
      </c>
      <c r="F200" s="4">
        <v>0.17499999999999999</v>
      </c>
      <c r="H200" t="s">
        <v>229</v>
      </c>
      <c r="I200" s="4" t="s">
        <v>229</v>
      </c>
      <c r="K200" t="s">
        <v>229</v>
      </c>
      <c r="L200" s="4" t="s">
        <v>229</v>
      </c>
      <c r="M200" s="5">
        <v>9.621127337499999</v>
      </c>
      <c r="N200" s="5">
        <v>0.17499999999999999</v>
      </c>
      <c r="O200">
        <v>212</v>
      </c>
      <c r="P200">
        <v>5.7726764024999992</v>
      </c>
      <c r="Q200" s="4">
        <v>0.17499999999999999</v>
      </c>
      <c r="R200" s="5">
        <v>5.7726764024999992</v>
      </c>
      <c r="S200" s="5">
        <v>0.17499999999999999</v>
      </c>
      <c r="T200">
        <v>201</v>
      </c>
      <c r="U200">
        <v>1</v>
      </c>
      <c r="V200">
        <v>1</v>
      </c>
      <c r="W200">
        <v>1</v>
      </c>
      <c r="X200">
        <v>1.6666666666666667</v>
      </c>
      <c r="Y200">
        <v>0.58823529411764719</v>
      </c>
      <c r="Z200">
        <v>1</v>
      </c>
      <c r="AA200">
        <v>1</v>
      </c>
      <c r="AC200">
        <v>0.43478260869565222</v>
      </c>
      <c r="AD200">
        <f t="shared" si="5"/>
        <v>0.43478260869565222</v>
      </c>
    </row>
    <row r="201" spans="1:30" x14ac:dyDescent="0.25">
      <c r="A201">
        <v>332</v>
      </c>
      <c r="B201">
        <v>7.6969018699999987</v>
      </c>
      <c r="C201" s="4">
        <v>0.17499999999999999</v>
      </c>
      <c r="D201">
        <v>331</v>
      </c>
      <c r="E201">
        <v>7.6969018699999987</v>
      </c>
      <c r="F201" s="4">
        <v>0.17499999999999999</v>
      </c>
      <c r="H201" t="s">
        <v>229</v>
      </c>
      <c r="I201" s="4" t="s">
        <v>229</v>
      </c>
      <c r="K201" t="s">
        <v>229</v>
      </c>
      <c r="L201" s="4" t="s">
        <v>229</v>
      </c>
      <c r="M201" s="5">
        <v>7.6969018699999987</v>
      </c>
      <c r="N201" s="5">
        <v>0.17499999999999999</v>
      </c>
      <c r="O201">
        <v>333</v>
      </c>
      <c r="P201">
        <v>10.053096320000002</v>
      </c>
      <c r="Q201" s="4">
        <v>0.2</v>
      </c>
      <c r="R201" s="5">
        <v>10.053096320000002</v>
      </c>
      <c r="S201" s="5">
        <v>0.2</v>
      </c>
      <c r="T201">
        <v>332</v>
      </c>
      <c r="U201">
        <v>1</v>
      </c>
      <c r="V201">
        <v>1</v>
      </c>
      <c r="W201">
        <v>1</v>
      </c>
      <c r="X201">
        <v>0.76562499999999978</v>
      </c>
      <c r="Y201">
        <v>1</v>
      </c>
      <c r="Z201">
        <v>0.87499999999999989</v>
      </c>
      <c r="AA201">
        <v>1</v>
      </c>
      <c r="AC201">
        <v>0.43362831858407075</v>
      </c>
      <c r="AD201">
        <f t="shared" si="5"/>
        <v>0.43362831858407075</v>
      </c>
    </row>
    <row r="202" spans="1:30" x14ac:dyDescent="0.25">
      <c r="A202">
        <v>23</v>
      </c>
      <c r="B202">
        <v>125.66370400000002</v>
      </c>
      <c r="C202" s="4">
        <v>0.4</v>
      </c>
      <c r="D202">
        <v>348</v>
      </c>
      <c r="E202">
        <v>108.07078544000002</v>
      </c>
      <c r="F202" s="4">
        <v>0.4</v>
      </c>
      <c r="G202">
        <v>365</v>
      </c>
      <c r="H202">
        <v>3.8484509349999994</v>
      </c>
      <c r="I202" s="4">
        <v>0.17499999999999999</v>
      </c>
      <c r="K202" t="s">
        <v>229</v>
      </c>
      <c r="L202" s="4" t="s">
        <v>229</v>
      </c>
      <c r="M202" s="5">
        <v>111.91923637500003</v>
      </c>
      <c r="N202" s="5">
        <v>0.57499999999999996</v>
      </c>
      <c r="O202">
        <v>48</v>
      </c>
      <c r="P202">
        <v>397.6078134375</v>
      </c>
      <c r="Q202" s="4">
        <v>0.75</v>
      </c>
      <c r="R202" s="5">
        <v>397.6078134375</v>
      </c>
      <c r="S202" s="5">
        <v>0.75</v>
      </c>
      <c r="T202">
        <v>23</v>
      </c>
      <c r="U202">
        <v>2</v>
      </c>
      <c r="V202">
        <v>2</v>
      </c>
      <c r="W202">
        <v>1</v>
      </c>
      <c r="X202">
        <v>0.28148148148148155</v>
      </c>
      <c r="Y202">
        <v>0.890625</v>
      </c>
      <c r="Z202">
        <v>0.76666666666666661</v>
      </c>
      <c r="AA202">
        <v>1.4374999999999998</v>
      </c>
      <c r="AC202">
        <v>0.21388367729831148</v>
      </c>
      <c r="AD202">
        <f t="shared" si="5"/>
        <v>0.42776735459662296</v>
      </c>
    </row>
    <row r="203" spans="1:30" x14ac:dyDescent="0.25">
      <c r="A203">
        <v>212</v>
      </c>
      <c r="B203">
        <v>5.7726764024999992</v>
      </c>
      <c r="C203" s="4">
        <v>0.17499999999999999</v>
      </c>
      <c r="D203">
        <v>201</v>
      </c>
      <c r="E203">
        <v>16.355916473749996</v>
      </c>
      <c r="F203" s="4">
        <v>0.17499999999999999</v>
      </c>
      <c r="H203" t="s">
        <v>229</v>
      </c>
      <c r="I203" s="4" t="s">
        <v>229</v>
      </c>
      <c r="K203" t="s">
        <v>229</v>
      </c>
      <c r="L203" s="4" t="s">
        <v>229</v>
      </c>
      <c r="M203" s="5">
        <v>16.355916473749996</v>
      </c>
      <c r="N203" s="5">
        <v>0.17499999999999999</v>
      </c>
      <c r="O203">
        <v>224</v>
      </c>
      <c r="P203">
        <v>33.092751050250008</v>
      </c>
      <c r="Q203" s="4">
        <v>0.26500000000000001</v>
      </c>
      <c r="R203" s="5">
        <v>33.092751050250008</v>
      </c>
      <c r="S203" s="5">
        <v>0.26500000000000001</v>
      </c>
      <c r="T203">
        <v>212</v>
      </c>
      <c r="U203">
        <v>1</v>
      </c>
      <c r="V203">
        <v>1</v>
      </c>
      <c r="W203">
        <v>1</v>
      </c>
      <c r="X203">
        <v>0.49424468968790769</v>
      </c>
      <c r="Y203">
        <v>2.833333333333333</v>
      </c>
      <c r="Z203">
        <v>0.660377358490566</v>
      </c>
      <c r="AA203">
        <v>1</v>
      </c>
      <c r="AC203">
        <v>0.42083459634232578</v>
      </c>
      <c r="AD203">
        <f t="shared" si="5"/>
        <v>0.42083459634232578</v>
      </c>
    </row>
    <row r="204" spans="1:30" x14ac:dyDescent="0.25">
      <c r="A204">
        <v>283</v>
      </c>
      <c r="B204">
        <v>62.831851999999998</v>
      </c>
      <c r="C204" s="4">
        <v>0.5</v>
      </c>
      <c r="D204">
        <v>285</v>
      </c>
      <c r="E204">
        <v>58.904861250000003</v>
      </c>
      <c r="F204" s="4">
        <v>0.5</v>
      </c>
      <c r="H204" t="s">
        <v>229</v>
      </c>
      <c r="I204" s="4" t="s">
        <v>229</v>
      </c>
      <c r="K204" t="s">
        <v>229</v>
      </c>
      <c r="L204" s="4" t="s">
        <v>229</v>
      </c>
      <c r="M204" s="5">
        <v>58.904861250000003</v>
      </c>
      <c r="N204" s="5">
        <v>0.5</v>
      </c>
      <c r="O204">
        <v>282</v>
      </c>
      <c r="P204">
        <v>84.823000199999996</v>
      </c>
      <c r="Q204" s="4">
        <v>0.6</v>
      </c>
      <c r="R204" s="5">
        <v>84.823000199999996</v>
      </c>
      <c r="S204" s="5">
        <v>0.6</v>
      </c>
      <c r="T204">
        <v>283</v>
      </c>
      <c r="U204">
        <v>1</v>
      </c>
      <c r="V204">
        <v>1</v>
      </c>
      <c r="W204">
        <v>1</v>
      </c>
      <c r="X204">
        <v>0.69444444444444453</v>
      </c>
      <c r="Y204">
        <v>0.93750000000000011</v>
      </c>
      <c r="Z204">
        <v>0.83333333333333337</v>
      </c>
      <c r="AA204">
        <v>1</v>
      </c>
      <c r="AC204">
        <v>0.39893617021276601</v>
      </c>
      <c r="AD204">
        <f t="shared" si="5"/>
        <v>0.39893617021276601</v>
      </c>
    </row>
    <row r="205" spans="1:30" x14ac:dyDescent="0.25">
      <c r="A205">
        <v>339</v>
      </c>
      <c r="B205">
        <v>25.132740800000008</v>
      </c>
      <c r="C205" s="4">
        <v>0.4</v>
      </c>
      <c r="D205">
        <v>112</v>
      </c>
      <c r="E205">
        <v>31.989659348575007</v>
      </c>
      <c r="F205" s="4">
        <v>0.26500000000000001</v>
      </c>
      <c r="H205" t="s">
        <v>229</v>
      </c>
      <c r="I205" s="4" t="s">
        <v>229</v>
      </c>
      <c r="K205" t="s">
        <v>229</v>
      </c>
      <c r="L205" s="4" t="s">
        <v>229</v>
      </c>
      <c r="M205" s="5">
        <v>31.989659348575007</v>
      </c>
      <c r="N205" s="5">
        <v>0.26500000000000001</v>
      </c>
      <c r="O205">
        <v>328</v>
      </c>
      <c r="P205">
        <v>55.292029760000013</v>
      </c>
      <c r="Q205" s="4">
        <v>0.4</v>
      </c>
      <c r="R205" s="5">
        <v>55.292029760000013</v>
      </c>
      <c r="S205" s="5">
        <v>0.4</v>
      </c>
      <c r="T205">
        <v>339</v>
      </c>
      <c r="U205">
        <v>1</v>
      </c>
      <c r="V205">
        <v>1</v>
      </c>
      <c r="W205">
        <v>1</v>
      </c>
      <c r="X205">
        <v>0.57855823863636358</v>
      </c>
      <c r="Y205">
        <v>1.272828125</v>
      </c>
      <c r="Z205">
        <v>0.66249999999999998</v>
      </c>
      <c r="AA205">
        <v>0.66249999999999998</v>
      </c>
      <c r="AC205">
        <v>0.39775878906250001</v>
      </c>
      <c r="AD205">
        <f t="shared" si="5"/>
        <v>0.39775878906250001</v>
      </c>
    </row>
    <row r="206" spans="1:30" x14ac:dyDescent="0.25">
      <c r="A206">
        <v>305</v>
      </c>
      <c r="B206">
        <v>203.57520048000001</v>
      </c>
      <c r="C206" s="4">
        <v>0.6</v>
      </c>
      <c r="D206">
        <v>293</v>
      </c>
      <c r="E206">
        <v>70.685833500000001</v>
      </c>
      <c r="F206" s="4">
        <v>0.5</v>
      </c>
      <c r="G206">
        <v>294</v>
      </c>
      <c r="H206">
        <v>7.6969018699999987</v>
      </c>
      <c r="I206" s="4">
        <v>0.17499999999999999</v>
      </c>
      <c r="K206" t="s">
        <v>229</v>
      </c>
      <c r="L206" s="4" t="s">
        <v>229</v>
      </c>
      <c r="M206" s="5">
        <v>78.382735370000006</v>
      </c>
      <c r="N206" s="5">
        <v>0.67500000000000004</v>
      </c>
      <c r="O206">
        <v>304</v>
      </c>
      <c r="P206">
        <v>192.26546711999998</v>
      </c>
      <c r="Q206" s="4">
        <v>0.6</v>
      </c>
      <c r="R206" s="5">
        <v>192.26546711999998</v>
      </c>
      <c r="S206" s="5">
        <v>0.6</v>
      </c>
      <c r="T206">
        <v>305</v>
      </c>
      <c r="U206">
        <v>2</v>
      </c>
      <c r="V206">
        <v>2</v>
      </c>
      <c r="W206">
        <v>1</v>
      </c>
      <c r="X206">
        <v>0.40767973856209155</v>
      </c>
      <c r="Y206">
        <v>0.38503086419753091</v>
      </c>
      <c r="Z206">
        <v>1.1250000000000002</v>
      </c>
      <c r="AA206">
        <v>1.1250000000000002</v>
      </c>
      <c r="AC206">
        <v>0.19801587301587306</v>
      </c>
      <c r="AD206">
        <f t="shared" si="5"/>
        <v>0.39603174603174612</v>
      </c>
    </row>
    <row r="207" spans="1:30" x14ac:dyDescent="0.25">
      <c r="A207">
        <v>35</v>
      </c>
      <c r="B207">
        <v>10.053096320000002</v>
      </c>
      <c r="C207" s="4">
        <v>0.2</v>
      </c>
      <c r="D207">
        <v>369</v>
      </c>
      <c r="E207">
        <v>7.6969018699999987</v>
      </c>
      <c r="F207" s="4">
        <v>0.17499999999999999</v>
      </c>
      <c r="H207" t="s">
        <v>229</v>
      </c>
      <c r="I207" s="4" t="s">
        <v>229</v>
      </c>
      <c r="K207" t="s">
        <v>229</v>
      </c>
      <c r="L207" s="4" t="s">
        <v>229</v>
      </c>
      <c r="M207" s="5">
        <v>7.6969018699999987</v>
      </c>
      <c r="N207" s="5">
        <v>0.17499999999999999</v>
      </c>
      <c r="O207">
        <v>46</v>
      </c>
      <c r="P207">
        <v>10.053096320000002</v>
      </c>
      <c r="Q207" s="4">
        <v>0.2</v>
      </c>
      <c r="R207" s="5">
        <v>10.053096320000002</v>
      </c>
      <c r="S207" s="5">
        <v>0.2</v>
      </c>
      <c r="T207">
        <v>35</v>
      </c>
      <c r="U207">
        <v>1</v>
      </c>
      <c r="V207">
        <v>1</v>
      </c>
      <c r="W207">
        <v>1</v>
      </c>
      <c r="X207">
        <v>0.76562499999999978</v>
      </c>
      <c r="Y207">
        <v>0.76562499999999978</v>
      </c>
      <c r="Z207">
        <v>0.87499999999999989</v>
      </c>
      <c r="AA207">
        <v>0.87499999999999989</v>
      </c>
      <c r="AC207">
        <v>0.38281249999999989</v>
      </c>
      <c r="AD207">
        <f t="shared" si="5"/>
        <v>0.38281249999999989</v>
      </c>
    </row>
    <row r="208" spans="1:30" x14ac:dyDescent="0.25">
      <c r="A208">
        <v>151</v>
      </c>
      <c r="B208">
        <v>25.132740800000008</v>
      </c>
      <c r="C208" s="4">
        <v>0.2</v>
      </c>
      <c r="D208">
        <v>150</v>
      </c>
      <c r="E208">
        <v>19.242254674999998</v>
      </c>
      <c r="F208" s="4">
        <v>0.17499999999999999</v>
      </c>
      <c r="H208" t="s">
        <v>229</v>
      </c>
      <c r="I208" s="4" t="s">
        <v>229</v>
      </c>
      <c r="K208" t="s">
        <v>229</v>
      </c>
      <c r="L208" s="4" t="s">
        <v>229</v>
      </c>
      <c r="M208" s="5">
        <v>19.242254674999998</v>
      </c>
      <c r="N208" s="5">
        <v>0.17499999999999999</v>
      </c>
      <c r="O208">
        <v>152</v>
      </c>
      <c r="P208">
        <v>25.132740800000008</v>
      </c>
      <c r="Q208" s="4">
        <v>0.2</v>
      </c>
      <c r="R208" s="5">
        <v>25.132740800000008</v>
      </c>
      <c r="S208" s="5">
        <v>0.2</v>
      </c>
      <c r="T208">
        <v>151</v>
      </c>
      <c r="U208">
        <v>1</v>
      </c>
      <c r="V208">
        <v>1</v>
      </c>
      <c r="W208">
        <v>1</v>
      </c>
      <c r="X208">
        <v>0.76562499999999967</v>
      </c>
      <c r="Y208">
        <v>0.76562499999999967</v>
      </c>
      <c r="Z208">
        <v>0.87499999999999989</v>
      </c>
      <c r="AA208">
        <v>0.87499999999999989</v>
      </c>
      <c r="AC208">
        <v>0.38281249999999983</v>
      </c>
      <c r="AD208">
        <f t="shared" si="5"/>
        <v>0.38281249999999983</v>
      </c>
    </row>
    <row r="209" spans="1:30" x14ac:dyDescent="0.25">
      <c r="A209">
        <v>347</v>
      </c>
      <c r="B209">
        <v>9.4247778000000029</v>
      </c>
      <c r="C209" s="4">
        <v>0.2</v>
      </c>
      <c r="D209">
        <v>529</v>
      </c>
      <c r="E209">
        <v>7.2158455031249993</v>
      </c>
      <c r="F209" s="4">
        <v>0.17499999999999999</v>
      </c>
      <c r="G209">
        <v>249</v>
      </c>
      <c r="H209">
        <v>15.079644480000002</v>
      </c>
      <c r="I209" s="4">
        <v>0.2</v>
      </c>
      <c r="K209" t="s">
        <v>229</v>
      </c>
      <c r="L209" s="4" t="s">
        <v>229</v>
      </c>
      <c r="M209" s="5">
        <v>22.295489983125002</v>
      </c>
      <c r="N209" s="5">
        <v>0.375</v>
      </c>
      <c r="O209">
        <v>348</v>
      </c>
      <c r="P209">
        <v>108.07078544000002</v>
      </c>
      <c r="Q209" s="4">
        <v>0.4</v>
      </c>
      <c r="R209" s="5">
        <v>108.07078544000002</v>
      </c>
      <c r="S209" s="5">
        <v>0.4</v>
      </c>
      <c r="T209">
        <v>347</v>
      </c>
      <c r="U209">
        <v>2</v>
      </c>
      <c r="V209">
        <v>2</v>
      </c>
      <c r="W209">
        <v>1</v>
      </c>
      <c r="X209">
        <v>0.20630450581395346</v>
      </c>
      <c r="Y209">
        <v>2.3656249999999996</v>
      </c>
      <c r="Z209">
        <v>0.9375</v>
      </c>
      <c r="AA209">
        <v>1.875</v>
      </c>
      <c r="AC209">
        <v>0.18975601604278072</v>
      </c>
      <c r="AD209">
        <f t="shared" si="5"/>
        <v>0.37951203208556145</v>
      </c>
    </row>
    <row r="210" spans="1:30" x14ac:dyDescent="0.25">
      <c r="A210">
        <v>126</v>
      </c>
      <c r="B210">
        <v>12.507465538749999</v>
      </c>
      <c r="C210" s="4">
        <v>0.17499999999999999</v>
      </c>
      <c r="D210">
        <v>125</v>
      </c>
      <c r="E210">
        <v>21.647536509374998</v>
      </c>
      <c r="F210" s="4">
        <v>0.17499999999999999</v>
      </c>
      <c r="H210" t="s">
        <v>229</v>
      </c>
      <c r="I210" s="4" t="s">
        <v>229</v>
      </c>
      <c r="K210" t="s">
        <v>229</v>
      </c>
      <c r="L210" s="4" t="s">
        <v>229</v>
      </c>
      <c r="M210" s="5">
        <v>21.647536509374998</v>
      </c>
      <c r="N210" s="5">
        <v>0.17499999999999999</v>
      </c>
      <c r="O210">
        <v>127</v>
      </c>
      <c r="P210">
        <v>45.238933439999997</v>
      </c>
      <c r="Q210" s="4">
        <v>0.3</v>
      </c>
      <c r="R210" s="5">
        <v>45.238933439999997</v>
      </c>
      <c r="S210" s="5">
        <v>0.3</v>
      </c>
      <c r="T210">
        <v>126</v>
      </c>
      <c r="U210">
        <v>1</v>
      </c>
      <c r="V210">
        <v>1</v>
      </c>
      <c r="W210">
        <v>1</v>
      </c>
      <c r="X210">
        <v>0.478515625</v>
      </c>
      <c r="Y210">
        <v>1.7307692307692306</v>
      </c>
      <c r="Z210">
        <v>0.58333333333333337</v>
      </c>
      <c r="AA210">
        <v>1</v>
      </c>
      <c r="AC210">
        <v>0.37487249234954095</v>
      </c>
      <c r="AD210">
        <f t="shared" si="5"/>
        <v>0.37487249234954095</v>
      </c>
    </row>
    <row r="211" spans="1:30" x14ac:dyDescent="0.25">
      <c r="A211">
        <v>183</v>
      </c>
      <c r="B211">
        <v>40.212385280000007</v>
      </c>
      <c r="C211" s="4">
        <v>0.4</v>
      </c>
      <c r="D211">
        <v>188</v>
      </c>
      <c r="E211">
        <v>40.212385280000007</v>
      </c>
      <c r="F211" s="4">
        <v>0.4</v>
      </c>
      <c r="G211">
        <v>182</v>
      </c>
      <c r="H211">
        <v>19.242254674999998</v>
      </c>
      <c r="I211" s="4">
        <v>0.17499999999999999</v>
      </c>
      <c r="K211" t="s">
        <v>229</v>
      </c>
      <c r="L211" s="4" t="s">
        <v>229</v>
      </c>
      <c r="M211" s="5">
        <v>59.454639955000005</v>
      </c>
      <c r="N211" s="5">
        <v>0.57499999999999996</v>
      </c>
      <c r="O211">
        <v>177</v>
      </c>
      <c r="P211">
        <v>282.743334</v>
      </c>
      <c r="Q211" s="4">
        <v>0.75</v>
      </c>
      <c r="R211" s="5">
        <v>282.743334</v>
      </c>
      <c r="S211" s="5">
        <v>0.75</v>
      </c>
      <c r="T211">
        <v>183</v>
      </c>
      <c r="U211">
        <v>2</v>
      </c>
      <c r="V211">
        <v>2</v>
      </c>
      <c r="W211">
        <v>1</v>
      </c>
      <c r="X211">
        <v>0.21027777777777779</v>
      </c>
      <c r="Y211">
        <v>1.4785156249999998</v>
      </c>
      <c r="Z211">
        <v>0.76666666666666661</v>
      </c>
      <c r="AA211">
        <v>1.4374999999999998</v>
      </c>
      <c r="AC211">
        <v>0.1840953307392996</v>
      </c>
      <c r="AD211">
        <f t="shared" si="5"/>
        <v>0.36819066147859919</v>
      </c>
    </row>
    <row r="212" spans="1:30" x14ac:dyDescent="0.25">
      <c r="A212">
        <v>177</v>
      </c>
      <c r="B212">
        <v>282.743334</v>
      </c>
      <c r="C212" s="4">
        <v>0.75</v>
      </c>
      <c r="D212">
        <v>176</v>
      </c>
      <c r="E212">
        <v>19.242254674999998</v>
      </c>
      <c r="F212" s="4">
        <v>0.17499999999999999</v>
      </c>
      <c r="G212">
        <v>183</v>
      </c>
      <c r="H212">
        <v>40.212385280000007</v>
      </c>
      <c r="I212" s="4">
        <v>0.4</v>
      </c>
      <c r="K212" t="s">
        <v>229</v>
      </c>
      <c r="L212" s="4" t="s">
        <v>229</v>
      </c>
      <c r="M212" s="5">
        <v>59.454639955000005</v>
      </c>
      <c r="N212" s="5">
        <v>0.57499999999999996</v>
      </c>
      <c r="O212">
        <v>169</v>
      </c>
      <c r="P212">
        <v>42.725659360000009</v>
      </c>
      <c r="Q212" s="4">
        <v>0.4</v>
      </c>
      <c r="R212" s="5">
        <v>42.725659360000009</v>
      </c>
      <c r="S212" s="5">
        <v>0.4</v>
      </c>
      <c r="T212">
        <v>177</v>
      </c>
      <c r="U212">
        <v>2</v>
      </c>
      <c r="V212">
        <v>2</v>
      </c>
      <c r="W212">
        <v>1</v>
      </c>
      <c r="X212">
        <v>1.3915441176470587</v>
      </c>
      <c r="Y212">
        <v>0.21027777777777779</v>
      </c>
      <c r="Z212">
        <v>1.4374999999999998</v>
      </c>
      <c r="AA212">
        <v>0.76666666666666661</v>
      </c>
      <c r="AC212">
        <v>0.18267374517374518</v>
      </c>
      <c r="AD212">
        <f t="shared" si="5"/>
        <v>0.36534749034749037</v>
      </c>
    </row>
    <row r="213" spans="1:30" x14ac:dyDescent="0.25">
      <c r="A213">
        <v>4</v>
      </c>
      <c r="B213">
        <v>7.2158455031249993</v>
      </c>
      <c r="C213" s="4">
        <v>0.17499999999999999</v>
      </c>
      <c r="D213">
        <v>244</v>
      </c>
      <c r="E213">
        <v>11.545352804999998</v>
      </c>
      <c r="F213" s="4">
        <v>0.17499999999999999</v>
      </c>
      <c r="H213" t="s">
        <v>229</v>
      </c>
      <c r="I213" s="4" t="s">
        <v>229</v>
      </c>
      <c r="K213" t="s">
        <v>229</v>
      </c>
      <c r="L213" s="4" t="s">
        <v>229</v>
      </c>
      <c r="M213" s="5">
        <v>11.545352804999998</v>
      </c>
      <c r="N213" s="5">
        <v>0.17499999999999999</v>
      </c>
      <c r="O213">
        <v>3</v>
      </c>
      <c r="P213">
        <v>24.504422280000004</v>
      </c>
      <c r="Q213" s="4">
        <v>0.2</v>
      </c>
      <c r="R213" s="5">
        <v>24.504422280000004</v>
      </c>
      <c r="S213" s="5">
        <v>0.2</v>
      </c>
      <c r="T213">
        <v>4</v>
      </c>
      <c r="U213">
        <v>1</v>
      </c>
      <c r="V213">
        <v>1</v>
      </c>
      <c r="W213">
        <v>1</v>
      </c>
      <c r="X213">
        <v>0.47115384615384603</v>
      </c>
      <c r="Y213">
        <v>1.5999999999999999</v>
      </c>
      <c r="Z213">
        <v>0.87499999999999989</v>
      </c>
      <c r="AA213">
        <v>1</v>
      </c>
      <c r="AC213">
        <v>0.36397400185701012</v>
      </c>
      <c r="AD213">
        <f t="shared" si="5"/>
        <v>0.36397400185701012</v>
      </c>
    </row>
    <row r="214" spans="1:30" x14ac:dyDescent="0.25">
      <c r="A214">
        <v>306</v>
      </c>
      <c r="B214">
        <v>75.398222400000023</v>
      </c>
      <c r="C214" s="4">
        <v>0.4</v>
      </c>
      <c r="D214">
        <v>295</v>
      </c>
      <c r="E214">
        <v>16.964600040000001</v>
      </c>
      <c r="F214" s="4">
        <v>0.3</v>
      </c>
      <c r="G214">
        <v>2</v>
      </c>
      <c r="H214">
        <v>11.545352804999998</v>
      </c>
      <c r="I214" s="4">
        <v>0.17499999999999999</v>
      </c>
      <c r="K214" t="s">
        <v>229</v>
      </c>
      <c r="L214" s="4" t="s">
        <v>229</v>
      </c>
      <c r="M214" s="5">
        <v>28.509952845000001</v>
      </c>
      <c r="N214" s="5">
        <v>0.47499999999999998</v>
      </c>
      <c r="O214">
        <v>317</v>
      </c>
      <c r="P214">
        <v>85.451318720000017</v>
      </c>
      <c r="Q214" s="4">
        <v>0.4</v>
      </c>
      <c r="R214" s="5">
        <v>85.451318720000017</v>
      </c>
      <c r="S214" s="5">
        <v>0.4</v>
      </c>
      <c r="T214">
        <v>306</v>
      </c>
      <c r="U214">
        <v>2</v>
      </c>
      <c r="V214">
        <v>2</v>
      </c>
      <c r="W214">
        <v>1</v>
      </c>
      <c r="X214">
        <v>0.33363970588235287</v>
      </c>
      <c r="Y214">
        <v>0.37812499999999988</v>
      </c>
      <c r="Z214">
        <v>1.1874999999999998</v>
      </c>
      <c r="AA214">
        <v>1.1874999999999998</v>
      </c>
      <c r="AC214">
        <v>0.17724609374999997</v>
      </c>
      <c r="AD214">
        <f t="shared" si="5"/>
        <v>0.35449218749999994</v>
      </c>
    </row>
    <row r="215" spans="1:30" x14ac:dyDescent="0.25">
      <c r="A215">
        <v>166</v>
      </c>
      <c r="B215">
        <v>47.432943172025006</v>
      </c>
      <c r="C215" s="4">
        <v>0.26500000000000001</v>
      </c>
      <c r="D215">
        <v>165</v>
      </c>
      <c r="E215">
        <v>15.874860106874999</v>
      </c>
      <c r="F215" s="4">
        <v>0.17499999999999999</v>
      </c>
      <c r="G215">
        <v>172</v>
      </c>
      <c r="H215">
        <v>22.619466719999998</v>
      </c>
      <c r="I215" s="4">
        <v>0.3</v>
      </c>
      <c r="K215" t="s">
        <v>229</v>
      </c>
      <c r="L215" s="4" t="s">
        <v>229</v>
      </c>
      <c r="M215" s="5">
        <v>38.494326826874996</v>
      </c>
      <c r="N215" s="5">
        <v>0.47499999999999998</v>
      </c>
      <c r="O215">
        <v>167</v>
      </c>
      <c r="P215">
        <v>175.30086708000002</v>
      </c>
      <c r="Q215" s="4">
        <v>0.6</v>
      </c>
      <c r="R215" s="5">
        <v>175.30086708000002</v>
      </c>
      <c r="S215" s="5">
        <v>0.6</v>
      </c>
      <c r="T215">
        <v>166</v>
      </c>
      <c r="U215">
        <v>2</v>
      </c>
      <c r="V215">
        <v>2</v>
      </c>
      <c r="W215">
        <v>1</v>
      </c>
      <c r="X215">
        <v>0.21959005376344082</v>
      </c>
      <c r="Y215">
        <v>0.81155256774321727</v>
      </c>
      <c r="Z215">
        <v>0.79166666666666663</v>
      </c>
      <c r="AA215">
        <v>1.7924528301886791</v>
      </c>
      <c r="AC215">
        <v>0.17282659863501804</v>
      </c>
      <c r="AD215">
        <f t="shared" si="5"/>
        <v>0.34565319727003607</v>
      </c>
    </row>
    <row r="216" spans="1:30" x14ac:dyDescent="0.25">
      <c r="A216">
        <v>67</v>
      </c>
      <c r="B216">
        <v>17.649467226800002</v>
      </c>
      <c r="C216" s="4">
        <v>0.26500000000000001</v>
      </c>
      <c r="D216">
        <v>236</v>
      </c>
      <c r="E216">
        <v>26.474200840200002</v>
      </c>
      <c r="F216" s="4">
        <v>0.26500000000000001</v>
      </c>
      <c r="H216" t="s">
        <v>229</v>
      </c>
      <c r="I216" s="4" t="s">
        <v>229</v>
      </c>
      <c r="K216" t="s">
        <v>229</v>
      </c>
      <c r="L216" s="4" t="s">
        <v>229</v>
      </c>
      <c r="M216" s="5">
        <v>26.474200840200002</v>
      </c>
      <c r="N216" s="5">
        <v>0.26500000000000001</v>
      </c>
      <c r="O216">
        <v>69</v>
      </c>
      <c r="P216">
        <v>59.566951890450007</v>
      </c>
      <c r="Q216" s="4">
        <v>0.26500000000000001</v>
      </c>
      <c r="R216" s="5">
        <v>59.566951890450007</v>
      </c>
      <c r="S216" s="5">
        <v>0.26500000000000001</v>
      </c>
      <c r="T216">
        <v>67</v>
      </c>
      <c r="U216">
        <v>1</v>
      </c>
      <c r="V216">
        <v>1</v>
      </c>
      <c r="W216">
        <v>1</v>
      </c>
      <c r="X216">
        <v>0.44444444444444442</v>
      </c>
      <c r="Y216">
        <v>1.5</v>
      </c>
      <c r="Z216">
        <v>1</v>
      </c>
      <c r="AA216">
        <v>1</v>
      </c>
      <c r="AC216">
        <v>0.3428571428571428</v>
      </c>
      <c r="AD216">
        <f t="shared" si="5"/>
        <v>0.3428571428571428</v>
      </c>
    </row>
    <row r="217" spans="1:30" x14ac:dyDescent="0.25">
      <c r="A217">
        <v>117</v>
      </c>
      <c r="B217">
        <v>16.836972840624998</v>
      </c>
      <c r="C217" s="4">
        <v>0.17499999999999999</v>
      </c>
      <c r="D217">
        <v>436</v>
      </c>
      <c r="E217">
        <v>10.58324007125</v>
      </c>
      <c r="F217" s="4">
        <v>0.17499999999999999</v>
      </c>
      <c r="H217" t="s">
        <v>229</v>
      </c>
      <c r="I217" s="4" t="s">
        <v>229</v>
      </c>
      <c r="K217" t="s">
        <v>229</v>
      </c>
      <c r="L217" s="4" t="s">
        <v>229</v>
      </c>
      <c r="M217" s="5">
        <v>10.58324007125</v>
      </c>
      <c r="N217" s="5">
        <v>0.17499999999999999</v>
      </c>
      <c r="O217">
        <v>118</v>
      </c>
      <c r="P217">
        <v>14.431691006249999</v>
      </c>
      <c r="Q217" s="4">
        <v>0.17499999999999999</v>
      </c>
      <c r="R217" s="5">
        <v>14.431691006249999</v>
      </c>
      <c r="S217" s="5">
        <v>0.17499999999999999</v>
      </c>
      <c r="T217">
        <v>117</v>
      </c>
      <c r="U217">
        <v>1</v>
      </c>
      <c r="V217">
        <v>1</v>
      </c>
      <c r="W217">
        <v>1</v>
      </c>
      <c r="X217">
        <v>0.73333333333333339</v>
      </c>
      <c r="Y217">
        <v>0.62857142857142856</v>
      </c>
      <c r="Z217">
        <v>1</v>
      </c>
      <c r="AA217">
        <v>1</v>
      </c>
      <c r="AC217">
        <v>0.33846153846153848</v>
      </c>
      <c r="AD217">
        <f t="shared" si="5"/>
        <v>0.33846153846153848</v>
      </c>
    </row>
    <row r="218" spans="1:30" x14ac:dyDescent="0.25">
      <c r="A218">
        <v>119</v>
      </c>
      <c r="B218">
        <v>361.28314899999998</v>
      </c>
      <c r="C218" s="4">
        <v>1</v>
      </c>
      <c r="D218">
        <v>111</v>
      </c>
      <c r="E218">
        <v>12.566370400000004</v>
      </c>
      <c r="F218" s="4">
        <v>0.2</v>
      </c>
      <c r="G218">
        <v>118</v>
      </c>
      <c r="H218">
        <v>14.431691006249999</v>
      </c>
      <c r="I218" s="4">
        <v>0.17499999999999999</v>
      </c>
      <c r="J218">
        <v>277</v>
      </c>
      <c r="K218">
        <v>14.431691006249999</v>
      </c>
      <c r="L218" s="4">
        <v>0.17499999999999999</v>
      </c>
      <c r="M218" s="5">
        <v>41.429752412500001</v>
      </c>
      <c r="N218" s="5">
        <v>0.55000000000000004</v>
      </c>
      <c r="O218">
        <v>120</v>
      </c>
      <c r="P218">
        <v>10.681414840000002</v>
      </c>
      <c r="Q218" s="4">
        <v>0.2</v>
      </c>
      <c r="R218" s="5">
        <v>10.681414840000002</v>
      </c>
      <c r="S218" s="5">
        <v>0.2</v>
      </c>
      <c r="T218">
        <v>119</v>
      </c>
      <c r="U218">
        <v>3</v>
      </c>
      <c r="V218">
        <v>3</v>
      </c>
      <c r="W218">
        <v>1</v>
      </c>
      <c r="X218">
        <v>3.8786764705882346</v>
      </c>
      <c r="Y218">
        <v>0.11467391304347826</v>
      </c>
      <c r="Z218">
        <v>2.75</v>
      </c>
      <c r="AA218">
        <v>0.55000000000000004</v>
      </c>
      <c r="AC218">
        <v>0.11138091216216217</v>
      </c>
      <c r="AD218">
        <f t="shared" si="5"/>
        <v>0.33414273648648651</v>
      </c>
    </row>
    <row r="219" spans="1:30" x14ac:dyDescent="0.25">
      <c r="A219">
        <v>295</v>
      </c>
      <c r="B219">
        <v>16.964600040000001</v>
      </c>
      <c r="C219" s="4">
        <v>0.3</v>
      </c>
      <c r="D219">
        <v>284</v>
      </c>
      <c r="E219">
        <v>3.7699111200000006</v>
      </c>
      <c r="F219" s="4">
        <v>0.2</v>
      </c>
      <c r="G219">
        <v>266</v>
      </c>
      <c r="H219">
        <v>11.545352804999998</v>
      </c>
      <c r="I219" s="4">
        <v>0.17499999999999999</v>
      </c>
      <c r="K219" t="s">
        <v>229</v>
      </c>
      <c r="L219" s="4" t="s">
        <v>229</v>
      </c>
      <c r="M219" s="5">
        <v>15.315263925</v>
      </c>
      <c r="N219" s="5">
        <v>0.375</v>
      </c>
      <c r="O219">
        <v>306</v>
      </c>
      <c r="P219">
        <v>75.398222400000023</v>
      </c>
      <c r="Q219" s="4">
        <v>0.4</v>
      </c>
      <c r="R219" s="5">
        <v>75.398222400000023</v>
      </c>
      <c r="S219" s="5">
        <v>0.4</v>
      </c>
      <c r="T219">
        <v>295</v>
      </c>
      <c r="U219">
        <v>2</v>
      </c>
      <c r="V219">
        <v>2</v>
      </c>
      <c r="W219">
        <v>1</v>
      </c>
      <c r="X219">
        <v>0.20312499999999994</v>
      </c>
      <c r="Y219">
        <v>0.90277777777777779</v>
      </c>
      <c r="Z219">
        <v>0.9375</v>
      </c>
      <c r="AA219">
        <v>1.25</v>
      </c>
      <c r="AC219">
        <v>0.16581632653061218</v>
      </c>
      <c r="AD219">
        <f t="shared" si="5"/>
        <v>0.33163265306122436</v>
      </c>
    </row>
    <row r="220" spans="1:30" x14ac:dyDescent="0.25">
      <c r="A220">
        <v>49</v>
      </c>
      <c r="B220">
        <v>21.647536509374998</v>
      </c>
      <c r="C220" s="4">
        <v>0.17499999999999999</v>
      </c>
      <c r="D220">
        <v>375</v>
      </c>
      <c r="E220">
        <v>7.6969018699999987</v>
      </c>
      <c r="F220" s="4">
        <v>0.17499999999999999</v>
      </c>
      <c r="G220">
        <v>22</v>
      </c>
      <c r="H220">
        <v>24.052818343749998</v>
      </c>
      <c r="I220" s="4">
        <v>0.17499999999999999</v>
      </c>
      <c r="K220" t="s">
        <v>229</v>
      </c>
      <c r="L220" s="4" t="s">
        <v>229</v>
      </c>
      <c r="M220" s="5">
        <v>31.749720213749995</v>
      </c>
      <c r="N220" s="5">
        <v>0.35</v>
      </c>
      <c r="O220">
        <v>88</v>
      </c>
      <c r="P220">
        <v>172.78759300000002</v>
      </c>
      <c r="Q220" s="4">
        <v>0.5</v>
      </c>
      <c r="R220" s="5">
        <v>172.78759300000002</v>
      </c>
      <c r="S220" s="5">
        <v>0.5</v>
      </c>
      <c r="T220">
        <v>49</v>
      </c>
      <c r="U220">
        <v>2</v>
      </c>
      <c r="V220">
        <v>2</v>
      </c>
      <c r="W220">
        <v>1</v>
      </c>
      <c r="X220">
        <v>0.18374999999999997</v>
      </c>
      <c r="Y220">
        <v>1.4666666666666666</v>
      </c>
      <c r="Z220">
        <v>0.7</v>
      </c>
      <c r="AA220">
        <v>2</v>
      </c>
      <c r="AC220">
        <v>0.16329209795506183</v>
      </c>
      <c r="AD220">
        <f t="shared" si="5"/>
        <v>0.32658419591012366</v>
      </c>
    </row>
    <row r="221" spans="1:30" x14ac:dyDescent="0.25">
      <c r="A221">
        <v>287</v>
      </c>
      <c r="B221">
        <v>14.431691006249999</v>
      </c>
      <c r="C221" s="4">
        <v>0.17499999999999999</v>
      </c>
      <c r="D221">
        <v>491</v>
      </c>
      <c r="E221">
        <v>7.2158455031249993</v>
      </c>
      <c r="F221" s="4">
        <v>0.17499999999999999</v>
      </c>
      <c r="H221" t="s">
        <v>229</v>
      </c>
      <c r="I221" s="4" t="s">
        <v>229</v>
      </c>
      <c r="K221" t="s">
        <v>229</v>
      </c>
      <c r="L221" s="4" t="s">
        <v>229</v>
      </c>
      <c r="M221" s="5">
        <v>7.2158455031249993</v>
      </c>
      <c r="N221" s="5">
        <v>0.17499999999999999</v>
      </c>
      <c r="O221">
        <v>294</v>
      </c>
      <c r="P221">
        <v>7.6969018699999987</v>
      </c>
      <c r="Q221" s="4">
        <v>0.17499999999999999</v>
      </c>
      <c r="R221" s="5">
        <v>7.6969018699999987</v>
      </c>
      <c r="S221" s="5">
        <v>0.17499999999999999</v>
      </c>
      <c r="T221">
        <v>287</v>
      </c>
      <c r="U221">
        <v>1</v>
      </c>
      <c r="V221">
        <v>1</v>
      </c>
      <c r="W221">
        <v>1</v>
      </c>
      <c r="X221">
        <v>0.93750000000000011</v>
      </c>
      <c r="Y221">
        <v>0.5</v>
      </c>
      <c r="Z221">
        <v>1</v>
      </c>
      <c r="AA221">
        <v>1</v>
      </c>
      <c r="AC221">
        <v>0.32608695652173914</v>
      </c>
      <c r="AD221">
        <f t="shared" si="5"/>
        <v>0.32608695652173914</v>
      </c>
    </row>
    <row r="222" spans="1:30" x14ac:dyDescent="0.25">
      <c r="A222">
        <v>133</v>
      </c>
      <c r="B222">
        <v>273.90760481250004</v>
      </c>
      <c r="C222" s="4">
        <v>0.75</v>
      </c>
      <c r="D222">
        <v>132</v>
      </c>
      <c r="E222">
        <v>175.30086708000002</v>
      </c>
      <c r="F222" s="4">
        <v>0.6</v>
      </c>
      <c r="H222" t="s">
        <v>229</v>
      </c>
      <c r="I222" s="4" t="s">
        <v>229</v>
      </c>
      <c r="K222" t="s">
        <v>229</v>
      </c>
      <c r="L222" s="4" t="s">
        <v>229</v>
      </c>
      <c r="M222" s="5">
        <v>175.30086708000002</v>
      </c>
      <c r="N222" s="5">
        <v>0.6</v>
      </c>
      <c r="O222">
        <v>134</v>
      </c>
      <c r="P222">
        <v>273.90760481250004</v>
      </c>
      <c r="Q222" s="4">
        <v>0.75</v>
      </c>
      <c r="R222" s="5">
        <v>273.90760481250004</v>
      </c>
      <c r="S222" s="5">
        <v>0.75</v>
      </c>
      <c r="T222">
        <v>133</v>
      </c>
      <c r="U222">
        <v>1</v>
      </c>
      <c r="V222">
        <v>1</v>
      </c>
      <c r="W222">
        <v>1</v>
      </c>
      <c r="X222">
        <v>0.64</v>
      </c>
      <c r="Y222">
        <v>0.64</v>
      </c>
      <c r="Z222">
        <v>0.79999999999999993</v>
      </c>
      <c r="AA222">
        <v>0.79999999999999993</v>
      </c>
      <c r="AC222">
        <v>0.32</v>
      </c>
      <c r="AD222">
        <f t="shared" si="5"/>
        <v>0.32</v>
      </c>
    </row>
    <row r="223" spans="1:30" x14ac:dyDescent="0.25">
      <c r="A223">
        <v>157</v>
      </c>
      <c r="B223">
        <v>12.988521905624998</v>
      </c>
      <c r="C223" s="4">
        <v>0.17499999999999999</v>
      </c>
      <c r="D223">
        <v>383</v>
      </c>
      <c r="E223">
        <v>9.621127337499999</v>
      </c>
      <c r="F223" s="4">
        <v>0.17499999999999999</v>
      </c>
      <c r="H223" t="s">
        <v>229</v>
      </c>
      <c r="I223" s="4" t="s">
        <v>229</v>
      </c>
      <c r="K223" t="s">
        <v>229</v>
      </c>
      <c r="L223" s="4" t="s">
        <v>229</v>
      </c>
      <c r="M223" s="5">
        <v>9.621127337499999</v>
      </c>
      <c r="N223" s="5">
        <v>0.17499999999999999</v>
      </c>
      <c r="O223">
        <v>257</v>
      </c>
      <c r="P223">
        <v>17.649467226800002</v>
      </c>
      <c r="Q223" s="4">
        <v>0.26500000000000001</v>
      </c>
      <c r="R223" s="5">
        <v>17.649467226800002</v>
      </c>
      <c r="S223" s="5">
        <v>0.26500000000000001</v>
      </c>
      <c r="T223">
        <v>157</v>
      </c>
      <c r="U223">
        <v>1</v>
      </c>
      <c r="V223">
        <v>1</v>
      </c>
      <c r="W223">
        <v>1</v>
      </c>
      <c r="X223">
        <v>0.54512281950872188</v>
      </c>
      <c r="Y223">
        <v>0.74074074074074081</v>
      </c>
      <c r="Z223">
        <v>0.660377358490566</v>
      </c>
      <c r="AA223">
        <v>1</v>
      </c>
      <c r="AC223">
        <v>0.31402607057255283</v>
      </c>
      <c r="AD223">
        <f t="shared" si="5"/>
        <v>0.31402607057255283</v>
      </c>
    </row>
    <row r="224" spans="1:30" x14ac:dyDescent="0.25">
      <c r="A224">
        <v>88</v>
      </c>
      <c r="B224">
        <v>172.78759300000002</v>
      </c>
      <c r="C224" s="4">
        <v>0.5</v>
      </c>
      <c r="D224">
        <v>420</v>
      </c>
      <c r="E224">
        <v>7.6969018699999987</v>
      </c>
      <c r="F224" s="4">
        <v>0.17499999999999999</v>
      </c>
      <c r="G224">
        <v>49</v>
      </c>
      <c r="H224">
        <v>21.647536509374998</v>
      </c>
      <c r="I224" s="4">
        <v>0.17499999999999999</v>
      </c>
      <c r="K224" t="s">
        <v>229</v>
      </c>
      <c r="L224" s="4" t="s">
        <v>229</v>
      </c>
      <c r="M224" s="5">
        <v>29.344438379374996</v>
      </c>
      <c r="N224" s="5">
        <v>0.35</v>
      </c>
      <c r="O224">
        <v>150</v>
      </c>
      <c r="P224">
        <v>19.242254674999998</v>
      </c>
      <c r="Q224" s="4">
        <v>0.17499999999999999</v>
      </c>
      <c r="R224" s="5">
        <v>19.242254674999998</v>
      </c>
      <c r="S224" s="5">
        <v>0.17499999999999999</v>
      </c>
      <c r="T224">
        <v>88</v>
      </c>
      <c r="U224">
        <v>2</v>
      </c>
      <c r="V224">
        <v>2</v>
      </c>
      <c r="W224">
        <v>1</v>
      </c>
      <c r="X224">
        <v>1.5249999999999999</v>
      </c>
      <c r="Y224">
        <v>0.16982954545454543</v>
      </c>
      <c r="Z224">
        <v>2</v>
      </c>
      <c r="AA224">
        <v>0.7</v>
      </c>
      <c r="AC224">
        <v>0.15281186094069527</v>
      </c>
      <c r="AD224">
        <f t="shared" si="5"/>
        <v>0.30562372188139053</v>
      </c>
    </row>
    <row r="225" spans="1:30" x14ac:dyDescent="0.25">
      <c r="A225">
        <v>9</v>
      </c>
      <c r="B225">
        <v>14.431691006249999</v>
      </c>
      <c r="C225" s="4">
        <v>0.17499999999999999</v>
      </c>
      <c r="D225">
        <v>353</v>
      </c>
      <c r="E225">
        <v>7.2158455031249993</v>
      </c>
      <c r="F225" s="4">
        <v>0.17499999999999999</v>
      </c>
      <c r="G225">
        <v>239</v>
      </c>
      <c r="H225">
        <v>11.545352804999998</v>
      </c>
      <c r="I225" s="4">
        <v>0.17499999999999999</v>
      </c>
      <c r="J225">
        <v>10</v>
      </c>
      <c r="K225">
        <v>7.2158455031249993</v>
      </c>
      <c r="L225" s="4">
        <v>0.17499999999999999</v>
      </c>
      <c r="M225" s="5">
        <v>25.977043811249995</v>
      </c>
      <c r="N225" s="5">
        <v>0.52499999999999991</v>
      </c>
      <c r="O225">
        <v>15</v>
      </c>
      <c r="P225">
        <v>251.32740799999999</v>
      </c>
      <c r="Q225" s="4">
        <v>1</v>
      </c>
      <c r="R225" s="5">
        <v>251.32740799999999</v>
      </c>
      <c r="S225" s="5">
        <v>1</v>
      </c>
      <c r="T225">
        <v>9</v>
      </c>
      <c r="U225">
        <v>3</v>
      </c>
      <c r="V225">
        <v>3</v>
      </c>
      <c r="W225">
        <v>1</v>
      </c>
      <c r="X225">
        <v>0.10335937499999999</v>
      </c>
      <c r="Y225">
        <v>1.7999999999999998</v>
      </c>
      <c r="Z225">
        <v>0.52499999999999991</v>
      </c>
      <c r="AA225">
        <v>2.9999999999999996</v>
      </c>
      <c r="AC225">
        <v>9.7746582933136303E-2</v>
      </c>
      <c r="AD225">
        <f t="shared" si="5"/>
        <v>0.29323974879940889</v>
      </c>
    </row>
    <row r="226" spans="1:30" x14ac:dyDescent="0.25">
      <c r="A226">
        <v>113</v>
      </c>
      <c r="B226">
        <v>25.446900060000001</v>
      </c>
      <c r="C226" s="4">
        <v>0.3</v>
      </c>
      <c r="D226">
        <v>101</v>
      </c>
      <c r="E226">
        <v>19.855650630150002</v>
      </c>
      <c r="F226" s="4">
        <v>0.26500000000000001</v>
      </c>
      <c r="H226" t="s">
        <v>229</v>
      </c>
      <c r="I226" s="4" t="s">
        <v>229</v>
      </c>
      <c r="K226" t="s">
        <v>229</v>
      </c>
      <c r="L226" s="4" t="s">
        <v>229</v>
      </c>
      <c r="M226" s="5">
        <v>19.855650630150002</v>
      </c>
      <c r="N226" s="5">
        <v>0.26500000000000001</v>
      </c>
      <c r="O226">
        <v>281</v>
      </c>
      <c r="P226">
        <v>42.411500099999998</v>
      </c>
      <c r="Q226" s="4">
        <v>0.3</v>
      </c>
      <c r="R226" s="5">
        <v>42.411500099999998</v>
      </c>
      <c r="S226" s="5">
        <v>0.3</v>
      </c>
      <c r="T226">
        <v>113</v>
      </c>
      <c r="U226">
        <v>1</v>
      </c>
      <c r="V226">
        <v>1</v>
      </c>
      <c r="W226">
        <v>1</v>
      </c>
      <c r="X226">
        <v>0.46816666666666673</v>
      </c>
      <c r="Y226">
        <v>0.78027777777777785</v>
      </c>
      <c r="Z226">
        <v>0.88333333333333341</v>
      </c>
      <c r="AA226">
        <v>0.88333333333333341</v>
      </c>
      <c r="AC226">
        <v>0.29260416666666667</v>
      </c>
      <c r="AD226">
        <f t="shared" si="5"/>
        <v>0.29260416666666667</v>
      </c>
    </row>
    <row r="227" spans="1:30" x14ac:dyDescent="0.25">
      <c r="A227">
        <v>345</v>
      </c>
      <c r="B227">
        <v>37.699111200000011</v>
      </c>
      <c r="C227" s="4">
        <v>0.4</v>
      </c>
      <c r="D227">
        <v>528</v>
      </c>
      <c r="E227">
        <v>7.2158455031249993</v>
      </c>
      <c r="F227" s="4">
        <v>0.17499999999999999</v>
      </c>
      <c r="G227">
        <v>251</v>
      </c>
      <c r="H227">
        <v>15.079644480000002</v>
      </c>
      <c r="I227" s="4">
        <v>0.2</v>
      </c>
      <c r="K227" t="s">
        <v>229</v>
      </c>
      <c r="L227" s="4" t="s">
        <v>229</v>
      </c>
      <c r="M227" s="5">
        <v>22.295489983125002</v>
      </c>
      <c r="N227" s="5">
        <v>0.375</v>
      </c>
      <c r="O227">
        <v>346</v>
      </c>
      <c r="P227">
        <v>115.61060768000002</v>
      </c>
      <c r="Q227" s="4">
        <v>0.4</v>
      </c>
      <c r="R227" s="5">
        <v>115.61060768000002</v>
      </c>
      <c r="S227" s="5">
        <v>0.4</v>
      </c>
      <c r="T227">
        <v>345</v>
      </c>
      <c r="U227">
        <v>2</v>
      </c>
      <c r="V227">
        <v>2</v>
      </c>
      <c r="W227">
        <v>1</v>
      </c>
      <c r="X227">
        <v>0.19284986413043478</v>
      </c>
      <c r="Y227">
        <v>0.59140624999999991</v>
      </c>
      <c r="Z227">
        <v>0.9375</v>
      </c>
      <c r="AA227">
        <v>0.9375</v>
      </c>
      <c r="AC227">
        <v>0.14542776639344263</v>
      </c>
      <c r="AD227">
        <f t="shared" si="5"/>
        <v>0.29085553278688525</v>
      </c>
    </row>
    <row r="228" spans="1:30" x14ac:dyDescent="0.25">
      <c r="A228">
        <v>291</v>
      </c>
      <c r="B228">
        <v>65.345126080000014</v>
      </c>
      <c r="C228" s="4">
        <v>0.4</v>
      </c>
      <c r="D228">
        <v>328</v>
      </c>
      <c r="E228">
        <v>55.292029760000013</v>
      </c>
      <c r="F228" s="4">
        <v>0.4</v>
      </c>
      <c r="H228" t="s">
        <v>229</v>
      </c>
      <c r="I228" s="4" t="s">
        <v>229</v>
      </c>
      <c r="K228" t="s">
        <v>229</v>
      </c>
      <c r="L228" s="4" t="s">
        <v>229</v>
      </c>
      <c r="M228" s="5">
        <v>55.292029760000013</v>
      </c>
      <c r="N228" s="5">
        <v>0.4</v>
      </c>
      <c r="O228">
        <v>290</v>
      </c>
      <c r="P228">
        <v>125.663704</v>
      </c>
      <c r="Q228" s="4">
        <v>0.5</v>
      </c>
      <c r="R228" s="5">
        <v>125.663704</v>
      </c>
      <c r="S228" s="5">
        <v>0.5</v>
      </c>
      <c r="T228">
        <v>291</v>
      </c>
      <c r="U228">
        <v>1</v>
      </c>
      <c r="V228">
        <v>1</v>
      </c>
      <c r="W228">
        <v>1</v>
      </c>
      <c r="X228">
        <v>0.44000000000000011</v>
      </c>
      <c r="Y228">
        <v>0.84615384615384615</v>
      </c>
      <c r="Z228">
        <v>0.8</v>
      </c>
      <c r="AA228">
        <v>1</v>
      </c>
      <c r="AC228">
        <v>0.28947368421052638</v>
      </c>
      <c r="AD228">
        <f t="shared" si="5"/>
        <v>0.28947368421052638</v>
      </c>
    </row>
    <row r="229" spans="1:30" x14ac:dyDescent="0.25">
      <c r="A229">
        <v>57</v>
      </c>
      <c r="B229">
        <v>17.649467226800002</v>
      </c>
      <c r="C229" s="4">
        <v>0.26500000000000001</v>
      </c>
      <c r="D229">
        <v>46</v>
      </c>
      <c r="E229">
        <v>10.053096320000002</v>
      </c>
      <c r="F229" s="4">
        <v>0.2</v>
      </c>
      <c r="H229" t="s">
        <v>229</v>
      </c>
      <c r="I229" s="4" t="s">
        <v>229</v>
      </c>
      <c r="K229" t="s">
        <v>229</v>
      </c>
      <c r="L229" s="4" t="s">
        <v>229</v>
      </c>
      <c r="M229" s="5">
        <v>10.053096320000002</v>
      </c>
      <c r="N229" s="5">
        <v>0.2</v>
      </c>
      <c r="O229">
        <v>68</v>
      </c>
      <c r="P229">
        <v>17.649467226800002</v>
      </c>
      <c r="Q229" s="4">
        <v>0.26500000000000001</v>
      </c>
      <c r="R229" s="5">
        <v>17.649467226800002</v>
      </c>
      <c r="S229" s="5">
        <v>0.26500000000000001</v>
      </c>
      <c r="T229">
        <v>57</v>
      </c>
      <c r="U229">
        <v>1</v>
      </c>
      <c r="V229">
        <v>1</v>
      </c>
      <c r="W229">
        <v>1</v>
      </c>
      <c r="X229">
        <v>0.56959772160911359</v>
      </c>
      <c r="Y229">
        <v>0.56959772160911359</v>
      </c>
      <c r="Z229">
        <v>0.75471698113207553</v>
      </c>
      <c r="AA229">
        <v>0.75471698113207553</v>
      </c>
      <c r="AC229">
        <v>0.2847988608045568</v>
      </c>
      <c r="AD229">
        <f t="shared" si="5"/>
        <v>0.2847988608045568</v>
      </c>
    </row>
    <row r="230" spans="1:30" x14ac:dyDescent="0.25">
      <c r="A230">
        <v>296</v>
      </c>
      <c r="B230">
        <v>22.619466720000005</v>
      </c>
      <c r="C230" s="4">
        <v>0.2</v>
      </c>
      <c r="D230">
        <v>494</v>
      </c>
      <c r="E230">
        <v>15.393803739999997</v>
      </c>
      <c r="F230" s="4">
        <v>0.17499999999999999</v>
      </c>
      <c r="G230">
        <v>489</v>
      </c>
      <c r="H230">
        <v>14.431691006249999</v>
      </c>
      <c r="I230" s="4">
        <v>0.17499999999999999</v>
      </c>
      <c r="K230" t="s">
        <v>229</v>
      </c>
      <c r="L230" s="4" t="s">
        <v>229</v>
      </c>
      <c r="M230" s="5">
        <v>29.825494746249994</v>
      </c>
      <c r="N230" s="5">
        <v>0.35</v>
      </c>
      <c r="O230">
        <v>304</v>
      </c>
      <c r="P230">
        <v>192.26546711999998</v>
      </c>
      <c r="Q230" s="4">
        <v>0.6</v>
      </c>
      <c r="R230" s="5">
        <v>192.26546711999998</v>
      </c>
      <c r="S230" s="5">
        <v>0.6</v>
      </c>
      <c r="T230">
        <v>296</v>
      </c>
      <c r="U230">
        <v>2</v>
      </c>
      <c r="V230">
        <v>2</v>
      </c>
      <c r="W230">
        <v>1</v>
      </c>
      <c r="X230">
        <v>0.15512663398692808</v>
      </c>
      <c r="Y230">
        <v>1.3185763888888884</v>
      </c>
      <c r="Z230">
        <v>0.58333333333333337</v>
      </c>
      <c r="AA230">
        <v>1.7499999999999998</v>
      </c>
      <c r="AC230">
        <v>0.13879751461988304</v>
      </c>
      <c r="AD230">
        <f t="shared" si="5"/>
        <v>0.27759502923976609</v>
      </c>
    </row>
    <row r="231" spans="1:30" x14ac:dyDescent="0.25">
      <c r="A231">
        <v>25</v>
      </c>
      <c r="B231">
        <v>424.11500100000001</v>
      </c>
      <c r="C231" s="4">
        <v>0.75</v>
      </c>
      <c r="D231">
        <v>26</v>
      </c>
      <c r="E231">
        <v>70.685833500000001</v>
      </c>
      <c r="F231" s="4">
        <v>0.75</v>
      </c>
      <c r="G231">
        <v>366</v>
      </c>
      <c r="H231">
        <v>7.6969018699999987</v>
      </c>
      <c r="I231" s="4">
        <v>0.17499999999999999</v>
      </c>
      <c r="K231" t="s">
        <v>229</v>
      </c>
      <c r="L231" s="4" t="s">
        <v>229</v>
      </c>
      <c r="M231" s="5">
        <v>78.382735370000006</v>
      </c>
      <c r="N231" s="5">
        <v>0.92500000000000004</v>
      </c>
      <c r="O231">
        <v>47</v>
      </c>
      <c r="P231">
        <v>141.371667</v>
      </c>
      <c r="Q231" s="4">
        <v>0.75</v>
      </c>
      <c r="R231" s="5">
        <v>141.371667</v>
      </c>
      <c r="S231" s="5">
        <v>0.75</v>
      </c>
      <c r="T231">
        <v>25</v>
      </c>
      <c r="U231">
        <v>2</v>
      </c>
      <c r="V231">
        <v>2</v>
      </c>
      <c r="W231">
        <v>1</v>
      </c>
      <c r="X231">
        <v>0.55444444444444452</v>
      </c>
      <c r="Y231">
        <v>0.18481481481481482</v>
      </c>
      <c r="Z231">
        <v>1.2333333333333334</v>
      </c>
      <c r="AA231">
        <v>1.2333333333333334</v>
      </c>
      <c r="AC231">
        <v>0.13861111111111113</v>
      </c>
      <c r="AD231">
        <f t="shared" si="5"/>
        <v>0.27722222222222226</v>
      </c>
    </row>
    <row r="232" spans="1:30" x14ac:dyDescent="0.25">
      <c r="A232">
        <v>294</v>
      </c>
      <c r="B232">
        <v>7.6969018699999987</v>
      </c>
      <c r="C232" s="4">
        <v>0.17499999999999999</v>
      </c>
      <c r="D232">
        <v>493</v>
      </c>
      <c r="E232">
        <v>14.431691006249999</v>
      </c>
      <c r="F232" s="4">
        <v>0.17499999999999999</v>
      </c>
      <c r="G232">
        <v>287</v>
      </c>
      <c r="H232">
        <v>14.431691006249999</v>
      </c>
      <c r="I232" s="4">
        <v>0.17499999999999999</v>
      </c>
      <c r="K232" t="s">
        <v>229</v>
      </c>
      <c r="L232" s="4" t="s">
        <v>229</v>
      </c>
      <c r="M232" s="5">
        <v>28.863382012499997</v>
      </c>
      <c r="N232" s="5">
        <v>0.35</v>
      </c>
      <c r="O232">
        <v>305</v>
      </c>
      <c r="P232">
        <v>203.57520048000001</v>
      </c>
      <c r="Q232" s="4">
        <v>0.6</v>
      </c>
      <c r="R232" s="5">
        <v>203.57520048000001</v>
      </c>
      <c r="S232" s="5">
        <v>0.6</v>
      </c>
      <c r="T232">
        <v>294</v>
      </c>
      <c r="U232">
        <v>2</v>
      </c>
      <c r="V232">
        <v>2</v>
      </c>
      <c r="W232">
        <v>1</v>
      </c>
      <c r="X232">
        <v>0.14178240740740738</v>
      </c>
      <c r="Y232">
        <v>3.7500000000000004</v>
      </c>
      <c r="Z232">
        <v>0.58333333333333337</v>
      </c>
      <c r="AA232">
        <v>2</v>
      </c>
      <c r="AC232">
        <v>0.13661710037174718</v>
      </c>
      <c r="AD232">
        <f t="shared" si="5"/>
        <v>0.27323420074349436</v>
      </c>
    </row>
    <row r="233" spans="1:30" x14ac:dyDescent="0.25">
      <c r="A233">
        <v>342</v>
      </c>
      <c r="B233">
        <v>20.106192640000003</v>
      </c>
      <c r="C233" s="4">
        <v>0.4</v>
      </c>
      <c r="D233">
        <v>341</v>
      </c>
      <c r="E233">
        <v>17.649467226800002</v>
      </c>
      <c r="F233" s="4">
        <v>0.26500000000000001</v>
      </c>
      <c r="H233" t="s">
        <v>229</v>
      </c>
      <c r="I233" s="4" t="s">
        <v>229</v>
      </c>
      <c r="K233" t="s">
        <v>229</v>
      </c>
      <c r="L233" s="4" t="s">
        <v>229</v>
      </c>
      <c r="M233" s="5">
        <v>17.649467226800002</v>
      </c>
      <c r="N233" s="5">
        <v>0.26500000000000001</v>
      </c>
      <c r="O233">
        <v>343</v>
      </c>
      <c r="P233">
        <v>45.238933439999997</v>
      </c>
      <c r="Q233" s="4">
        <v>0.6</v>
      </c>
      <c r="R233" s="5">
        <v>45.238933439999997</v>
      </c>
      <c r="S233" s="5">
        <v>0.6</v>
      </c>
      <c r="T233">
        <v>342</v>
      </c>
      <c r="U233">
        <v>1</v>
      </c>
      <c r="V233">
        <v>1</v>
      </c>
      <c r="W233">
        <v>1</v>
      </c>
      <c r="X233">
        <v>0.39013888888888898</v>
      </c>
      <c r="Y233">
        <v>0.8778125</v>
      </c>
      <c r="Z233">
        <v>0.44166666666666671</v>
      </c>
      <c r="AA233">
        <v>0.66249999999999998</v>
      </c>
      <c r="AC233">
        <v>0.27009615384615387</v>
      </c>
      <c r="AD233">
        <f t="shared" si="5"/>
        <v>0.27009615384615387</v>
      </c>
    </row>
    <row r="234" spans="1:30" x14ac:dyDescent="0.25">
      <c r="A234">
        <v>61</v>
      </c>
      <c r="B234">
        <v>7.6969018699999987</v>
      </c>
      <c r="C234" s="4">
        <v>0.17499999999999999</v>
      </c>
      <c r="D234">
        <v>388</v>
      </c>
      <c r="E234">
        <v>25.977043811249995</v>
      </c>
      <c r="F234" s="4">
        <v>0.17499999999999999</v>
      </c>
      <c r="H234" t="s">
        <v>229</v>
      </c>
      <c r="I234" s="4" t="s">
        <v>229</v>
      </c>
      <c r="K234" t="s">
        <v>229</v>
      </c>
      <c r="L234" s="4" t="s">
        <v>229</v>
      </c>
      <c r="M234" s="5">
        <v>25.977043811249995</v>
      </c>
      <c r="N234" s="5">
        <v>0.17499999999999999</v>
      </c>
      <c r="O234">
        <v>60</v>
      </c>
      <c r="P234">
        <v>90.477866880000022</v>
      </c>
      <c r="Q234" s="4">
        <v>0.4</v>
      </c>
      <c r="R234" s="5">
        <v>90.477866880000022</v>
      </c>
      <c r="S234" s="5">
        <v>0.4</v>
      </c>
      <c r="T234">
        <v>61</v>
      </c>
      <c r="U234">
        <v>1</v>
      </c>
      <c r="V234">
        <v>1</v>
      </c>
      <c r="W234">
        <v>1</v>
      </c>
      <c r="X234">
        <v>0.28710937499999989</v>
      </c>
      <c r="Y234">
        <v>3.375</v>
      </c>
      <c r="Z234">
        <v>0.43749999999999994</v>
      </c>
      <c r="AA234">
        <v>1</v>
      </c>
      <c r="AC234">
        <v>0.26459999999999989</v>
      </c>
      <c r="AD234">
        <f t="shared" si="5"/>
        <v>0.26459999999999989</v>
      </c>
    </row>
    <row r="235" spans="1:30" x14ac:dyDescent="0.25">
      <c r="A235">
        <v>228</v>
      </c>
      <c r="B235">
        <v>16.836972840624998</v>
      </c>
      <c r="C235" s="4">
        <v>0.17499999999999999</v>
      </c>
      <c r="D235">
        <v>480</v>
      </c>
      <c r="E235">
        <v>16.836972840624998</v>
      </c>
      <c r="F235" s="4">
        <v>0.17499999999999999</v>
      </c>
      <c r="H235" t="s">
        <v>229</v>
      </c>
      <c r="I235" s="4" t="s">
        <v>229</v>
      </c>
      <c r="K235" t="s">
        <v>229</v>
      </c>
      <c r="L235" s="4" t="s">
        <v>229</v>
      </c>
      <c r="M235" s="5">
        <v>16.836972840624998</v>
      </c>
      <c r="N235" s="5">
        <v>0.17499999999999999</v>
      </c>
      <c r="O235">
        <v>229</v>
      </c>
      <c r="P235">
        <v>47.432943172025006</v>
      </c>
      <c r="Q235" s="4">
        <v>0.26500000000000001</v>
      </c>
      <c r="R235" s="5">
        <v>47.432943172025006</v>
      </c>
      <c r="S235" s="5">
        <v>0.26500000000000001</v>
      </c>
      <c r="T235">
        <v>228</v>
      </c>
      <c r="U235">
        <v>1</v>
      </c>
      <c r="V235">
        <v>1</v>
      </c>
      <c r="W235">
        <v>1</v>
      </c>
      <c r="X235">
        <v>0.35496369642428399</v>
      </c>
      <c r="Y235">
        <v>1</v>
      </c>
      <c r="Z235">
        <v>0.660377358490566</v>
      </c>
      <c r="AA235">
        <v>1</v>
      </c>
      <c r="AC235">
        <v>0.26197284647627422</v>
      </c>
      <c r="AD235">
        <f t="shared" si="5"/>
        <v>0.26197284647627422</v>
      </c>
    </row>
    <row r="236" spans="1:30" x14ac:dyDescent="0.25">
      <c r="A236">
        <v>79</v>
      </c>
      <c r="B236">
        <v>33.092751050250008</v>
      </c>
      <c r="C236" s="4">
        <v>0.26500000000000001</v>
      </c>
      <c r="D236">
        <v>68</v>
      </c>
      <c r="E236">
        <v>17.649467226800002</v>
      </c>
      <c r="F236" s="4">
        <v>0.26500000000000001</v>
      </c>
      <c r="H236" t="s">
        <v>229</v>
      </c>
      <c r="I236" s="4" t="s">
        <v>229</v>
      </c>
      <c r="K236" t="s">
        <v>229</v>
      </c>
      <c r="L236" s="4" t="s">
        <v>229</v>
      </c>
      <c r="M236" s="5">
        <v>17.649467226800002</v>
      </c>
      <c r="N236" s="5">
        <v>0.26500000000000001</v>
      </c>
      <c r="O236">
        <v>90</v>
      </c>
      <c r="P236">
        <v>35.298934453600005</v>
      </c>
      <c r="Q236" s="4">
        <v>0.26500000000000001</v>
      </c>
      <c r="R236" s="5">
        <v>35.298934453600005</v>
      </c>
      <c r="S236" s="5">
        <v>0.26500000000000001</v>
      </c>
      <c r="T236">
        <v>79</v>
      </c>
      <c r="U236">
        <v>1</v>
      </c>
      <c r="V236">
        <v>1</v>
      </c>
      <c r="W236">
        <v>1</v>
      </c>
      <c r="X236">
        <v>0.5</v>
      </c>
      <c r="Y236">
        <v>0.53333333333333321</v>
      </c>
      <c r="Z236">
        <v>1</v>
      </c>
      <c r="AA236">
        <v>1</v>
      </c>
      <c r="AC236">
        <v>0.25806451612903225</v>
      </c>
      <c r="AD236">
        <f t="shared" si="5"/>
        <v>0.25806451612903225</v>
      </c>
    </row>
    <row r="237" spans="1:30" x14ac:dyDescent="0.25">
      <c r="A237">
        <v>97</v>
      </c>
      <c r="B237">
        <v>203.57520048000001</v>
      </c>
      <c r="C237" s="4">
        <v>0.9</v>
      </c>
      <c r="D237">
        <v>428</v>
      </c>
      <c r="E237">
        <v>7.6969018699999987</v>
      </c>
      <c r="F237" s="4">
        <v>0.17499999999999999</v>
      </c>
      <c r="G237">
        <v>58</v>
      </c>
      <c r="H237">
        <v>21.647536509374998</v>
      </c>
      <c r="I237" s="4">
        <v>0.17499999999999999</v>
      </c>
      <c r="K237" t="s">
        <v>229</v>
      </c>
      <c r="L237" s="4" t="s">
        <v>229</v>
      </c>
      <c r="M237" s="5">
        <v>29.344438379374996</v>
      </c>
      <c r="N237" s="5">
        <v>0.35</v>
      </c>
      <c r="O237">
        <v>98</v>
      </c>
      <c r="P237">
        <v>25.446900060000001</v>
      </c>
      <c r="Q237" s="4">
        <v>0.3</v>
      </c>
      <c r="R237" s="5">
        <v>25.446900060000001</v>
      </c>
      <c r="S237" s="5">
        <v>0.3</v>
      </c>
      <c r="T237">
        <v>97</v>
      </c>
      <c r="U237">
        <v>2</v>
      </c>
      <c r="V237">
        <v>2</v>
      </c>
      <c r="W237">
        <v>1</v>
      </c>
      <c r="X237">
        <v>1.1531635802469133</v>
      </c>
      <c r="Y237">
        <v>0.14414544753086417</v>
      </c>
      <c r="Z237">
        <v>1.1666666666666667</v>
      </c>
      <c r="AA237">
        <v>0.38888888888888884</v>
      </c>
      <c r="AC237">
        <v>0.12812928669410148</v>
      </c>
      <c r="AD237">
        <f t="shared" si="5"/>
        <v>0.25625857338820296</v>
      </c>
    </row>
    <row r="238" spans="1:30" x14ac:dyDescent="0.25">
      <c r="A238">
        <v>165</v>
      </c>
      <c r="B238">
        <v>15.874860106874999</v>
      </c>
      <c r="C238" s="4">
        <v>0.17499999999999999</v>
      </c>
      <c r="D238">
        <v>452</v>
      </c>
      <c r="E238">
        <v>15.874860106874999</v>
      </c>
      <c r="F238" s="4">
        <v>0.17499999999999999</v>
      </c>
      <c r="H238" t="s">
        <v>229</v>
      </c>
      <c r="I238" s="4" t="s">
        <v>229</v>
      </c>
      <c r="K238" t="s">
        <v>229</v>
      </c>
      <c r="L238" s="4" t="s">
        <v>229</v>
      </c>
      <c r="M238" s="5">
        <v>15.874860106874999</v>
      </c>
      <c r="N238" s="5">
        <v>0.17499999999999999</v>
      </c>
      <c r="O238">
        <v>166</v>
      </c>
      <c r="P238">
        <v>47.432943172025006</v>
      </c>
      <c r="Q238" s="4">
        <v>0.26500000000000001</v>
      </c>
      <c r="R238" s="5">
        <v>47.432943172025006</v>
      </c>
      <c r="S238" s="5">
        <v>0.26500000000000001</v>
      </c>
      <c r="T238">
        <v>165</v>
      </c>
      <c r="U238">
        <v>1</v>
      </c>
      <c r="V238">
        <v>1</v>
      </c>
      <c r="W238">
        <v>1</v>
      </c>
      <c r="X238">
        <v>0.33468005662861067</v>
      </c>
      <c r="Y238">
        <v>1</v>
      </c>
      <c r="Z238">
        <v>0.660377358490566</v>
      </c>
      <c r="AA238">
        <v>1</v>
      </c>
      <c r="AC238">
        <v>0.25075676748629133</v>
      </c>
      <c r="AD238">
        <f t="shared" si="5"/>
        <v>0.25075676748629133</v>
      </c>
    </row>
    <row r="239" spans="1:30" x14ac:dyDescent="0.25">
      <c r="A239">
        <v>130</v>
      </c>
      <c r="B239">
        <v>133.5176855</v>
      </c>
      <c r="C239" s="4">
        <v>0.5</v>
      </c>
      <c r="D239">
        <v>123</v>
      </c>
      <c r="E239">
        <v>7.6969018699999987</v>
      </c>
      <c r="F239" s="4">
        <v>0.17499999999999999</v>
      </c>
      <c r="G239">
        <v>95</v>
      </c>
      <c r="H239">
        <v>30.886567646900005</v>
      </c>
      <c r="I239" s="4">
        <v>0.26500000000000001</v>
      </c>
      <c r="K239" t="s">
        <v>229</v>
      </c>
      <c r="L239" s="4" t="s">
        <v>229</v>
      </c>
      <c r="M239" s="5">
        <v>38.583469516900003</v>
      </c>
      <c r="N239" s="5">
        <v>0.44</v>
      </c>
      <c r="O239">
        <v>132</v>
      </c>
      <c r="P239">
        <v>175.30086708000002</v>
      </c>
      <c r="Q239" s="4">
        <v>0.6</v>
      </c>
      <c r="R239" s="5">
        <v>175.30086708000002</v>
      </c>
      <c r="S239" s="5">
        <v>0.6</v>
      </c>
      <c r="T239">
        <v>130</v>
      </c>
      <c r="U239">
        <v>2</v>
      </c>
      <c r="V239">
        <v>2</v>
      </c>
      <c r="W239">
        <v>1</v>
      </c>
      <c r="X239">
        <v>0.22009856630824373</v>
      </c>
      <c r="Y239">
        <v>0.28897647058823533</v>
      </c>
      <c r="Z239">
        <v>0.73333333333333339</v>
      </c>
      <c r="AA239">
        <v>0.88</v>
      </c>
      <c r="AC239">
        <v>0.12493896236012207</v>
      </c>
      <c r="AD239">
        <f t="shared" si="5"/>
        <v>0.24987792472024414</v>
      </c>
    </row>
    <row r="240" spans="1:30" x14ac:dyDescent="0.25">
      <c r="A240">
        <v>289</v>
      </c>
      <c r="B240">
        <v>24.268017436850005</v>
      </c>
      <c r="C240" s="4">
        <v>0.26500000000000001</v>
      </c>
      <c r="D240">
        <v>224</v>
      </c>
      <c r="E240">
        <v>33.092751050250008</v>
      </c>
      <c r="F240" s="4">
        <v>0.26500000000000001</v>
      </c>
      <c r="H240" t="s">
        <v>229</v>
      </c>
      <c r="I240" s="4" t="s">
        <v>229</v>
      </c>
      <c r="K240" t="s">
        <v>229</v>
      </c>
      <c r="L240" s="4" t="s">
        <v>229</v>
      </c>
      <c r="M240" s="5">
        <v>33.092751050250008</v>
      </c>
      <c r="N240" s="5">
        <v>0.26500000000000001</v>
      </c>
      <c r="O240">
        <v>292</v>
      </c>
      <c r="P240">
        <v>121.73671325000001</v>
      </c>
      <c r="Q240" s="4">
        <v>0.5</v>
      </c>
      <c r="R240" s="5">
        <v>121.73671325000001</v>
      </c>
      <c r="S240" s="5">
        <v>0.5</v>
      </c>
      <c r="T240">
        <v>289</v>
      </c>
      <c r="U240">
        <v>1</v>
      </c>
      <c r="V240">
        <v>1</v>
      </c>
      <c r="W240">
        <v>1</v>
      </c>
      <c r="X240">
        <v>0.27183870967741941</v>
      </c>
      <c r="Y240">
        <v>1.3636363636363638</v>
      </c>
      <c r="Z240">
        <v>0.53</v>
      </c>
      <c r="AA240">
        <v>1</v>
      </c>
      <c r="AC240">
        <v>0.22665533434822135</v>
      </c>
      <c r="AD240">
        <f t="shared" si="5"/>
        <v>0.22665533434822135</v>
      </c>
    </row>
    <row r="241" spans="1:30" x14ac:dyDescent="0.25">
      <c r="A241">
        <v>65</v>
      </c>
      <c r="B241">
        <v>24.052818343749998</v>
      </c>
      <c r="C241" s="4">
        <v>0.17499999999999999</v>
      </c>
      <c r="D241">
        <v>387</v>
      </c>
      <c r="E241">
        <v>7.6969018699999987</v>
      </c>
      <c r="F241" s="4">
        <v>0.17499999999999999</v>
      </c>
      <c r="H241" t="s">
        <v>229</v>
      </c>
      <c r="I241" s="4" t="s">
        <v>229</v>
      </c>
      <c r="K241" t="s">
        <v>229</v>
      </c>
      <c r="L241" s="4" t="s">
        <v>229</v>
      </c>
      <c r="M241" s="5">
        <v>7.6969018699999987</v>
      </c>
      <c r="N241" s="5">
        <v>0.17499999999999999</v>
      </c>
      <c r="O241">
        <v>63</v>
      </c>
      <c r="P241">
        <v>10.102183704374999</v>
      </c>
      <c r="Q241" s="4">
        <v>0.17499999999999999</v>
      </c>
      <c r="R241" s="5">
        <v>10.102183704374999</v>
      </c>
      <c r="S241" s="5">
        <v>0.17499999999999999</v>
      </c>
      <c r="T241">
        <v>65</v>
      </c>
      <c r="U241">
        <v>1</v>
      </c>
      <c r="V241">
        <v>1</v>
      </c>
      <c r="W241">
        <v>1</v>
      </c>
      <c r="X241">
        <v>0.76190476190476186</v>
      </c>
      <c r="Y241">
        <v>0.31999999999999995</v>
      </c>
      <c r="Z241">
        <v>1</v>
      </c>
      <c r="AA241">
        <v>1</v>
      </c>
      <c r="AC241">
        <v>0.22535211267605632</v>
      </c>
      <c r="AD241">
        <f t="shared" si="5"/>
        <v>0.22535211267605632</v>
      </c>
    </row>
    <row r="242" spans="1:30" x14ac:dyDescent="0.25">
      <c r="A242">
        <v>340</v>
      </c>
      <c r="B242">
        <v>5.0265481600000008</v>
      </c>
      <c r="C242" s="4">
        <v>0.2</v>
      </c>
      <c r="D242">
        <v>338</v>
      </c>
      <c r="E242">
        <v>5.0265481600000008</v>
      </c>
      <c r="F242" s="4">
        <v>0.2</v>
      </c>
      <c r="H242" t="s">
        <v>229</v>
      </c>
      <c r="I242" s="4" t="s">
        <v>229</v>
      </c>
      <c r="K242" t="s">
        <v>229</v>
      </c>
      <c r="L242" s="4" t="s">
        <v>229</v>
      </c>
      <c r="M242" s="5">
        <v>5.0265481600000008</v>
      </c>
      <c r="N242" s="5">
        <v>0.2</v>
      </c>
      <c r="O242">
        <v>341</v>
      </c>
      <c r="P242">
        <v>17.649467226800002</v>
      </c>
      <c r="Q242" s="4">
        <v>0.26500000000000001</v>
      </c>
      <c r="R242" s="5">
        <v>17.649467226800002</v>
      </c>
      <c r="S242" s="5">
        <v>0.26500000000000001</v>
      </c>
      <c r="T242">
        <v>340</v>
      </c>
      <c r="U242">
        <v>1</v>
      </c>
      <c r="V242">
        <v>1</v>
      </c>
      <c r="W242">
        <v>1</v>
      </c>
      <c r="X242">
        <v>0.2847988608045568</v>
      </c>
      <c r="Y242">
        <v>1</v>
      </c>
      <c r="Z242">
        <v>0.75471698113207553</v>
      </c>
      <c r="AA242">
        <v>1</v>
      </c>
      <c r="AC242">
        <v>0.22166805209199225</v>
      </c>
      <c r="AD242">
        <f t="shared" si="5"/>
        <v>0.22166805209199225</v>
      </c>
    </row>
    <row r="243" spans="1:30" x14ac:dyDescent="0.25">
      <c r="A243">
        <v>206</v>
      </c>
      <c r="B243">
        <v>17.318029207499997</v>
      </c>
      <c r="C243" s="4">
        <v>0.17499999999999999</v>
      </c>
      <c r="D243">
        <v>463</v>
      </c>
      <c r="E243">
        <v>10.58324007125</v>
      </c>
      <c r="F243" s="4">
        <v>0.17499999999999999</v>
      </c>
      <c r="H243" t="s">
        <v>229</v>
      </c>
      <c r="I243" s="4" t="s">
        <v>229</v>
      </c>
      <c r="K243" t="s">
        <v>229</v>
      </c>
      <c r="L243" s="4" t="s">
        <v>229</v>
      </c>
      <c r="M243" s="5">
        <v>10.58324007125</v>
      </c>
      <c r="N243" s="5">
        <v>0.17499999999999999</v>
      </c>
      <c r="O243">
        <v>207</v>
      </c>
      <c r="P243">
        <v>31.101766740000002</v>
      </c>
      <c r="Q243" s="4">
        <v>0.3</v>
      </c>
      <c r="R243" s="5">
        <v>31.101766740000002</v>
      </c>
      <c r="S243" s="5">
        <v>0.3</v>
      </c>
      <c r="T243">
        <v>206</v>
      </c>
      <c r="U243">
        <v>1</v>
      </c>
      <c r="V243">
        <v>1</v>
      </c>
      <c r="W243">
        <v>1</v>
      </c>
      <c r="X243">
        <v>0.34027777777777773</v>
      </c>
      <c r="Y243">
        <v>0.61111111111111116</v>
      </c>
      <c r="Z243">
        <v>0.58333333333333337</v>
      </c>
      <c r="AA243">
        <v>1</v>
      </c>
      <c r="AC243">
        <v>0.21857258718572586</v>
      </c>
      <c r="AD243">
        <f t="shared" si="5"/>
        <v>0.21857258718572586</v>
      </c>
    </row>
    <row r="244" spans="1:30" x14ac:dyDescent="0.25">
      <c r="A244">
        <v>20</v>
      </c>
      <c r="B244">
        <v>3.8484509349999994</v>
      </c>
      <c r="C244" s="4">
        <v>0.17499999999999999</v>
      </c>
      <c r="D244">
        <v>362</v>
      </c>
      <c r="E244">
        <v>7.6969018699999987</v>
      </c>
      <c r="F244" s="4">
        <v>0.17499999999999999</v>
      </c>
      <c r="H244" t="s">
        <v>229</v>
      </c>
      <c r="I244" s="4" t="s">
        <v>229</v>
      </c>
      <c r="K244" t="s">
        <v>229</v>
      </c>
      <c r="L244" s="4" t="s">
        <v>229</v>
      </c>
      <c r="M244" s="5">
        <v>7.6969018699999987</v>
      </c>
      <c r="N244" s="5">
        <v>0.17499999999999999</v>
      </c>
      <c r="O244">
        <v>21</v>
      </c>
      <c r="P244">
        <v>31.415926000000006</v>
      </c>
      <c r="Q244" s="4">
        <v>0.2</v>
      </c>
      <c r="R244" s="5">
        <v>31.415926000000006</v>
      </c>
      <c r="S244" s="5">
        <v>0.2</v>
      </c>
      <c r="T244">
        <v>20</v>
      </c>
      <c r="U244">
        <v>1</v>
      </c>
      <c r="V244">
        <v>1</v>
      </c>
      <c r="W244">
        <v>1</v>
      </c>
      <c r="X244">
        <v>0.24499999999999991</v>
      </c>
      <c r="Y244">
        <v>2</v>
      </c>
      <c r="Z244">
        <v>0.87499999999999989</v>
      </c>
      <c r="AA244">
        <v>1</v>
      </c>
      <c r="AC244">
        <v>0.21826280623608008</v>
      </c>
      <c r="AD244">
        <f t="shared" si="5"/>
        <v>0.21826280623608008</v>
      </c>
    </row>
    <row r="245" spans="1:30" x14ac:dyDescent="0.25">
      <c r="A245">
        <v>159</v>
      </c>
      <c r="B245">
        <v>22.619466719999998</v>
      </c>
      <c r="C245" s="4">
        <v>0.3</v>
      </c>
      <c r="D245">
        <v>419</v>
      </c>
      <c r="E245">
        <v>21.166480142499999</v>
      </c>
      <c r="F245" s="4">
        <v>0.17499999999999999</v>
      </c>
      <c r="G245">
        <v>164</v>
      </c>
      <c r="H245">
        <v>22.619466719999998</v>
      </c>
      <c r="I245" s="4">
        <v>0.3</v>
      </c>
      <c r="K245" t="s">
        <v>229</v>
      </c>
      <c r="L245" s="4" t="s">
        <v>229</v>
      </c>
      <c r="M245" s="5">
        <v>43.785946862499998</v>
      </c>
      <c r="N245" s="5">
        <v>0.47499999999999998</v>
      </c>
      <c r="O245">
        <v>154</v>
      </c>
      <c r="P245">
        <v>388.77208425000003</v>
      </c>
      <c r="Q245" s="4">
        <v>0.75</v>
      </c>
      <c r="R245" s="5">
        <v>388.77208425000003</v>
      </c>
      <c r="S245" s="5">
        <v>0.75</v>
      </c>
      <c r="T245">
        <v>159</v>
      </c>
      <c r="U245">
        <v>2</v>
      </c>
      <c r="V245">
        <v>2</v>
      </c>
      <c r="W245">
        <v>1</v>
      </c>
      <c r="X245">
        <v>0.11262626262626262</v>
      </c>
      <c r="Y245">
        <v>1.9357638888888888</v>
      </c>
      <c r="Z245">
        <v>0.6333333333333333</v>
      </c>
      <c r="AA245">
        <v>1.5833333333333333</v>
      </c>
      <c r="AC245">
        <v>0.10643375334096983</v>
      </c>
      <c r="AD245">
        <f t="shared" si="5"/>
        <v>0.21286750668193966</v>
      </c>
    </row>
    <row r="246" spans="1:30" x14ac:dyDescent="0.25">
      <c r="A246">
        <v>328</v>
      </c>
      <c r="B246">
        <v>55.292029760000013</v>
      </c>
      <c r="C246" s="4">
        <v>0.4</v>
      </c>
      <c r="D246">
        <v>339</v>
      </c>
      <c r="E246">
        <v>25.132740800000008</v>
      </c>
      <c r="F246" s="4">
        <v>0.4</v>
      </c>
      <c r="H246" t="s">
        <v>229</v>
      </c>
      <c r="I246" s="4" t="s">
        <v>229</v>
      </c>
      <c r="K246" t="s">
        <v>229</v>
      </c>
      <c r="L246" s="4" t="s">
        <v>229</v>
      </c>
      <c r="M246" s="5">
        <v>25.132740800000008</v>
      </c>
      <c r="N246" s="5">
        <v>0.4</v>
      </c>
      <c r="O246">
        <v>291</v>
      </c>
      <c r="P246">
        <v>65.345126080000014</v>
      </c>
      <c r="Q246" s="4">
        <v>0.4</v>
      </c>
      <c r="R246" s="5">
        <v>65.345126080000014</v>
      </c>
      <c r="S246" s="5">
        <v>0.4</v>
      </c>
      <c r="T246">
        <v>328</v>
      </c>
      <c r="U246">
        <v>1</v>
      </c>
      <c r="V246">
        <v>1</v>
      </c>
      <c r="W246">
        <v>1</v>
      </c>
      <c r="X246">
        <v>0.38461538461538464</v>
      </c>
      <c r="Y246">
        <v>0.45454545454545459</v>
      </c>
      <c r="Z246">
        <v>1</v>
      </c>
      <c r="AA246">
        <v>1</v>
      </c>
      <c r="AC246">
        <v>0.20833333333333337</v>
      </c>
      <c r="AD246">
        <f t="shared" si="5"/>
        <v>0.20833333333333337</v>
      </c>
    </row>
    <row r="247" spans="1:30" x14ac:dyDescent="0.25">
      <c r="A247">
        <v>14</v>
      </c>
      <c r="B247">
        <v>25.014931077499998</v>
      </c>
      <c r="C247" s="4">
        <v>0.17499999999999999</v>
      </c>
      <c r="D247">
        <v>355</v>
      </c>
      <c r="E247">
        <v>9.621127337499999</v>
      </c>
      <c r="F247" s="4">
        <v>0.17499999999999999</v>
      </c>
      <c r="H247" t="s">
        <v>229</v>
      </c>
      <c r="I247" s="4" t="s">
        <v>229</v>
      </c>
      <c r="K247" t="s">
        <v>229</v>
      </c>
      <c r="L247" s="4" t="s">
        <v>229</v>
      </c>
      <c r="M247" s="5">
        <v>9.621127337499999</v>
      </c>
      <c r="N247" s="5">
        <v>0.17499999999999999</v>
      </c>
      <c r="O247">
        <v>58</v>
      </c>
      <c r="P247">
        <v>21.647536509374998</v>
      </c>
      <c r="Q247" s="4">
        <v>0.17499999999999999</v>
      </c>
      <c r="R247" s="5">
        <v>21.647536509374998</v>
      </c>
      <c r="S247" s="5">
        <v>0.17499999999999999</v>
      </c>
      <c r="T247">
        <v>14</v>
      </c>
      <c r="U247">
        <v>1</v>
      </c>
      <c r="V247">
        <v>1</v>
      </c>
      <c r="W247">
        <v>1</v>
      </c>
      <c r="X247">
        <v>0.44444444444444442</v>
      </c>
      <c r="Y247">
        <v>0.38461538461538458</v>
      </c>
      <c r="Z247">
        <v>1</v>
      </c>
      <c r="AA247">
        <v>1</v>
      </c>
      <c r="AC247">
        <v>0.20618556701030927</v>
      </c>
      <c r="AD247">
        <f t="shared" si="5"/>
        <v>0.20618556701030927</v>
      </c>
    </row>
    <row r="248" spans="1:30" x14ac:dyDescent="0.25">
      <c r="A248">
        <v>202</v>
      </c>
      <c r="B248">
        <v>28.902651920000004</v>
      </c>
      <c r="C248" s="4">
        <v>0.2</v>
      </c>
      <c r="D248">
        <v>200</v>
      </c>
      <c r="E248">
        <v>10.053096320000002</v>
      </c>
      <c r="F248" s="4">
        <v>0.2</v>
      </c>
      <c r="H248" t="s">
        <v>229</v>
      </c>
      <c r="I248" s="4" t="s">
        <v>229</v>
      </c>
      <c r="K248" t="s">
        <v>229</v>
      </c>
      <c r="L248" s="4" t="s">
        <v>229</v>
      </c>
      <c r="M248" s="5">
        <v>10.053096320000002</v>
      </c>
      <c r="N248" s="5">
        <v>0.2</v>
      </c>
      <c r="O248">
        <v>192</v>
      </c>
      <c r="P248">
        <v>20.106192640000003</v>
      </c>
      <c r="Q248" s="4">
        <v>0.2</v>
      </c>
      <c r="R248" s="5">
        <v>20.106192640000003</v>
      </c>
      <c r="S248" s="5">
        <v>0.2</v>
      </c>
      <c r="T248">
        <v>202</v>
      </c>
      <c r="U248">
        <v>1</v>
      </c>
      <c r="V248">
        <v>1</v>
      </c>
      <c r="W248">
        <v>1</v>
      </c>
      <c r="X248">
        <v>0.5</v>
      </c>
      <c r="Y248">
        <v>0.34782608695652173</v>
      </c>
      <c r="Z248">
        <v>1</v>
      </c>
      <c r="AA248">
        <v>1</v>
      </c>
      <c r="AC248">
        <v>0.20512820512820512</v>
      </c>
      <c r="AD248">
        <f t="shared" si="5"/>
        <v>0.20512820512820512</v>
      </c>
    </row>
    <row r="249" spans="1:30" x14ac:dyDescent="0.25">
      <c r="A249">
        <v>281</v>
      </c>
      <c r="B249">
        <v>42.411500099999998</v>
      </c>
      <c r="C249" s="4">
        <v>0.3</v>
      </c>
      <c r="D249">
        <v>113</v>
      </c>
      <c r="E249">
        <v>25.446900060000001</v>
      </c>
      <c r="F249" s="4">
        <v>0.3</v>
      </c>
      <c r="H249" t="s">
        <v>229</v>
      </c>
      <c r="I249" s="4" t="s">
        <v>229</v>
      </c>
      <c r="K249" t="s">
        <v>229</v>
      </c>
      <c r="L249" s="4" t="s">
        <v>229</v>
      </c>
      <c r="M249" s="5">
        <v>25.446900060000001</v>
      </c>
      <c r="N249" s="5">
        <v>0.3</v>
      </c>
      <c r="O249">
        <v>282</v>
      </c>
      <c r="P249">
        <v>84.823000199999996</v>
      </c>
      <c r="Q249" s="4">
        <v>0.6</v>
      </c>
      <c r="R249" s="5">
        <v>84.823000199999996</v>
      </c>
      <c r="S249" s="5">
        <v>0.6</v>
      </c>
      <c r="T249">
        <v>281</v>
      </c>
      <c r="U249">
        <v>1</v>
      </c>
      <c r="V249">
        <v>1</v>
      </c>
      <c r="W249">
        <v>1</v>
      </c>
      <c r="X249">
        <v>0.30000000000000004</v>
      </c>
      <c r="Y249">
        <v>0.60000000000000009</v>
      </c>
      <c r="Z249">
        <v>0.5</v>
      </c>
      <c r="AA249">
        <v>1</v>
      </c>
      <c r="AC249">
        <v>0.2</v>
      </c>
      <c r="AD249">
        <f t="shared" si="5"/>
        <v>0.2</v>
      </c>
    </row>
    <row r="250" spans="1:30" x14ac:dyDescent="0.25">
      <c r="A250">
        <v>28</v>
      </c>
      <c r="B250">
        <v>90.477866879999993</v>
      </c>
      <c r="C250" s="4">
        <v>0.6</v>
      </c>
      <c r="D250">
        <v>343</v>
      </c>
      <c r="E250">
        <v>45.238933439999997</v>
      </c>
      <c r="F250" s="4">
        <v>0.6</v>
      </c>
      <c r="H250" t="s">
        <v>229</v>
      </c>
      <c r="I250" s="4" t="s">
        <v>229</v>
      </c>
      <c r="K250" t="s">
        <v>229</v>
      </c>
      <c r="L250" s="4" t="s">
        <v>229</v>
      </c>
      <c r="M250" s="5">
        <v>45.238933439999997</v>
      </c>
      <c r="N250" s="5">
        <v>0.6</v>
      </c>
      <c r="O250">
        <v>27</v>
      </c>
      <c r="P250">
        <v>141.371667</v>
      </c>
      <c r="Q250" s="4">
        <v>0.75</v>
      </c>
      <c r="R250" s="5">
        <v>141.371667</v>
      </c>
      <c r="S250" s="5">
        <v>0.75</v>
      </c>
      <c r="T250">
        <v>28</v>
      </c>
      <c r="U250">
        <v>1</v>
      </c>
      <c r="V250">
        <v>1</v>
      </c>
      <c r="W250">
        <v>1</v>
      </c>
      <c r="X250">
        <v>0.31999999999999995</v>
      </c>
      <c r="Y250">
        <v>0.5</v>
      </c>
      <c r="Z250">
        <v>0.79999999999999993</v>
      </c>
      <c r="AA250">
        <v>1</v>
      </c>
      <c r="AC250">
        <v>0.19512195121951217</v>
      </c>
      <c r="AD250">
        <f t="shared" si="5"/>
        <v>0.19512195121951217</v>
      </c>
    </row>
    <row r="251" spans="1:30" x14ac:dyDescent="0.25">
      <c r="A251">
        <v>193</v>
      </c>
      <c r="B251">
        <v>19.242254674999998</v>
      </c>
      <c r="C251" s="4">
        <v>0.17499999999999999</v>
      </c>
      <c r="D251">
        <v>462</v>
      </c>
      <c r="E251">
        <v>19.242254674999998</v>
      </c>
      <c r="F251" s="4">
        <v>0.17499999999999999</v>
      </c>
      <c r="H251" t="s">
        <v>229</v>
      </c>
      <c r="I251" s="4" t="s">
        <v>229</v>
      </c>
      <c r="K251" t="s">
        <v>229</v>
      </c>
      <c r="L251" s="4" t="s">
        <v>229</v>
      </c>
      <c r="M251" s="5">
        <v>19.242254674999998</v>
      </c>
      <c r="N251" s="5">
        <v>0.17499999999999999</v>
      </c>
      <c r="O251">
        <v>194</v>
      </c>
      <c r="P251">
        <v>80.424770560000013</v>
      </c>
      <c r="Q251" s="4">
        <v>0.4</v>
      </c>
      <c r="R251" s="5">
        <v>80.424770560000013</v>
      </c>
      <c r="S251" s="5">
        <v>0.4</v>
      </c>
      <c r="T251">
        <v>193</v>
      </c>
      <c r="U251">
        <v>1</v>
      </c>
      <c r="V251">
        <v>1</v>
      </c>
      <c r="W251">
        <v>1</v>
      </c>
      <c r="X251">
        <v>0.23925781249999994</v>
      </c>
      <c r="Y251">
        <v>1</v>
      </c>
      <c r="Z251">
        <v>0.43749999999999994</v>
      </c>
      <c r="AA251">
        <v>1</v>
      </c>
      <c r="AC251">
        <v>0.19306540583136322</v>
      </c>
      <c r="AD251">
        <f t="shared" si="5"/>
        <v>0.19306540583136322</v>
      </c>
    </row>
    <row r="252" spans="1:30" x14ac:dyDescent="0.25">
      <c r="A252">
        <v>86</v>
      </c>
      <c r="B252">
        <v>90.477866879999993</v>
      </c>
      <c r="C252" s="4">
        <v>0.6</v>
      </c>
      <c r="D252">
        <v>85</v>
      </c>
      <c r="E252">
        <v>90.477866879999993</v>
      </c>
      <c r="F252" s="4">
        <v>0.6</v>
      </c>
      <c r="H252" t="s">
        <v>229</v>
      </c>
      <c r="I252" s="4" t="s">
        <v>229</v>
      </c>
      <c r="K252" t="s">
        <v>229</v>
      </c>
      <c r="L252" s="4" t="s">
        <v>229</v>
      </c>
      <c r="M252" s="5">
        <v>90.477866879999993</v>
      </c>
      <c r="N252" s="5">
        <v>0.6</v>
      </c>
      <c r="O252">
        <v>87</v>
      </c>
      <c r="P252">
        <v>388.77208425000003</v>
      </c>
      <c r="Q252" s="4">
        <v>0.75</v>
      </c>
      <c r="R252" s="5">
        <v>388.77208425000003</v>
      </c>
      <c r="S252" s="5">
        <v>0.75</v>
      </c>
      <c r="T252">
        <v>86</v>
      </c>
      <c r="U252">
        <v>1</v>
      </c>
      <c r="V252">
        <v>1</v>
      </c>
      <c r="W252">
        <v>1</v>
      </c>
      <c r="X252">
        <v>0.2327272727272727</v>
      </c>
      <c r="Y252">
        <v>1</v>
      </c>
      <c r="Z252">
        <v>0.79999999999999993</v>
      </c>
      <c r="AA252">
        <v>1</v>
      </c>
      <c r="AC252">
        <v>0.1887905604719764</v>
      </c>
      <c r="AD252">
        <f t="shared" si="5"/>
        <v>0.1887905604719764</v>
      </c>
    </row>
    <row r="253" spans="1:30" x14ac:dyDescent="0.25">
      <c r="A253">
        <v>11</v>
      </c>
      <c r="B253">
        <v>12.507465538749999</v>
      </c>
      <c r="C253" s="4">
        <v>0.17499999999999999</v>
      </c>
      <c r="D253">
        <v>354</v>
      </c>
      <c r="E253">
        <v>8.1779582368749981</v>
      </c>
      <c r="F253" s="4">
        <v>0.17499999999999999</v>
      </c>
      <c r="H253" t="s">
        <v>229</v>
      </c>
      <c r="I253" s="4" t="s">
        <v>229</v>
      </c>
      <c r="K253" t="s">
        <v>229</v>
      </c>
      <c r="L253" s="4" t="s">
        <v>229</v>
      </c>
      <c r="M253" s="5">
        <v>8.1779582368749981</v>
      </c>
      <c r="N253" s="5">
        <v>0.17499999999999999</v>
      </c>
      <c r="O253">
        <v>12</v>
      </c>
      <c r="P253">
        <v>32.672563040000007</v>
      </c>
      <c r="Q253" s="4">
        <v>0.2</v>
      </c>
      <c r="R253" s="5">
        <v>32.672563040000007</v>
      </c>
      <c r="S253" s="5">
        <v>0.2</v>
      </c>
      <c r="T253">
        <v>11</v>
      </c>
      <c r="U253">
        <v>1</v>
      </c>
      <c r="V253">
        <v>1</v>
      </c>
      <c r="W253">
        <v>1</v>
      </c>
      <c r="X253">
        <v>0.25030048076923067</v>
      </c>
      <c r="Y253">
        <v>0.65384615384615374</v>
      </c>
      <c r="Z253">
        <v>0.87499999999999989</v>
      </c>
      <c r="AA253">
        <v>1</v>
      </c>
      <c r="AC253">
        <v>0.18100825727944367</v>
      </c>
      <c r="AD253">
        <f t="shared" si="5"/>
        <v>0.18100825727944367</v>
      </c>
    </row>
    <row r="254" spans="1:30" x14ac:dyDescent="0.25">
      <c r="A254">
        <v>111</v>
      </c>
      <c r="B254">
        <v>12.566370400000004</v>
      </c>
      <c r="C254" s="4">
        <v>0.2</v>
      </c>
      <c r="D254">
        <v>110</v>
      </c>
      <c r="E254">
        <v>17.592918560000005</v>
      </c>
      <c r="F254" s="4">
        <v>0.2</v>
      </c>
      <c r="G254">
        <v>114</v>
      </c>
      <c r="H254">
        <v>15.079644480000002</v>
      </c>
      <c r="I254" s="4">
        <v>0.2</v>
      </c>
      <c r="K254" t="s">
        <v>229</v>
      </c>
      <c r="L254" s="4" t="s">
        <v>229</v>
      </c>
      <c r="M254" s="5">
        <v>32.672563040000007</v>
      </c>
      <c r="N254" s="5">
        <v>0.4</v>
      </c>
      <c r="O254">
        <v>119</v>
      </c>
      <c r="P254">
        <v>361.28314899999998</v>
      </c>
      <c r="Q254" s="4">
        <v>1</v>
      </c>
      <c r="R254" s="5">
        <v>361.28314899999998</v>
      </c>
      <c r="S254" s="5">
        <v>1</v>
      </c>
      <c r="T254">
        <v>111</v>
      </c>
      <c r="U254">
        <v>2</v>
      </c>
      <c r="V254">
        <v>2</v>
      </c>
      <c r="W254">
        <v>1</v>
      </c>
      <c r="X254">
        <v>9.0434782608695682E-2</v>
      </c>
      <c r="Y254">
        <v>2.5999999999999996</v>
      </c>
      <c r="Z254">
        <v>0.4</v>
      </c>
      <c r="AA254">
        <v>2</v>
      </c>
      <c r="AC254">
        <v>8.73949579831933E-2</v>
      </c>
      <c r="AD254">
        <f t="shared" si="5"/>
        <v>0.1747899159663866</v>
      </c>
    </row>
    <row r="255" spans="1:30" x14ac:dyDescent="0.25">
      <c r="A255">
        <v>211</v>
      </c>
      <c r="B255">
        <v>4.8105636687499995</v>
      </c>
      <c r="C255" s="4">
        <v>0.17499999999999999</v>
      </c>
      <c r="D255">
        <v>218</v>
      </c>
      <c r="E255">
        <v>9.621127337499999</v>
      </c>
      <c r="F255" s="4">
        <v>0.17499999999999999</v>
      </c>
      <c r="H255" t="s">
        <v>229</v>
      </c>
      <c r="I255" s="4" t="s">
        <v>229</v>
      </c>
      <c r="K255" t="s">
        <v>229</v>
      </c>
      <c r="L255" s="4" t="s">
        <v>229</v>
      </c>
      <c r="M255" s="5">
        <v>9.621127337499999</v>
      </c>
      <c r="N255" s="5">
        <v>0.17499999999999999</v>
      </c>
      <c r="O255">
        <v>210</v>
      </c>
      <c r="P255">
        <v>50.265481600000015</v>
      </c>
      <c r="Q255" s="4">
        <v>0.4</v>
      </c>
      <c r="R255" s="5">
        <v>50.265481600000015</v>
      </c>
      <c r="S255" s="5">
        <v>0.4</v>
      </c>
      <c r="T255">
        <v>211</v>
      </c>
      <c r="U255">
        <v>1</v>
      </c>
      <c r="V255">
        <v>1</v>
      </c>
      <c r="W255">
        <v>1</v>
      </c>
      <c r="X255">
        <v>0.19140624999999992</v>
      </c>
      <c r="Y255">
        <v>2</v>
      </c>
      <c r="Z255">
        <v>0.43749999999999994</v>
      </c>
      <c r="AA255">
        <v>1</v>
      </c>
      <c r="AC255">
        <v>0.17468805704099816</v>
      </c>
      <c r="AD255">
        <f t="shared" si="5"/>
        <v>0.17468805704099816</v>
      </c>
    </row>
    <row r="256" spans="1:30" x14ac:dyDescent="0.25">
      <c r="A256">
        <v>22</v>
      </c>
      <c r="B256">
        <v>24.052818343749998</v>
      </c>
      <c r="C256" s="4">
        <v>0.17499999999999999</v>
      </c>
      <c r="D256">
        <v>364</v>
      </c>
      <c r="E256">
        <v>7.6969018699999987</v>
      </c>
      <c r="F256" s="4">
        <v>0.17499999999999999</v>
      </c>
      <c r="H256" t="s">
        <v>229</v>
      </c>
      <c r="I256" s="4" t="s">
        <v>229</v>
      </c>
      <c r="K256" t="s">
        <v>229</v>
      </c>
      <c r="L256" s="4" t="s">
        <v>229</v>
      </c>
      <c r="M256" s="5">
        <v>7.6969018699999987</v>
      </c>
      <c r="N256" s="5">
        <v>0.17499999999999999</v>
      </c>
      <c r="O256">
        <v>49</v>
      </c>
      <c r="P256">
        <v>21.647536509374998</v>
      </c>
      <c r="Q256" s="4">
        <v>0.17499999999999999</v>
      </c>
      <c r="R256" s="5">
        <v>21.647536509374998</v>
      </c>
      <c r="S256" s="5">
        <v>0.17499999999999999</v>
      </c>
      <c r="T256">
        <v>22</v>
      </c>
      <c r="U256">
        <v>1</v>
      </c>
      <c r="V256">
        <v>1</v>
      </c>
      <c r="W256">
        <v>1</v>
      </c>
      <c r="X256">
        <v>0.35555555555555551</v>
      </c>
      <c r="Y256">
        <v>0.31999999999999995</v>
      </c>
      <c r="Z256">
        <v>1</v>
      </c>
      <c r="AA256">
        <v>1</v>
      </c>
      <c r="AC256">
        <v>0.16842105263157894</v>
      </c>
      <c r="AD256">
        <f t="shared" si="5"/>
        <v>0.16842105263157894</v>
      </c>
    </row>
    <row r="257" spans="1:30" x14ac:dyDescent="0.25">
      <c r="A257">
        <v>229</v>
      </c>
      <c r="B257">
        <v>47.432943172025006</v>
      </c>
      <c r="C257" s="4">
        <v>0.26500000000000001</v>
      </c>
      <c r="D257">
        <v>228</v>
      </c>
      <c r="E257">
        <v>16.836972840624998</v>
      </c>
      <c r="F257" s="4">
        <v>0.17499999999999999</v>
      </c>
      <c r="H257" t="s">
        <v>229</v>
      </c>
      <c r="I257" s="4" t="s">
        <v>229</v>
      </c>
      <c r="K257" t="s">
        <v>229</v>
      </c>
      <c r="L257" s="4" t="s">
        <v>229</v>
      </c>
      <c r="M257" s="5">
        <v>16.836972840624998</v>
      </c>
      <c r="N257" s="5">
        <v>0.17499999999999999</v>
      </c>
      <c r="O257">
        <v>220</v>
      </c>
      <c r="P257">
        <v>52.778755680000017</v>
      </c>
      <c r="Q257" s="4">
        <v>0.4</v>
      </c>
      <c r="R257" s="5">
        <v>52.778755680000017</v>
      </c>
      <c r="S257" s="5">
        <v>0.4</v>
      </c>
      <c r="T257">
        <v>229</v>
      </c>
      <c r="U257">
        <v>1</v>
      </c>
      <c r="V257">
        <v>1</v>
      </c>
      <c r="W257">
        <v>1</v>
      </c>
      <c r="X257">
        <v>0.31901041666666652</v>
      </c>
      <c r="Y257">
        <v>0.35496369642428399</v>
      </c>
      <c r="Z257">
        <v>0.43749999999999994</v>
      </c>
      <c r="AA257">
        <v>0.660377358490566</v>
      </c>
      <c r="AC257">
        <v>0.16801404460258551</v>
      </c>
      <c r="AD257">
        <f t="shared" si="5"/>
        <v>0.16801404460258551</v>
      </c>
    </row>
    <row r="258" spans="1:30" x14ac:dyDescent="0.25">
      <c r="A258">
        <v>18</v>
      </c>
      <c r="B258">
        <v>32.672563040000007</v>
      </c>
      <c r="C258" s="4">
        <v>0.2</v>
      </c>
      <c r="D258">
        <v>17</v>
      </c>
      <c r="E258">
        <v>10.053096320000002</v>
      </c>
      <c r="F258" s="4">
        <v>0.2</v>
      </c>
      <c r="H258" t="s">
        <v>229</v>
      </c>
      <c r="I258" s="4" t="s">
        <v>229</v>
      </c>
      <c r="K258" t="s">
        <v>229</v>
      </c>
      <c r="L258" s="4" t="s">
        <v>229</v>
      </c>
      <c r="M258" s="5">
        <v>10.053096320000002</v>
      </c>
      <c r="N258" s="5">
        <v>0.2</v>
      </c>
      <c r="O258">
        <v>53</v>
      </c>
      <c r="P258">
        <v>28.274333400000007</v>
      </c>
      <c r="Q258" s="4">
        <v>0.2</v>
      </c>
      <c r="R258" s="5">
        <v>28.274333400000007</v>
      </c>
      <c r="S258" s="5">
        <v>0.2</v>
      </c>
      <c r="T258">
        <v>18</v>
      </c>
      <c r="U258">
        <v>1</v>
      </c>
      <c r="V258">
        <v>1</v>
      </c>
      <c r="W258">
        <v>1</v>
      </c>
      <c r="X258">
        <v>0.35555555555555551</v>
      </c>
      <c r="Y258">
        <v>0.30769230769230765</v>
      </c>
      <c r="Z258">
        <v>1</v>
      </c>
      <c r="AA258">
        <v>1</v>
      </c>
      <c r="AC258">
        <v>0.16494845360824739</v>
      </c>
      <c r="AD258">
        <f t="shared" ref="AD258:AD321" si="6">AC258*U258</f>
        <v>0.16494845360824739</v>
      </c>
    </row>
    <row r="259" spans="1:30" x14ac:dyDescent="0.25">
      <c r="A259">
        <v>288</v>
      </c>
      <c r="B259">
        <v>22.619466720000005</v>
      </c>
      <c r="C259" s="4">
        <v>0.2</v>
      </c>
      <c r="D259">
        <v>492</v>
      </c>
      <c r="E259">
        <v>14.912747373124999</v>
      </c>
      <c r="F259" s="4">
        <v>0.17499999999999999</v>
      </c>
      <c r="H259" t="s">
        <v>229</v>
      </c>
      <c r="I259" s="4" t="s">
        <v>229</v>
      </c>
      <c r="K259" t="s">
        <v>229</v>
      </c>
      <c r="L259" s="4" t="s">
        <v>229</v>
      </c>
      <c r="M259" s="5">
        <v>14.912747373124999</v>
      </c>
      <c r="N259" s="5">
        <v>0.17499999999999999</v>
      </c>
      <c r="O259">
        <v>293</v>
      </c>
      <c r="P259">
        <v>70.685833500000001</v>
      </c>
      <c r="Q259" s="4">
        <v>0.5</v>
      </c>
      <c r="R259" s="5">
        <v>70.685833500000001</v>
      </c>
      <c r="S259" s="5">
        <v>0.5</v>
      </c>
      <c r="T259">
        <v>288</v>
      </c>
      <c r="U259">
        <v>1</v>
      </c>
      <c r="V259">
        <v>1</v>
      </c>
      <c r="W259">
        <v>1</v>
      </c>
      <c r="X259">
        <v>0.2109722222222222</v>
      </c>
      <c r="Y259">
        <v>0.6592881944444442</v>
      </c>
      <c r="Z259">
        <v>0.35</v>
      </c>
      <c r="AA259">
        <v>0.87499999999999989</v>
      </c>
      <c r="AC259">
        <v>0.15982744107744104</v>
      </c>
      <c r="AD259">
        <f t="shared" si="6"/>
        <v>0.15982744107744104</v>
      </c>
    </row>
    <row r="260" spans="1:30" x14ac:dyDescent="0.25">
      <c r="A260">
        <v>48</v>
      </c>
      <c r="B260">
        <v>397.6078134375</v>
      </c>
      <c r="C260" s="4">
        <v>0.75</v>
      </c>
      <c r="D260">
        <v>23</v>
      </c>
      <c r="E260">
        <v>125.66370400000002</v>
      </c>
      <c r="F260" s="4">
        <v>0.4</v>
      </c>
      <c r="H260" t="s">
        <v>229</v>
      </c>
      <c r="I260" s="4" t="s">
        <v>229</v>
      </c>
      <c r="K260" t="s">
        <v>229</v>
      </c>
      <c r="L260" s="4" t="s">
        <v>229</v>
      </c>
      <c r="M260" s="5">
        <v>125.66370400000002</v>
      </c>
      <c r="N260" s="5">
        <v>0.4</v>
      </c>
      <c r="O260">
        <v>87</v>
      </c>
      <c r="P260">
        <v>388.77208425000003</v>
      </c>
      <c r="Q260" s="4">
        <v>0.75</v>
      </c>
      <c r="R260" s="5">
        <v>388.77208425000003</v>
      </c>
      <c r="S260" s="5">
        <v>0.75</v>
      </c>
      <c r="T260">
        <v>48</v>
      </c>
      <c r="U260">
        <v>1</v>
      </c>
      <c r="V260">
        <v>1</v>
      </c>
      <c r="W260">
        <v>1</v>
      </c>
      <c r="X260">
        <v>0.32323232323232326</v>
      </c>
      <c r="Y260">
        <v>0.31604938271604943</v>
      </c>
      <c r="Z260">
        <v>0.53333333333333333</v>
      </c>
      <c r="AA260">
        <v>0.53333333333333333</v>
      </c>
      <c r="AC260">
        <v>0.15980024968789017</v>
      </c>
      <c r="AD260">
        <f t="shared" si="6"/>
        <v>0.15980024968789017</v>
      </c>
    </row>
    <row r="261" spans="1:30" x14ac:dyDescent="0.25">
      <c r="A261">
        <v>138</v>
      </c>
      <c r="B261">
        <v>48.066366779999996</v>
      </c>
      <c r="C261" s="4">
        <v>0.3</v>
      </c>
      <c r="D261">
        <v>139</v>
      </c>
      <c r="E261">
        <v>48.066366779999996</v>
      </c>
      <c r="F261" s="4">
        <v>0.3</v>
      </c>
      <c r="H261" t="s">
        <v>229</v>
      </c>
      <c r="I261" s="4" t="s">
        <v>229</v>
      </c>
      <c r="K261" t="s">
        <v>229</v>
      </c>
      <c r="L261" s="4" t="s">
        <v>229</v>
      </c>
      <c r="M261" s="5">
        <v>48.066366779999996</v>
      </c>
      <c r="N261" s="5">
        <v>0.3</v>
      </c>
      <c r="O261">
        <v>137</v>
      </c>
      <c r="P261">
        <v>267.035371</v>
      </c>
      <c r="Q261" s="4">
        <v>1</v>
      </c>
      <c r="R261" s="5">
        <v>267.035371</v>
      </c>
      <c r="S261" s="5">
        <v>1</v>
      </c>
      <c r="T261">
        <v>138</v>
      </c>
      <c r="U261">
        <v>1</v>
      </c>
      <c r="V261">
        <v>1</v>
      </c>
      <c r="W261">
        <v>1</v>
      </c>
      <c r="X261">
        <v>0.18</v>
      </c>
      <c r="Y261">
        <v>1</v>
      </c>
      <c r="Z261">
        <v>0.3</v>
      </c>
      <c r="AA261">
        <v>1</v>
      </c>
      <c r="AC261">
        <v>0.15254237288135591</v>
      </c>
      <c r="AD261">
        <f t="shared" si="6"/>
        <v>0.15254237288135591</v>
      </c>
    </row>
    <row r="262" spans="1:30" x14ac:dyDescent="0.25">
      <c r="A262">
        <v>192</v>
      </c>
      <c r="B262">
        <v>20.106192640000003</v>
      </c>
      <c r="C262" s="4">
        <v>0.2</v>
      </c>
      <c r="D262">
        <v>461</v>
      </c>
      <c r="E262">
        <v>19.242254674999998</v>
      </c>
      <c r="F262" s="4">
        <v>0.17499999999999999</v>
      </c>
      <c r="G262">
        <v>202</v>
      </c>
      <c r="H262">
        <v>28.902651920000004</v>
      </c>
      <c r="I262" s="4">
        <v>0.2</v>
      </c>
      <c r="K262" t="s">
        <v>229</v>
      </c>
      <c r="L262" s="4" t="s">
        <v>229</v>
      </c>
      <c r="M262" s="5">
        <v>48.144906595000002</v>
      </c>
      <c r="N262" s="5">
        <v>0.375</v>
      </c>
      <c r="O262">
        <v>185</v>
      </c>
      <c r="P262">
        <v>628.31852000000003</v>
      </c>
      <c r="Q262" s="4">
        <v>1</v>
      </c>
      <c r="R262" s="5">
        <v>628.31852000000003</v>
      </c>
      <c r="S262" s="5">
        <v>1</v>
      </c>
      <c r="T262">
        <v>192</v>
      </c>
      <c r="U262">
        <v>2</v>
      </c>
      <c r="V262">
        <v>2</v>
      </c>
      <c r="W262">
        <v>1</v>
      </c>
      <c r="X262">
        <v>7.6624999999999999E-2</v>
      </c>
      <c r="Y262">
        <v>2.3945312499999996</v>
      </c>
      <c r="Z262">
        <v>0.375</v>
      </c>
      <c r="AA262">
        <v>1.875</v>
      </c>
      <c r="AC262">
        <v>7.4249031007751931E-2</v>
      </c>
      <c r="AD262">
        <f t="shared" si="6"/>
        <v>0.14849806201550386</v>
      </c>
    </row>
    <row r="263" spans="1:30" x14ac:dyDescent="0.25">
      <c r="A263">
        <v>337</v>
      </c>
      <c r="B263">
        <v>115.61060768000002</v>
      </c>
      <c r="C263" s="4">
        <v>0.4</v>
      </c>
      <c r="D263">
        <v>336</v>
      </c>
      <c r="E263">
        <v>22.619466719999998</v>
      </c>
      <c r="F263" s="4">
        <v>0.3</v>
      </c>
      <c r="H263" t="s">
        <v>229</v>
      </c>
      <c r="I263" s="4" t="s">
        <v>229</v>
      </c>
      <c r="K263" t="s">
        <v>229</v>
      </c>
      <c r="L263" s="4" t="s">
        <v>229</v>
      </c>
      <c r="M263" s="5">
        <v>22.619466719999998</v>
      </c>
      <c r="N263" s="5">
        <v>0.3</v>
      </c>
      <c r="O263">
        <v>39</v>
      </c>
      <c r="P263">
        <v>40.212385280000007</v>
      </c>
      <c r="Q263" s="4">
        <v>0.4</v>
      </c>
      <c r="R263" s="5">
        <v>40.212385280000007</v>
      </c>
      <c r="S263" s="5">
        <v>0.4</v>
      </c>
      <c r="T263">
        <v>337</v>
      </c>
      <c r="U263">
        <v>1</v>
      </c>
      <c r="V263">
        <v>1</v>
      </c>
      <c r="W263">
        <v>1</v>
      </c>
      <c r="X263">
        <v>0.56249999999999989</v>
      </c>
      <c r="Y263">
        <v>0.19565217391304343</v>
      </c>
      <c r="Z263">
        <v>0.74999999999999989</v>
      </c>
      <c r="AA263">
        <v>0.74999999999999989</v>
      </c>
      <c r="AC263">
        <v>0.14516129032258063</v>
      </c>
      <c r="AD263">
        <f t="shared" si="6"/>
        <v>0.14516129032258063</v>
      </c>
    </row>
    <row r="264" spans="1:30" x14ac:dyDescent="0.25">
      <c r="A264">
        <v>15</v>
      </c>
      <c r="B264">
        <v>251.32740799999999</v>
      </c>
      <c r="C264" s="4">
        <v>1</v>
      </c>
      <c r="D264">
        <v>357</v>
      </c>
      <c r="E264">
        <v>7.6969018699999987</v>
      </c>
      <c r="F264" s="4">
        <v>0.17499999999999999</v>
      </c>
      <c r="G264">
        <v>9</v>
      </c>
      <c r="H264">
        <v>14.431691006249999</v>
      </c>
      <c r="I264" s="4">
        <v>0.17499999999999999</v>
      </c>
      <c r="K264" t="s">
        <v>229</v>
      </c>
      <c r="L264" s="4" t="s">
        <v>229</v>
      </c>
      <c r="M264" s="5">
        <v>22.128592876249996</v>
      </c>
      <c r="N264" s="5">
        <v>0.35</v>
      </c>
      <c r="O264">
        <v>16</v>
      </c>
      <c r="P264">
        <v>57.36076848710001</v>
      </c>
      <c r="Q264" s="4">
        <v>0.26500000000000001</v>
      </c>
      <c r="R264" s="5">
        <v>57.36076848710001</v>
      </c>
      <c r="S264" s="5">
        <v>0.26500000000000001</v>
      </c>
      <c r="T264">
        <v>15</v>
      </c>
      <c r="U264">
        <v>2</v>
      </c>
      <c r="V264">
        <v>2</v>
      </c>
      <c r="W264">
        <v>1</v>
      </c>
      <c r="X264">
        <v>0.38577922611386467</v>
      </c>
      <c r="Y264">
        <v>8.8046874999999983E-2</v>
      </c>
      <c r="Z264">
        <v>1.320754716981132</v>
      </c>
      <c r="AA264">
        <v>0.35</v>
      </c>
      <c r="AC264">
        <v>7.1685910124823796E-2</v>
      </c>
      <c r="AD264">
        <f t="shared" si="6"/>
        <v>0.14337182024964759</v>
      </c>
    </row>
    <row r="265" spans="1:30" x14ac:dyDescent="0.25">
      <c r="A265">
        <v>163</v>
      </c>
      <c r="B265">
        <v>42.725659360000009</v>
      </c>
      <c r="C265" s="4">
        <v>0.4</v>
      </c>
      <c r="D265">
        <v>162</v>
      </c>
      <c r="E265">
        <v>16.355916473749996</v>
      </c>
      <c r="F265" s="4">
        <v>0.17499999999999999</v>
      </c>
      <c r="G265">
        <v>169</v>
      </c>
      <c r="H265">
        <v>42.725659360000009</v>
      </c>
      <c r="I265" s="4">
        <v>0.4</v>
      </c>
      <c r="K265" t="s">
        <v>229</v>
      </c>
      <c r="L265" s="4" t="s">
        <v>229</v>
      </c>
      <c r="M265" s="5">
        <v>59.081575833750009</v>
      </c>
      <c r="N265" s="5">
        <v>0.57499999999999996</v>
      </c>
      <c r="O265">
        <v>158</v>
      </c>
      <c r="P265">
        <v>785.39814999999999</v>
      </c>
      <c r="Q265" s="4">
        <v>1</v>
      </c>
      <c r="R265" s="5">
        <v>785.39814999999999</v>
      </c>
      <c r="S265" s="5">
        <v>1</v>
      </c>
      <c r="T265">
        <v>163</v>
      </c>
      <c r="U265">
        <v>2</v>
      </c>
      <c r="V265">
        <v>2</v>
      </c>
      <c r="W265">
        <v>1</v>
      </c>
      <c r="X265">
        <v>7.5225000000000014E-2</v>
      </c>
      <c r="Y265">
        <v>1.3828125</v>
      </c>
      <c r="Z265">
        <v>0.57499999999999996</v>
      </c>
      <c r="AA265">
        <v>1.4374999999999998</v>
      </c>
      <c r="AC265">
        <v>7.1343892261001532E-2</v>
      </c>
      <c r="AD265">
        <f t="shared" si="6"/>
        <v>0.14268778452200306</v>
      </c>
    </row>
    <row r="266" spans="1:30" x14ac:dyDescent="0.25">
      <c r="A266">
        <v>190</v>
      </c>
      <c r="B266">
        <v>35.298934453600005</v>
      </c>
      <c r="C266" s="4">
        <v>0.26500000000000001</v>
      </c>
      <c r="D266">
        <v>24</v>
      </c>
      <c r="E266">
        <v>9.621127337499999</v>
      </c>
      <c r="F266" s="4">
        <v>0.17499999999999999</v>
      </c>
      <c r="H266" t="s">
        <v>229</v>
      </c>
      <c r="I266" s="4" t="s">
        <v>229</v>
      </c>
      <c r="K266" t="s">
        <v>229</v>
      </c>
      <c r="L266" s="4" t="s">
        <v>229</v>
      </c>
      <c r="M266" s="5">
        <v>9.621127337499999</v>
      </c>
      <c r="N266" s="5">
        <v>0.17499999999999999</v>
      </c>
      <c r="O266">
        <v>224</v>
      </c>
      <c r="P266">
        <v>33.092751050250008</v>
      </c>
      <c r="Q266" s="4">
        <v>0.26500000000000001</v>
      </c>
      <c r="R266" s="5">
        <v>33.092751050250008</v>
      </c>
      <c r="S266" s="5">
        <v>0.26500000000000001</v>
      </c>
      <c r="T266">
        <v>190</v>
      </c>
      <c r="U266">
        <v>1</v>
      </c>
      <c r="V266">
        <v>1</v>
      </c>
      <c r="W266">
        <v>1</v>
      </c>
      <c r="X266">
        <v>0.2907321704046516</v>
      </c>
      <c r="Y266">
        <v>0.27256140975436094</v>
      </c>
      <c r="Z266">
        <v>0.660377358490566</v>
      </c>
      <c r="AA266">
        <v>0.660377358490566</v>
      </c>
      <c r="AC266">
        <v>0.14067685664741209</v>
      </c>
      <c r="AD266">
        <f t="shared" si="6"/>
        <v>0.14067685664741209</v>
      </c>
    </row>
    <row r="267" spans="1:30" x14ac:dyDescent="0.25">
      <c r="A267">
        <v>301</v>
      </c>
      <c r="B267">
        <v>7.6969018699999987</v>
      </c>
      <c r="C267" s="4">
        <v>0.17499999999999999</v>
      </c>
      <c r="D267">
        <v>499</v>
      </c>
      <c r="E267">
        <v>7.6969018699999987</v>
      </c>
      <c r="F267" s="4">
        <v>0.17499999999999999</v>
      </c>
      <c r="H267" t="s">
        <v>229</v>
      </c>
      <c r="I267" s="4" t="s">
        <v>229</v>
      </c>
      <c r="K267" t="s">
        <v>229</v>
      </c>
      <c r="L267" s="4" t="s">
        <v>229</v>
      </c>
      <c r="M267" s="5">
        <v>7.6969018699999987</v>
      </c>
      <c r="N267" s="5">
        <v>0.17499999999999999</v>
      </c>
      <c r="O267">
        <v>300</v>
      </c>
      <c r="P267">
        <v>48.536034873700011</v>
      </c>
      <c r="Q267" s="4">
        <v>0.26500000000000001</v>
      </c>
      <c r="R267" s="5">
        <v>48.536034873700011</v>
      </c>
      <c r="S267" s="5">
        <v>0.26500000000000001</v>
      </c>
      <c r="T267">
        <v>301</v>
      </c>
      <c r="U267">
        <v>1</v>
      </c>
      <c r="V267">
        <v>1</v>
      </c>
      <c r="W267">
        <v>1</v>
      </c>
      <c r="X267">
        <v>0.1585811838570827</v>
      </c>
      <c r="Y267">
        <v>1</v>
      </c>
      <c r="Z267">
        <v>0.660377358490566</v>
      </c>
      <c r="AA267">
        <v>1</v>
      </c>
      <c r="AC267">
        <v>0.13687533171317631</v>
      </c>
      <c r="AD267">
        <f t="shared" si="6"/>
        <v>0.13687533171317631</v>
      </c>
    </row>
    <row r="268" spans="1:30" x14ac:dyDescent="0.25">
      <c r="A268">
        <v>341</v>
      </c>
      <c r="B268">
        <v>17.649467226800002</v>
      </c>
      <c r="C268" s="4">
        <v>0.26500000000000001</v>
      </c>
      <c r="D268">
        <v>340</v>
      </c>
      <c r="E268">
        <v>5.0265481600000008</v>
      </c>
      <c r="F268" s="4">
        <v>0.2</v>
      </c>
      <c r="H268" t="s">
        <v>229</v>
      </c>
      <c r="I268" s="4" t="s">
        <v>229</v>
      </c>
      <c r="K268" t="s">
        <v>229</v>
      </c>
      <c r="L268" s="4" t="s">
        <v>229</v>
      </c>
      <c r="M268" s="5">
        <v>5.0265481600000008</v>
      </c>
      <c r="N268" s="5">
        <v>0.2</v>
      </c>
      <c r="O268">
        <v>342</v>
      </c>
      <c r="P268">
        <v>20.106192640000003</v>
      </c>
      <c r="Q268" s="4">
        <v>0.4</v>
      </c>
      <c r="R268" s="5">
        <v>20.106192640000003</v>
      </c>
      <c r="S268" s="5">
        <v>0.4</v>
      </c>
      <c r="T268">
        <v>341</v>
      </c>
      <c r="U268">
        <v>1</v>
      </c>
      <c r="V268">
        <v>1</v>
      </c>
      <c r="W268">
        <v>1</v>
      </c>
      <c r="X268">
        <v>0.25</v>
      </c>
      <c r="Y268">
        <v>0.2847988608045568</v>
      </c>
      <c r="Z268">
        <v>0.5</v>
      </c>
      <c r="AA268">
        <v>0.75471698113207553</v>
      </c>
      <c r="AC268">
        <v>0.13313363288400734</v>
      </c>
      <c r="AD268">
        <f t="shared" si="6"/>
        <v>0.13313363288400734</v>
      </c>
    </row>
    <row r="269" spans="1:30" x14ac:dyDescent="0.25">
      <c r="A269">
        <v>185</v>
      </c>
      <c r="B269">
        <v>628.31852000000003</v>
      </c>
      <c r="C269" s="4">
        <v>1</v>
      </c>
      <c r="D269">
        <v>459</v>
      </c>
      <c r="E269">
        <v>19.242254674999998</v>
      </c>
      <c r="F269" s="4">
        <v>0.17499999999999999</v>
      </c>
      <c r="G269">
        <v>192</v>
      </c>
      <c r="H269">
        <v>20.106192640000003</v>
      </c>
      <c r="I269" s="4">
        <v>0.2</v>
      </c>
      <c r="K269" t="s">
        <v>229</v>
      </c>
      <c r="L269" s="4" t="s">
        <v>229</v>
      </c>
      <c r="M269" s="5">
        <v>39.348447315000001</v>
      </c>
      <c r="N269" s="5">
        <v>0.375</v>
      </c>
      <c r="O269">
        <v>186</v>
      </c>
      <c r="P269">
        <v>17.649467226800002</v>
      </c>
      <c r="Q269" s="4">
        <v>0.26500000000000001</v>
      </c>
      <c r="R269" s="5">
        <v>17.649467226800002</v>
      </c>
      <c r="S269" s="5">
        <v>0.26500000000000001</v>
      </c>
      <c r="T269">
        <v>185</v>
      </c>
      <c r="U269">
        <v>2</v>
      </c>
      <c r="V269">
        <v>2</v>
      </c>
      <c r="W269">
        <v>1</v>
      </c>
      <c r="X269">
        <v>2.2294410822356707</v>
      </c>
      <c r="Y269">
        <v>6.2625E-2</v>
      </c>
      <c r="Z269">
        <v>1.4150943396226414</v>
      </c>
      <c r="AA269">
        <v>0.375</v>
      </c>
      <c r="AC269">
        <v>6.0913927768969645E-2</v>
      </c>
      <c r="AD269">
        <f t="shared" si="6"/>
        <v>0.12182785553793929</v>
      </c>
    </row>
    <row r="270" spans="1:30" x14ac:dyDescent="0.25">
      <c r="A270">
        <v>204</v>
      </c>
      <c r="B270">
        <v>6.734789136249999</v>
      </c>
      <c r="C270" s="4">
        <v>0.17499999999999999</v>
      </c>
      <c r="D270">
        <v>467</v>
      </c>
      <c r="E270">
        <v>38.484509349999996</v>
      </c>
      <c r="F270" s="4">
        <v>0.17499999999999999</v>
      </c>
      <c r="H270" t="s">
        <v>229</v>
      </c>
      <c r="I270" s="4" t="s">
        <v>229</v>
      </c>
      <c r="K270" t="s">
        <v>229</v>
      </c>
      <c r="L270" s="4" t="s">
        <v>229</v>
      </c>
      <c r="M270" s="5">
        <v>38.484509349999996</v>
      </c>
      <c r="N270" s="5">
        <v>0.17499999999999999</v>
      </c>
      <c r="O270">
        <v>205</v>
      </c>
      <c r="P270">
        <v>309.25052156250001</v>
      </c>
      <c r="Q270" s="4">
        <v>0.75</v>
      </c>
      <c r="R270" s="5">
        <v>309.25052156250001</v>
      </c>
      <c r="S270" s="5">
        <v>0.75</v>
      </c>
      <c r="T270">
        <v>204</v>
      </c>
      <c r="U270">
        <v>1</v>
      </c>
      <c r="V270">
        <v>1</v>
      </c>
      <c r="W270">
        <v>1</v>
      </c>
      <c r="X270">
        <v>0.12444444444444443</v>
      </c>
      <c r="Y270">
        <v>5.7142857142857144</v>
      </c>
      <c r="Z270">
        <v>0.23333333333333331</v>
      </c>
      <c r="AA270">
        <v>1</v>
      </c>
      <c r="AC270">
        <v>0.12179208351457153</v>
      </c>
      <c r="AD270">
        <f t="shared" si="6"/>
        <v>0.12179208351457153</v>
      </c>
    </row>
    <row r="271" spans="1:30" x14ac:dyDescent="0.25">
      <c r="A271">
        <v>300</v>
      </c>
      <c r="B271">
        <v>48.536034873700011</v>
      </c>
      <c r="C271" s="4">
        <v>0.26500000000000001</v>
      </c>
      <c r="D271">
        <v>301</v>
      </c>
      <c r="E271">
        <v>7.6969018699999987</v>
      </c>
      <c r="F271" s="4">
        <v>0.17499999999999999</v>
      </c>
      <c r="H271" t="s">
        <v>229</v>
      </c>
      <c r="I271" s="4" t="s">
        <v>229</v>
      </c>
      <c r="K271" t="s">
        <v>229</v>
      </c>
      <c r="L271" s="4" t="s">
        <v>229</v>
      </c>
      <c r="M271" s="5">
        <v>7.6969018699999987</v>
      </c>
      <c r="N271" s="5">
        <v>0.17499999999999999</v>
      </c>
      <c r="O271">
        <v>30</v>
      </c>
      <c r="P271">
        <v>17.649467226800002</v>
      </c>
      <c r="Q271" s="4">
        <v>0.26500000000000001</v>
      </c>
      <c r="R271" s="5">
        <v>17.649467226800002</v>
      </c>
      <c r="S271" s="5">
        <v>0.26500000000000001</v>
      </c>
      <c r="T271">
        <v>300</v>
      </c>
      <c r="U271">
        <v>1</v>
      </c>
      <c r="V271">
        <v>1</v>
      </c>
      <c r="W271">
        <v>1</v>
      </c>
      <c r="X271">
        <v>0.43609825560697746</v>
      </c>
      <c r="Y271">
        <v>0.1585811838570827</v>
      </c>
      <c r="Z271">
        <v>0.660377358490566</v>
      </c>
      <c r="AA271">
        <v>0.660377358490566</v>
      </c>
      <c r="AC271">
        <v>0.11629286816186064</v>
      </c>
      <c r="AD271">
        <f t="shared" si="6"/>
        <v>0.11629286816186064</v>
      </c>
    </row>
    <row r="272" spans="1:30" x14ac:dyDescent="0.25">
      <c r="A272">
        <v>102</v>
      </c>
      <c r="B272">
        <v>50.265481600000015</v>
      </c>
      <c r="C272" s="4">
        <v>0.4</v>
      </c>
      <c r="D272">
        <v>103</v>
      </c>
      <c r="E272">
        <v>10.102183704374999</v>
      </c>
      <c r="F272" s="4">
        <v>0.17499999999999999</v>
      </c>
      <c r="H272" t="s">
        <v>229</v>
      </c>
      <c r="I272" s="4" t="s">
        <v>229</v>
      </c>
      <c r="K272" t="s">
        <v>229</v>
      </c>
      <c r="L272" s="4" t="s">
        <v>229</v>
      </c>
      <c r="M272" s="5">
        <v>10.102183704374999</v>
      </c>
      <c r="N272" s="5">
        <v>0.17499999999999999</v>
      </c>
      <c r="O272">
        <v>100</v>
      </c>
      <c r="P272">
        <v>36.75663342</v>
      </c>
      <c r="Q272" s="4">
        <v>0.3</v>
      </c>
      <c r="R272" s="5">
        <v>36.75663342</v>
      </c>
      <c r="S272" s="5">
        <v>0.3</v>
      </c>
      <c r="T272">
        <v>102</v>
      </c>
      <c r="U272">
        <v>1</v>
      </c>
      <c r="V272">
        <v>1</v>
      </c>
      <c r="W272">
        <v>1</v>
      </c>
      <c r="X272">
        <v>0.27483974358974356</v>
      </c>
      <c r="Y272">
        <v>0.20097656249999993</v>
      </c>
      <c r="Z272">
        <v>0.58333333333333337</v>
      </c>
      <c r="AA272">
        <v>0.43749999999999994</v>
      </c>
      <c r="AC272">
        <v>0.11608754512635376</v>
      </c>
      <c r="AD272">
        <f t="shared" si="6"/>
        <v>0.11608754512635376</v>
      </c>
    </row>
    <row r="273" spans="1:30" x14ac:dyDescent="0.25">
      <c r="A273">
        <v>162</v>
      </c>
      <c r="B273">
        <v>16.355916473749996</v>
      </c>
      <c r="C273" s="4">
        <v>0.17499999999999999</v>
      </c>
      <c r="D273">
        <v>450</v>
      </c>
      <c r="E273">
        <v>6.734789136249999</v>
      </c>
      <c r="F273" s="4">
        <v>0.17499999999999999</v>
      </c>
      <c r="H273" t="s">
        <v>229</v>
      </c>
      <c r="I273" s="4" t="s">
        <v>229</v>
      </c>
      <c r="K273" t="s">
        <v>229</v>
      </c>
      <c r="L273" s="4" t="s">
        <v>229</v>
      </c>
      <c r="M273" s="5">
        <v>6.734789136249999</v>
      </c>
      <c r="N273" s="5">
        <v>0.17499999999999999</v>
      </c>
      <c r="O273">
        <v>163</v>
      </c>
      <c r="P273">
        <v>42.725659360000009</v>
      </c>
      <c r="Q273" s="4">
        <v>0.4</v>
      </c>
      <c r="R273" s="5">
        <v>42.725659360000009</v>
      </c>
      <c r="S273" s="5">
        <v>0.4</v>
      </c>
      <c r="T273">
        <v>162</v>
      </c>
      <c r="U273">
        <v>1</v>
      </c>
      <c r="V273">
        <v>1</v>
      </c>
      <c r="W273">
        <v>1</v>
      </c>
      <c r="X273">
        <v>0.15762867647058817</v>
      </c>
      <c r="Y273">
        <v>0.41176470588235298</v>
      </c>
      <c r="Z273">
        <v>0.43749999999999994</v>
      </c>
      <c r="AA273">
        <v>1</v>
      </c>
      <c r="AC273">
        <v>0.1139913592555666</v>
      </c>
      <c r="AD273">
        <f t="shared" si="6"/>
        <v>0.1139913592555666</v>
      </c>
    </row>
    <row r="274" spans="1:30" x14ac:dyDescent="0.25">
      <c r="A274">
        <v>58</v>
      </c>
      <c r="B274">
        <v>21.647536509374998</v>
      </c>
      <c r="C274" s="4">
        <v>0.17499999999999999</v>
      </c>
      <c r="D274">
        <v>14</v>
      </c>
      <c r="E274">
        <v>25.014931077499998</v>
      </c>
      <c r="F274" s="4">
        <v>0.17499999999999999</v>
      </c>
      <c r="H274" t="s">
        <v>229</v>
      </c>
      <c r="I274" s="4" t="s">
        <v>229</v>
      </c>
      <c r="K274" t="s">
        <v>229</v>
      </c>
      <c r="L274" s="4" t="s">
        <v>229</v>
      </c>
      <c r="M274" s="5">
        <v>25.014931077499998</v>
      </c>
      <c r="N274" s="5">
        <v>0.17499999999999999</v>
      </c>
      <c r="O274">
        <v>97</v>
      </c>
      <c r="P274">
        <v>203.57520048000001</v>
      </c>
      <c r="Q274" s="4">
        <v>0.9</v>
      </c>
      <c r="R274" s="5">
        <v>203.57520048000001</v>
      </c>
      <c r="S274" s="5">
        <v>0.9</v>
      </c>
      <c r="T274">
        <v>58</v>
      </c>
      <c r="U274">
        <v>1</v>
      </c>
      <c r="V274">
        <v>1</v>
      </c>
      <c r="W274">
        <v>1</v>
      </c>
      <c r="X274">
        <v>0.12287808641975308</v>
      </c>
      <c r="Y274">
        <v>1.1555555555555557</v>
      </c>
      <c r="Z274">
        <v>0.19444444444444442</v>
      </c>
      <c r="AA274">
        <v>1</v>
      </c>
      <c r="AC274">
        <v>0.11106752103221307</v>
      </c>
      <c r="AD274">
        <f t="shared" si="6"/>
        <v>0.11106752103221307</v>
      </c>
    </row>
    <row r="275" spans="1:30" x14ac:dyDescent="0.25">
      <c r="A275">
        <v>135</v>
      </c>
      <c r="B275">
        <v>11.545352804999998</v>
      </c>
      <c r="C275" s="4">
        <v>0.17499999999999999</v>
      </c>
      <c r="D275">
        <v>410</v>
      </c>
      <c r="E275">
        <v>9.621127337499999</v>
      </c>
      <c r="F275" s="4">
        <v>0.17499999999999999</v>
      </c>
      <c r="H275" t="s">
        <v>229</v>
      </c>
      <c r="I275" s="4" t="s">
        <v>229</v>
      </c>
      <c r="K275" t="s">
        <v>229</v>
      </c>
      <c r="L275" s="4" t="s">
        <v>229</v>
      </c>
      <c r="M275" s="5">
        <v>9.621127337499999</v>
      </c>
      <c r="N275" s="5">
        <v>0.17499999999999999</v>
      </c>
      <c r="O275">
        <v>278</v>
      </c>
      <c r="P275">
        <v>75.398222400000023</v>
      </c>
      <c r="Q275" s="4">
        <v>0.4</v>
      </c>
      <c r="R275" s="5">
        <v>75.398222400000023</v>
      </c>
      <c r="S275" s="5">
        <v>0.4</v>
      </c>
      <c r="T275">
        <v>135</v>
      </c>
      <c r="U275">
        <v>1</v>
      </c>
      <c r="V275">
        <v>1</v>
      </c>
      <c r="W275">
        <v>1</v>
      </c>
      <c r="X275">
        <v>0.1276041666666666</v>
      </c>
      <c r="Y275">
        <v>0.83333333333333337</v>
      </c>
      <c r="Z275">
        <v>0.43749999999999994</v>
      </c>
      <c r="AA275">
        <v>1</v>
      </c>
      <c r="AC275">
        <v>0.11065943992773258</v>
      </c>
      <c r="AD275">
        <f t="shared" si="6"/>
        <v>0.11065943992773258</v>
      </c>
    </row>
    <row r="276" spans="1:30" x14ac:dyDescent="0.25">
      <c r="A276">
        <v>349</v>
      </c>
      <c r="B276">
        <v>21.205750049999999</v>
      </c>
      <c r="C276" s="4">
        <v>0.3</v>
      </c>
      <c r="D276">
        <v>247</v>
      </c>
      <c r="E276">
        <v>11.545352804999998</v>
      </c>
      <c r="F276" s="4">
        <v>0.17499999999999999</v>
      </c>
      <c r="H276" t="s">
        <v>229</v>
      </c>
      <c r="I276" s="4" t="s">
        <v>229</v>
      </c>
      <c r="K276" t="s">
        <v>229</v>
      </c>
      <c r="L276" s="4" t="s">
        <v>229</v>
      </c>
      <c r="M276" s="5">
        <v>11.545352804999998</v>
      </c>
      <c r="N276" s="5">
        <v>0.17499999999999999</v>
      </c>
      <c r="O276">
        <v>348</v>
      </c>
      <c r="P276">
        <v>108.07078544000002</v>
      </c>
      <c r="Q276" s="4">
        <v>0.4</v>
      </c>
      <c r="R276" s="5">
        <v>108.07078544000002</v>
      </c>
      <c r="S276" s="5">
        <v>0.4</v>
      </c>
      <c r="T276">
        <v>349</v>
      </c>
      <c r="U276">
        <v>1</v>
      </c>
      <c r="V276">
        <v>1</v>
      </c>
      <c r="W276">
        <v>1</v>
      </c>
      <c r="X276">
        <v>0.10683139534883718</v>
      </c>
      <c r="Y276">
        <v>0.5444444444444444</v>
      </c>
      <c r="Z276">
        <v>0.43749999999999994</v>
      </c>
      <c r="AA276">
        <v>0.58333333333333337</v>
      </c>
      <c r="AC276">
        <v>8.9307411907654899E-2</v>
      </c>
      <c r="AD276">
        <f t="shared" si="6"/>
        <v>8.9307411907654899E-2</v>
      </c>
    </row>
    <row r="277" spans="1:30" x14ac:dyDescent="0.25">
      <c r="A277">
        <v>152</v>
      </c>
      <c r="B277">
        <v>25.132740800000008</v>
      </c>
      <c r="C277" s="4">
        <v>0.2</v>
      </c>
      <c r="D277">
        <v>151</v>
      </c>
      <c r="E277">
        <v>25.132740800000008</v>
      </c>
      <c r="F277" s="4">
        <v>0.2</v>
      </c>
      <c r="H277" t="s">
        <v>229</v>
      </c>
      <c r="I277" s="4" t="s">
        <v>229</v>
      </c>
      <c r="K277" t="s">
        <v>229</v>
      </c>
      <c r="L277" s="4" t="s">
        <v>229</v>
      </c>
      <c r="M277" s="5">
        <v>25.132740800000008</v>
      </c>
      <c r="N277" s="5">
        <v>0.2</v>
      </c>
      <c r="O277">
        <v>153</v>
      </c>
      <c r="P277">
        <v>267.035371</v>
      </c>
      <c r="Q277" s="4">
        <v>1</v>
      </c>
      <c r="R277" s="5">
        <v>267.035371</v>
      </c>
      <c r="S277" s="5">
        <v>1</v>
      </c>
      <c r="T277">
        <v>152</v>
      </c>
      <c r="U277">
        <v>1</v>
      </c>
      <c r="V277">
        <v>1</v>
      </c>
      <c r="W277">
        <v>1</v>
      </c>
      <c r="X277">
        <v>9.4117647058823556E-2</v>
      </c>
      <c r="Y277">
        <v>1</v>
      </c>
      <c r="Z277">
        <v>0.2</v>
      </c>
      <c r="AA277">
        <v>1</v>
      </c>
      <c r="AC277">
        <v>8.6021505376344107E-2</v>
      </c>
      <c r="AD277">
        <f t="shared" si="6"/>
        <v>8.6021505376344107E-2</v>
      </c>
    </row>
    <row r="278" spans="1:30" x14ac:dyDescent="0.25">
      <c r="A278">
        <v>148</v>
      </c>
      <c r="B278">
        <v>23.876103760000007</v>
      </c>
      <c r="C278" s="4">
        <v>0.2</v>
      </c>
      <c r="D278">
        <v>147</v>
      </c>
      <c r="E278">
        <v>23.876103760000007</v>
      </c>
      <c r="F278" s="4">
        <v>0.2</v>
      </c>
      <c r="H278" t="s">
        <v>229</v>
      </c>
      <c r="I278" s="4" t="s">
        <v>229</v>
      </c>
      <c r="K278" t="s">
        <v>229</v>
      </c>
      <c r="L278" s="4" t="s">
        <v>229</v>
      </c>
      <c r="M278" s="5">
        <v>23.876103760000007</v>
      </c>
      <c r="N278" s="5">
        <v>0.2</v>
      </c>
      <c r="O278">
        <v>149</v>
      </c>
      <c r="P278">
        <v>267.035371</v>
      </c>
      <c r="Q278" s="4">
        <v>1</v>
      </c>
      <c r="R278" s="5">
        <v>267.035371</v>
      </c>
      <c r="S278" s="5">
        <v>1</v>
      </c>
      <c r="T278">
        <v>148</v>
      </c>
      <c r="U278">
        <v>1</v>
      </c>
      <c r="V278">
        <v>1</v>
      </c>
      <c r="W278">
        <v>1</v>
      </c>
      <c r="X278">
        <v>8.9411764705882385E-2</v>
      </c>
      <c r="Y278">
        <v>1</v>
      </c>
      <c r="Z278">
        <v>0.2</v>
      </c>
      <c r="AA278">
        <v>1</v>
      </c>
      <c r="AC278">
        <v>8.2073434125269989E-2</v>
      </c>
      <c r="AD278">
        <f t="shared" si="6"/>
        <v>8.2073434125269989E-2</v>
      </c>
    </row>
    <row r="279" spans="1:30" x14ac:dyDescent="0.25">
      <c r="A279">
        <v>205</v>
      </c>
      <c r="B279">
        <v>309.25052156250001</v>
      </c>
      <c r="C279" s="4">
        <v>0.75</v>
      </c>
      <c r="D279">
        <v>470</v>
      </c>
      <c r="E279">
        <v>4.8105636687499995</v>
      </c>
      <c r="F279" s="4">
        <v>0.17499999999999999</v>
      </c>
      <c r="G279">
        <v>204</v>
      </c>
      <c r="H279">
        <v>6.734789136249999</v>
      </c>
      <c r="I279" s="4">
        <v>0.17499999999999999</v>
      </c>
      <c r="K279" t="s">
        <v>229</v>
      </c>
      <c r="L279" s="4" t="s">
        <v>229</v>
      </c>
      <c r="M279" s="5">
        <v>11.545352804999998</v>
      </c>
      <c r="N279" s="5">
        <v>0.35</v>
      </c>
      <c r="O279">
        <v>208</v>
      </c>
      <c r="P279">
        <v>25.132740800000008</v>
      </c>
      <c r="Q279" s="4">
        <v>0.4</v>
      </c>
      <c r="R279" s="5">
        <v>25.132740800000008</v>
      </c>
      <c r="S279" s="5">
        <v>0.4</v>
      </c>
      <c r="T279">
        <v>205</v>
      </c>
      <c r="U279">
        <v>2</v>
      </c>
      <c r="V279">
        <v>2</v>
      </c>
      <c r="W279">
        <v>1</v>
      </c>
      <c r="X279">
        <v>0.45937499999999981</v>
      </c>
      <c r="Y279">
        <v>3.7333333333333329E-2</v>
      </c>
      <c r="Z279">
        <v>0.87499999999999989</v>
      </c>
      <c r="AA279">
        <v>0.46666666666666662</v>
      </c>
      <c r="AC279">
        <v>3.4527304756312382E-2</v>
      </c>
      <c r="AD279">
        <f t="shared" si="6"/>
        <v>6.9054609512624765E-2</v>
      </c>
    </row>
    <row r="280" spans="1:30" x14ac:dyDescent="0.25">
      <c r="A280">
        <v>161</v>
      </c>
      <c r="B280">
        <v>17.649467226800002</v>
      </c>
      <c r="C280" s="4">
        <v>0.26500000000000001</v>
      </c>
      <c r="D280">
        <v>160</v>
      </c>
      <c r="E280">
        <v>27.017696360000006</v>
      </c>
      <c r="F280" s="4">
        <v>0.2</v>
      </c>
      <c r="H280" t="s">
        <v>229</v>
      </c>
      <c r="I280" s="4" t="s">
        <v>229</v>
      </c>
      <c r="K280" t="s">
        <v>229</v>
      </c>
      <c r="L280" s="4" t="s">
        <v>229</v>
      </c>
      <c r="M280" s="5">
        <v>27.017696360000006</v>
      </c>
      <c r="N280" s="5">
        <v>0.2</v>
      </c>
      <c r="O280">
        <v>156</v>
      </c>
      <c r="P280">
        <v>388.77208425000003</v>
      </c>
      <c r="Q280" s="4">
        <v>0.75</v>
      </c>
      <c r="R280" s="5">
        <v>388.77208425000003</v>
      </c>
      <c r="S280" s="5">
        <v>0.75</v>
      </c>
      <c r="T280">
        <v>161</v>
      </c>
      <c r="U280">
        <v>1</v>
      </c>
      <c r="V280">
        <v>1</v>
      </c>
      <c r="W280">
        <v>1</v>
      </c>
      <c r="X280">
        <v>6.9494949494949498E-2</v>
      </c>
      <c r="Y280">
        <v>1.5307938768244929</v>
      </c>
      <c r="Z280">
        <v>0.26666666666666666</v>
      </c>
      <c r="AA280">
        <v>0.75471698113207553</v>
      </c>
      <c r="AC280">
        <v>6.6477026776327997E-2</v>
      </c>
      <c r="AD280">
        <f t="shared" si="6"/>
        <v>6.6477026776327997E-2</v>
      </c>
    </row>
    <row r="281" spans="1:30" x14ac:dyDescent="0.25">
      <c r="A281">
        <v>176</v>
      </c>
      <c r="B281">
        <v>19.242254674999998</v>
      </c>
      <c r="C281" s="4">
        <v>0.17499999999999999</v>
      </c>
      <c r="D281">
        <v>456</v>
      </c>
      <c r="E281">
        <v>19.242254674999998</v>
      </c>
      <c r="F281" s="4">
        <v>0.17499999999999999</v>
      </c>
      <c r="H281" t="s">
        <v>229</v>
      </c>
      <c r="I281" s="4" t="s">
        <v>229</v>
      </c>
      <c r="K281" t="s">
        <v>229</v>
      </c>
      <c r="L281" s="4" t="s">
        <v>229</v>
      </c>
      <c r="M281" s="5">
        <v>19.242254674999998</v>
      </c>
      <c r="N281" s="5">
        <v>0.17499999999999999</v>
      </c>
      <c r="O281">
        <v>177</v>
      </c>
      <c r="P281">
        <v>282.743334</v>
      </c>
      <c r="Q281" s="4">
        <v>0.75</v>
      </c>
      <c r="R281" s="5">
        <v>282.743334</v>
      </c>
      <c r="S281" s="5">
        <v>0.75</v>
      </c>
      <c r="T281">
        <v>176</v>
      </c>
      <c r="U281">
        <v>1</v>
      </c>
      <c r="V281">
        <v>1</v>
      </c>
      <c r="W281">
        <v>1</v>
      </c>
      <c r="X281">
        <v>6.805555555555555E-2</v>
      </c>
      <c r="Y281">
        <v>1</v>
      </c>
      <c r="Z281">
        <v>0.23333333333333331</v>
      </c>
      <c r="AA281">
        <v>1</v>
      </c>
      <c r="AC281">
        <v>6.3719115734720402E-2</v>
      </c>
      <c r="AD281">
        <f t="shared" si="6"/>
        <v>6.3719115734720402E-2</v>
      </c>
    </row>
    <row r="282" spans="1:30" x14ac:dyDescent="0.25">
      <c r="A282">
        <v>143</v>
      </c>
      <c r="B282">
        <v>17.799085574374995</v>
      </c>
      <c r="C282" s="4">
        <v>0.17499999999999999</v>
      </c>
      <c r="D282">
        <v>142</v>
      </c>
      <c r="E282">
        <v>17.799085574374995</v>
      </c>
      <c r="F282" s="4">
        <v>0.17499999999999999</v>
      </c>
      <c r="H282" t="s">
        <v>229</v>
      </c>
      <c r="I282" s="4" t="s">
        <v>229</v>
      </c>
      <c r="K282" t="s">
        <v>229</v>
      </c>
      <c r="L282" s="4" t="s">
        <v>229</v>
      </c>
      <c r="M282" s="5">
        <v>17.799085574374995</v>
      </c>
      <c r="N282" s="5">
        <v>0.17499999999999999</v>
      </c>
      <c r="O282">
        <v>144</v>
      </c>
      <c r="P282">
        <v>267.035371</v>
      </c>
      <c r="Q282" s="4">
        <v>1</v>
      </c>
      <c r="R282" s="5">
        <v>267.035371</v>
      </c>
      <c r="S282" s="5">
        <v>1</v>
      </c>
      <c r="T282">
        <v>143</v>
      </c>
      <c r="U282">
        <v>1</v>
      </c>
      <c r="V282">
        <v>1</v>
      </c>
      <c r="W282">
        <v>1</v>
      </c>
      <c r="X282">
        <v>6.6654411764705865E-2</v>
      </c>
      <c r="Y282">
        <v>1</v>
      </c>
      <c r="Z282">
        <v>0.17499999999999999</v>
      </c>
      <c r="AA282">
        <v>1</v>
      </c>
      <c r="AC282">
        <v>6.2489228966325423E-2</v>
      </c>
      <c r="AD282">
        <f t="shared" si="6"/>
        <v>6.2489228966325423E-2</v>
      </c>
    </row>
    <row r="283" spans="1:30" x14ac:dyDescent="0.25">
      <c r="A283">
        <v>121</v>
      </c>
      <c r="B283">
        <v>309.25052156250001</v>
      </c>
      <c r="C283" s="4">
        <v>0.75</v>
      </c>
      <c r="D283">
        <v>122</v>
      </c>
      <c r="E283">
        <v>16.836972840624998</v>
      </c>
      <c r="F283" s="4">
        <v>0.17499999999999999</v>
      </c>
      <c r="H283" t="s">
        <v>229</v>
      </c>
      <c r="I283" s="4" t="s">
        <v>229</v>
      </c>
      <c r="K283" t="s">
        <v>229</v>
      </c>
      <c r="L283" s="4" t="s">
        <v>229</v>
      </c>
      <c r="M283" s="5">
        <v>16.836972840624998</v>
      </c>
      <c r="N283" s="5">
        <v>0.17499999999999999</v>
      </c>
      <c r="O283">
        <v>120</v>
      </c>
      <c r="P283">
        <v>10.681414840000002</v>
      </c>
      <c r="Q283" s="4">
        <v>0.2</v>
      </c>
      <c r="R283" s="5">
        <v>10.681414840000002</v>
      </c>
      <c r="S283" s="5">
        <v>0.2</v>
      </c>
      <c r="T283">
        <v>121</v>
      </c>
      <c r="U283">
        <v>1</v>
      </c>
      <c r="V283">
        <v>1</v>
      </c>
      <c r="W283">
        <v>1</v>
      </c>
      <c r="X283">
        <v>1.5762867647058818</v>
      </c>
      <c r="Y283">
        <v>5.4444444444444434E-2</v>
      </c>
      <c r="Z283">
        <v>0.87499999999999989</v>
      </c>
      <c r="AA283">
        <v>0.23333333333333331</v>
      </c>
      <c r="AC283">
        <v>5.2626733767030802E-2</v>
      </c>
      <c r="AD283">
        <f t="shared" si="6"/>
        <v>5.2626733767030802E-2</v>
      </c>
    </row>
    <row r="284" spans="1:30" x14ac:dyDescent="0.25">
      <c r="A284">
        <v>171</v>
      </c>
      <c r="B284">
        <v>291.57906318750003</v>
      </c>
      <c r="C284" s="4">
        <v>0.75</v>
      </c>
      <c r="D284">
        <v>453</v>
      </c>
      <c r="E284">
        <v>15.874860106874999</v>
      </c>
      <c r="F284" s="4">
        <v>0.17499999999999999</v>
      </c>
      <c r="H284" t="s">
        <v>229</v>
      </c>
      <c r="I284" s="4" t="s">
        <v>229</v>
      </c>
      <c r="K284" t="s">
        <v>229</v>
      </c>
      <c r="L284" s="4" t="s">
        <v>229</v>
      </c>
      <c r="M284" s="5">
        <v>15.874860106874999</v>
      </c>
      <c r="N284" s="5">
        <v>0.17499999999999999</v>
      </c>
      <c r="O284">
        <v>172</v>
      </c>
      <c r="P284">
        <v>22.619466719999998</v>
      </c>
      <c r="Q284" s="4">
        <v>0.3</v>
      </c>
      <c r="R284" s="5">
        <v>22.619466719999998</v>
      </c>
      <c r="S284" s="5">
        <v>0.3</v>
      </c>
      <c r="T284">
        <v>171</v>
      </c>
      <c r="U284">
        <v>1</v>
      </c>
      <c r="V284">
        <v>1</v>
      </c>
      <c r="W284">
        <v>1</v>
      </c>
      <c r="X284">
        <v>0.70182291666666674</v>
      </c>
      <c r="Y284">
        <v>5.4444444444444441E-2</v>
      </c>
      <c r="Z284">
        <v>0.58333333333333337</v>
      </c>
      <c r="AA284">
        <v>0.23333333333333331</v>
      </c>
      <c r="AC284">
        <v>5.0524934383202096E-2</v>
      </c>
      <c r="AD284">
        <f t="shared" si="6"/>
        <v>5.0524934383202096E-2</v>
      </c>
    </row>
    <row r="285" spans="1:30" x14ac:dyDescent="0.25">
      <c r="A285">
        <v>118</v>
      </c>
      <c r="B285">
        <v>14.431691006249999</v>
      </c>
      <c r="C285" s="4">
        <v>0.17499999999999999</v>
      </c>
      <c r="D285">
        <v>117</v>
      </c>
      <c r="E285">
        <v>16.836972840624998</v>
      </c>
      <c r="F285" s="4">
        <v>0.17499999999999999</v>
      </c>
      <c r="H285" t="s">
        <v>229</v>
      </c>
      <c r="I285" s="4" t="s">
        <v>229</v>
      </c>
      <c r="K285" t="s">
        <v>229</v>
      </c>
      <c r="L285" s="4" t="s">
        <v>229</v>
      </c>
      <c r="M285" s="5">
        <v>16.836972840624998</v>
      </c>
      <c r="N285" s="5">
        <v>0.17499999999999999</v>
      </c>
      <c r="O285">
        <v>119</v>
      </c>
      <c r="P285">
        <v>361.28314899999998</v>
      </c>
      <c r="Q285" s="4">
        <v>1</v>
      </c>
      <c r="R285" s="5">
        <v>361.28314899999998</v>
      </c>
      <c r="S285" s="5">
        <v>1</v>
      </c>
      <c r="T285">
        <v>118</v>
      </c>
      <c r="U285">
        <v>1</v>
      </c>
      <c r="V285">
        <v>1</v>
      </c>
      <c r="W285">
        <v>1</v>
      </c>
      <c r="X285">
        <v>4.6603260869565212E-2</v>
      </c>
      <c r="Y285">
        <v>1.1666666666666667</v>
      </c>
      <c r="Z285">
        <v>0.17499999999999999</v>
      </c>
      <c r="AA285">
        <v>1</v>
      </c>
      <c r="AC285">
        <v>4.4813169584530965E-2</v>
      </c>
      <c r="AD285">
        <f t="shared" si="6"/>
        <v>4.4813169584530965E-2</v>
      </c>
    </row>
    <row r="286" spans="1:30" x14ac:dyDescent="0.25">
      <c r="A286">
        <v>12</v>
      </c>
      <c r="B286">
        <v>32.672563040000007</v>
      </c>
      <c r="C286" s="4">
        <v>0.2</v>
      </c>
      <c r="D286">
        <v>11</v>
      </c>
      <c r="E286">
        <v>12.507465538749999</v>
      </c>
      <c r="F286" s="4">
        <v>0.17499999999999999</v>
      </c>
      <c r="H286" t="s">
        <v>229</v>
      </c>
      <c r="I286" s="4" t="s">
        <v>229</v>
      </c>
      <c r="K286" t="s">
        <v>229</v>
      </c>
      <c r="L286" s="4" t="s">
        <v>229</v>
      </c>
      <c r="M286" s="5">
        <v>12.507465538749999</v>
      </c>
      <c r="N286" s="5">
        <v>0.17499999999999999</v>
      </c>
      <c r="O286">
        <v>59</v>
      </c>
      <c r="P286">
        <v>294.05306736</v>
      </c>
      <c r="Q286" s="4">
        <v>0.6</v>
      </c>
      <c r="R286" s="5">
        <v>294.05306736</v>
      </c>
      <c r="S286" s="5">
        <v>0.6</v>
      </c>
      <c r="T286">
        <v>12</v>
      </c>
      <c r="U286">
        <v>1</v>
      </c>
      <c r="V286">
        <v>1</v>
      </c>
      <c r="W286">
        <v>1</v>
      </c>
      <c r="X286">
        <v>4.2534722222222217E-2</v>
      </c>
      <c r="Y286">
        <v>0.38281249999999989</v>
      </c>
      <c r="Z286">
        <v>0.29166666666666669</v>
      </c>
      <c r="AA286">
        <v>0.87499999999999989</v>
      </c>
      <c r="AC286">
        <v>3.8281249999999996E-2</v>
      </c>
      <c r="AD286">
        <f t="shared" si="6"/>
        <v>3.8281249999999996E-2</v>
      </c>
    </row>
    <row r="287" spans="1:30" x14ac:dyDescent="0.25">
      <c r="A287">
        <v>336</v>
      </c>
      <c r="B287">
        <v>22.619466719999998</v>
      </c>
      <c r="C287" s="4">
        <v>0.3</v>
      </c>
      <c r="D287">
        <v>335</v>
      </c>
      <c r="E287">
        <v>5.0265481600000008</v>
      </c>
      <c r="F287" s="4">
        <v>0.2</v>
      </c>
      <c r="H287" t="s">
        <v>229</v>
      </c>
      <c r="I287" s="4" t="s">
        <v>229</v>
      </c>
      <c r="K287" t="s">
        <v>229</v>
      </c>
      <c r="L287" s="4" t="s">
        <v>229</v>
      </c>
      <c r="M287" s="5">
        <v>5.0265481600000008</v>
      </c>
      <c r="N287" s="5">
        <v>0.2</v>
      </c>
      <c r="O287">
        <v>337</v>
      </c>
      <c r="P287">
        <v>115.61060768000002</v>
      </c>
      <c r="Q287" s="4">
        <v>0.4</v>
      </c>
      <c r="R287" s="5">
        <v>115.61060768000002</v>
      </c>
      <c r="S287" s="5">
        <v>0.4</v>
      </c>
      <c r="T287">
        <v>336</v>
      </c>
      <c r="U287">
        <v>1</v>
      </c>
      <c r="V287">
        <v>1</v>
      </c>
      <c r="W287">
        <v>1</v>
      </c>
      <c r="X287">
        <v>4.3478260869565216E-2</v>
      </c>
      <c r="Y287">
        <v>0.22222222222222227</v>
      </c>
      <c r="Z287">
        <v>0.5</v>
      </c>
      <c r="AA287">
        <v>0.66666666666666674</v>
      </c>
      <c r="AC287">
        <v>3.6363636363636369E-2</v>
      </c>
      <c r="AD287">
        <f t="shared" si="6"/>
        <v>3.6363636363636369E-2</v>
      </c>
    </row>
    <row r="288" spans="1:30" x14ac:dyDescent="0.25">
      <c r="A288">
        <v>334</v>
      </c>
      <c r="B288">
        <v>345.57518600000003</v>
      </c>
      <c r="C288" s="4">
        <v>1</v>
      </c>
      <c r="D288">
        <v>333</v>
      </c>
      <c r="E288">
        <v>10.053096320000002</v>
      </c>
      <c r="F288" s="4">
        <v>0.2</v>
      </c>
      <c r="H288" t="s">
        <v>229</v>
      </c>
      <c r="I288" s="4" t="s">
        <v>229</v>
      </c>
      <c r="K288" t="s">
        <v>229</v>
      </c>
      <c r="L288" s="4" t="s">
        <v>229</v>
      </c>
      <c r="M288" s="5">
        <v>10.053096320000002</v>
      </c>
      <c r="N288" s="5">
        <v>0.2</v>
      </c>
      <c r="O288">
        <v>335</v>
      </c>
      <c r="P288">
        <v>5.0265481600000008</v>
      </c>
      <c r="Q288" s="4">
        <v>0.2</v>
      </c>
      <c r="R288" s="5">
        <v>5.0265481600000008</v>
      </c>
      <c r="S288" s="5">
        <v>0.2</v>
      </c>
      <c r="T288">
        <v>334</v>
      </c>
      <c r="U288">
        <v>1</v>
      </c>
      <c r="V288">
        <v>1</v>
      </c>
      <c r="W288">
        <v>1</v>
      </c>
      <c r="X288">
        <v>2</v>
      </c>
      <c r="Y288">
        <v>2.9090909090909094E-2</v>
      </c>
      <c r="Z288">
        <v>1</v>
      </c>
      <c r="AA288">
        <v>0.2</v>
      </c>
      <c r="AC288">
        <v>2.8673835125448032E-2</v>
      </c>
      <c r="AD288">
        <f t="shared" si="6"/>
        <v>2.8673835125448032E-2</v>
      </c>
    </row>
    <row r="289" spans="1:30" x14ac:dyDescent="0.25">
      <c r="A289">
        <v>333</v>
      </c>
      <c r="B289">
        <v>10.053096320000002</v>
      </c>
      <c r="C289" s="4">
        <v>0.2</v>
      </c>
      <c r="D289">
        <v>332</v>
      </c>
      <c r="E289">
        <v>7.6969018699999987</v>
      </c>
      <c r="F289" s="4">
        <v>0.17499999999999999</v>
      </c>
      <c r="H289" t="s">
        <v>229</v>
      </c>
      <c r="I289" s="4" t="s">
        <v>229</v>
      </c>
      <c r="K289" t="s">
        <v>229</v>
      </c>
      <c r="L289" s="4" t="s">
        <v>229</v>
      </c>
      <c r="M289" s="5">
        <v>7.6969018699999987</v>
      </c>
      <c r="N289" s="5">
        <v>0.17499999999999999</v>
      </c>
      <c r="O289">
        <v>334</v>
      </c>
      <c r="P289">
        <v>345.57518600000003</v>
      </c>
      <c r="Q289" s="4">
        <v>1</v>
      </c>
      <c r="R289" s="5">
        <v>345.57518600000003</v>
      </c>
      <c r="S289" s="5">
        <v>1</v>
      </c>
      <c r="T289">
        <v>333</v>
      </c>
      <c r="U289">
        <v>1</v>
      </c>
      <c r="V289">
        <v>1</v>
      </c>
      <c r="W289">
        <v>1</v>
      </c>
      <c r="X289">
        <v>2.2272727272727267E-2</v>
      </c>
      <c r="Y289">
        <v>0.76562499999999978</v>
      </c>
      <c r="Z289">
        <v>0.17499999999999999</v>
      </c>
      <c r="AA289">
        <v>0.87499999999999989</v>
      </c>
      <c r="AC289">
        <v>2.1643109540636037E-2</v>
      </c>
      <c r="AD289">
        <f t="shared" si="6"/>
        <v>2.1643109540636037E-2</v>
      </c>
    </row>
    <row r="290" spans="1:30" x14ac:dyDescent="0.25">
      <c r="A290">
        <v>179</v>
      </c>
      <c r="B290">
        <v>486.94685300000003</v>
      </c>
      <c r="C290" s="4">
        <v>1</v>
      </c>
      <c r="D290">
        <v>373</v>
      </c>
      <c r="E290">
        <v>9.621127337499999</v>
      </c>
      <c r="F290" s="4">
        <v>0.17499999999999999</v>
      </c>
      <c r="H290" t="s">
        <v>229</v>
      </c>
      <c r="I290" s="4" t="s">
        <v>229</v>
      </c>
      <c r="K290" t="s">
        <v>229</v>
      </c>
      <c r="L290" s="4" t="s">
        <v>229</v>
      </c>
      <c r="M290" s="5">
        <v>9.621127337499999</v>
      </c>
      <c r="N290" s="5">
        <v>0.17499999999999999</v>
      </c>
      <c r="O290">
        <v>235</v>
      </c>
      <c r="P290">
        <v>10.053096320000002</v>
      </c>
      <c r="Q290" s="4">
        <v>0.2</v>
      </c>
      <c r="R290" s="5">
        <v>10.053096320000002</v>
      </c>
      <c r="S290" s="5">
        <v>0.2</v>
      </c>
      <c r="T290">
        <v>179</v>
      </c>
      <c r="U290">
        <v>1</v>
      </c>
      <c r="V290">
        <v>1</v>
      </c>
      <c r="W290">
        <v>1</v>
      </c>
      <c r="X290">
        <v>0.95703124999999978</v>
      </c>
      <c r="Y290">
        <v>1.9758064516129031E-2</v>
      </c>
      <c r="Z290">
        <v>0.87499999999999989</v>
      </c>
      <c r="AA290">
        <v>0.17499999999999999</v>
      </c>
      <c r="AC290">
        <v>1.9358407079646013E-2</v>
      </c>
      <c r="AD290">
        <f t="shared" si="6"/>
        <v>1.9358407079646013E-2</v>
      </c>
    </row>
    <row r="291" spans="1:30" x14ac:dyDescent="0.25">
      <c r="A291">
        <v>450</v>
      </c>
      <c r="B291">
        <v>6.734789136249999</v>
      </c>
      <c r="C291" s="4">
        <v>0.17499999999999999</v>
      </c>
      <c r="E291" t="s">
        <v>229</v>
      </c>
      <c r="F291" s="4" t="s">
        <v>229</v>
      </c>
      <c r="H291" t="s">
        <v>229</v>
      </c>
      <c r="I291" s="4" t="s">
        <v>229</v>
      </c>
      <c r="K291" t="s">
        <v>229</v>
      </c>
      <c r="L291" s="4" t="s">
        <v>229</v>
      </c>
      <c r="M291" s="5">
        <v>0</v>
      </c>
      <c r="N291" s="5">
        <v>0</v>
      </c>
      <c r="O291">
        <v>162</v>
      </c>
      <c r="P291">
        <v>16.355916473749996</v>
      </c>
      <c r="Q291" s="4">
        <v>0.17499999999999999</v>
      </c>
      <c r="R291" s="5">
        <v>16.355916473749996</v>
      </c>
      <c r="S291" s="5">
        <v>0.17499999999999999</v>
      </c>
      <c r="T291">
        <v>450</v>
      </c>
      <c r="U291">
        <v>0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0</v>
      </c>
      <c r="AC291">
        <v>0</v>
      </c>
      <c r="AD291">
        <f t="shared" si="6"/>
        <v>0</v>
      </c>
    </row>
    <row r="292" spans="1:30" x14ac:dyDescent="0.25">
      <c r="A292">
        <v>448</v>
      </c>
      <c r="B292">
        <v>7.6969018699999987</v>
      </c>
      <c r="C292" s="4">
        <v>0.17499999999999999</v>
      </c>
      <c r="E292" t="s">
        <v>229</v>
      </c>
      <c r="F292" s="4" t="s">
        <v>229</v>
      </c>
      <c r="H292" t="s">
        <v>229</v>
      </c>
      <c r="I292" s="4" t="s">
        <v>229</v>
      </c>
      <c r="K292" t="s">
        <v>229</v>
      </c>
      <c r="L292" s="4" t="s">
        <v>229</v>
      </c>
      <c r="M292" s="5">
        <v>0</v>
      </c>
      <c r="N292" s="5">
        <v>0</v>
      </c>
      <c r="O292">
        <v>154</v>
      </c>
      <c r="P292">
        <v>388.77208425000003</v>
      </c>
      <c r="Q292" s="4">
        <v>0.75</v>
      </c>
      <c r="R292" s="5">
        <v>388.77208425000003</v>
      </c>
      <c r="S292" s="5">
        <v>0.75</v>
      </c>
      <c r="T292">
        <v>448</v>
      </c>
      <c r="U292">
        <v>0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  <c r="AC292">
        <v>0</v>
      </c>
      <c r="AD292">
        <f t="shared" si="6"/>
        <v>0</v>
      </c>
    </row>
    <row r="293" spans="1:30" x14ac:dyDescent="0.25">
      <c r="A293">
        <v>449</v>
      </c>
      <c r="B293">
        <v>20.685423775624997</v>
      </c>
      <c r="C293" s="4">
        <v>0.17499999999999999</v>
      </c>
      <c r="E293" t="s">
        <v>229</v>
      </c>
      <c r="F293" s="4" t="s">
        <v>229</v>
      </c>
      <c r="H293" t="s">
        <v>229</v>
      </c>
      <c r="I293" s="4" t="s">
        <v>229</v>
      </c>
      <c r="K293" t="s">
        <v>229</v>
      </c>
      <c r="L293" s="4" t="s">
        <v>229</v>
      </c>
      <c r="M293" s="5">
        <v>0</v>
      </c>
      <c r="N293" s="5">
        <v>0</v>
      </c>
      <c r="O293">
        <v>160</v>
      </c>
      <c r="P293">
        <v>27.017696360000006</v>
      </c>
      <c r="Q293" s="4">
        <v>0.2</v>
      </c>
      <c r="R293" s="5">
        <v>27.017696360000006</v>
      </c>
      <c r="S293" s="5">
        <v>0.2</v>
      </c>
      <c r="T293">
        <v>449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C293">
        <v>0</v>
      </c>
      <c r="AD293">
        <f t="shared" si="6"/>
        <v>0</v>
      </c>
    </row>
    <row r="294" spans="1:30" x14ac:dyDescent="0.25">
      <c r="A294">
        <v>451</v>
      </c>
      <c r="B294">
        <v>8.6590146037499984</v>
      </c>
      <c r="C294" s="4">
        <v>0.17499999999999999</v>
      </c>
      <c r="E294" t="s">
        <v>229</v>
      </c>
      <c r="F294" s="4" t="s">
        <v>229</v>
      </c>
      <c r="H294" t="s">
        <v>229</v>
      </c>
      <c r="I294" s="4" t="s">
        <v>229</v>
      </c>
      <c r="K294" t="s">
        <v>229</v>
      </c>
      <c r="L294" s="4" t="s">
        <v>229</v>
      </c>
      <c r="M294" s="5">
        <v>0</v>
      </c>
      <c r="N294" s="5">
        <v>0</v>
      </c>
      <c r="O294">
        <v>167</v>
      </c>
      <c r="P294">
        <v>175.30086708000002</v>
      </c>
      <c r="Q294" s="4">
        <v>0.6</v>
      </c>
      <c r="R294" s="5">
        <v>175.30086708000002</v>
      </c>
      <c r="S294" s="5">
        <v>0.6</v>
      </c>
      <c r="T294">
        <v>451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  <c r="AC294">
        <v>0</v>
      </c>
      <c r="AD294">
        <f t="shared" si="6"/>
        <v>0</v>
      </c>
    </row>
    <row r="295" spans="1:30" x14ac:dyDescent="0.25">
      <c r="A295">
        <v>446</v>
      </c>
      <c r="B295">
        <v>40.212385280000007</v>
      </c>
      <c r="C295" s="4">
        <v>0.4</v>
      </c>
      <c r="E295" t="s">
        <v>229</v>
      </c>
      <c r="F295" s="4" t="s">
        <v>229</v>
      </c>
      <c r="H295" t="s">
        <v>229</v>
      </c>
      <c r="I295" s="4" t="s">
        <v>229</v>
      </c>
      <c r="K295" t="s">
        <v>229</v>
      </c>
      <c r="L295" s="4" t="s">
        <v>229</v>
      </c>
      <c r="M295" s="5">
        <v>0</v>
      </c>
      <c r="N295" s="5">
        <v>0</v>
      </c>
      <c r="O295">
        <v>150</v>
      </c>
      <c r="P295">
        <v>19.242254674999998</v>
      </c>
      <c r="Q295" s="4">
        <v>0.17499999999999999</v>
      </c>
      <c r="R295" s="5">
        <v>19.242254674999998</v>
      </c>
      <c r="S295" s="5">
        <v>0.17499999999999999</v>
      </c>
      <c r="T295">
        <v>446</v>
      </c>
      <c r="U295">
        <v>0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0</v>
      </c>
      <c r="AC295">
        <v>0</v>
      </c>
      <c r="AD295">
        <f t="shared" si="6"/>
        <v>0</v>
      </c>
    </row>
    <row r="296" spans="1:30" x14ac:dyDescent="0.25">
      <c r="A296">
        <v>419</v>
      </c>
      <c r="B296">
        <v>21.166480142499999</v>
      </c>
      <c r="C296" s="4">
        <v>0.17499999999999999</v>
      </c>
      <c r="E296" t="s">
        <v>229</v>
      </c>
      <c r="F296" s="4" t="s">
        <v>229</v>
      </c>
      <c r="H296" t="s">
        <v>229</v>
      </c>
      <c r="I296" s="4" t="s">
        <v>229</v>
      </c>
      <c r="K296" t="s">
        <v>229</v>
      </c>
      <c r="L296" s="4" t="s">
        <v>229</v>
      </c>
      <c r="M296" s="5">
        <v>0</v>
      </c>
      <c r="N296" s="5">
        <v>0</v>
      </c>
      <c r="O296">
        <v>159</v>
      </c>
      <c r="P296">
        <v>22.619466719999998</v>
      </c>
      <c r="Q296" s="4">
        <v>0.3</v>
      </c>
      <c r="R296" s="5">
        <v>22.619466719999998</v>
      </c>
      <c r="S296" s="5">
        <v>0.3</v>
      </c>
      <c r="T296">
        <v>419</v>
      </c>
      <c r="U296">
        <v>0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0</v>
      </c>
      <c r="AC296">
        <v>0</v>
      </c>
      <c r="AD296">
        <f t="shared" si="6"/>
        <v>0</v>
      </c>
    </row>
    <row r="297" spans="1:30" x14ac:dyDescent="0.25">
      <c r="A297">
        <v>456</v>
      </c>
      <c r="B297">
        <v>19.242254674999998</v>
      </c>
      <c r="C297" s="4">
        <v>0.17499999999999999</v>
      </c>
      <c r="E297" t="s">
        <v>229</v>
      </c>
      <c r="F297" s="4" t="s">
        <v>229</v>
      </c>
      <c r="H297" t="s">
        <v>229</v>
      </c>
      <c r="I297" s="4" t="s">
        <v>229</v>
      </c>
      <c r="K297" t="s">
        <v>229</v>
      </c>
      <c r="L297" s="4" t="s">
        <v>229</v>
      </c>
      <c r="M297" s="5">
        <v>0</v>
      </c>
      <c r="N297" s="5">
        <v>0</v>
      </c>
      <c r="O297">
        <v>176</v>
      </c>
      <c r="P297">
        <v>19.242254674999998</v>
      </c>
      <c r="Q297" s="4">
        <v>0.17499999999999999</v>
      </c>
      <c r="R297" s="5">
        <v>19.242254674999998</v>
      </c>
      <c r="S297" s="5">
        <v>0.17499999999999999</v>
      </c>
      <c r="T297">
        <v>456</v>
      </c>
      <c r="U297">
        <v>0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C297">
        <v>0</v>
      </c>
      <c r="AD297">
        <f t="shared" si="6"/>
        <v>0</v>
      </c>
    </row>
    <row r="298" spans="1:30" x14ac:dyDescent="0.25">
      <c r="A298">
        <v>182</v>
      </c>
      <c r="B298">
        <v>19.242254674999998</v>
      </c>
      <c r="C298" s="4">
        <v>0.17499999999999999</v>
      </c>
      <c r="E298" t="s">
        <v>229</v>
      </c>
      <c r="F298" s="4" t="s">
        <v>229</v>
      </c>
      <c r="H298" t="s">
        <v>229</v>
      </c>
      <c r="I298" s="4" t="s">
        <v>229</v>
      </c>
      <c r="K298" t="s">
        <v>229</v>
      </c>
      <c r="L298" s="4" t="s">
        <v>229</v>
      </c>
      <c r="M298" s="5">
        <v>0</v>
      </c>
      <c r="N298" s="5">
        <v>0</v>
      </c>
      <c r="O298">
        <v>183</v>
      </c>
      <c r="P298">
        <v>40.212385280000007</v>
      </c>
      <c r="Q298" s="4">
        <v>0.4</v>
      </c>
      <c r="R298" s="5">
        <v>40.212385280000007</v>
      </c>
      <c r="S298" s="5">
        <v>0.4</v>
      </c>
      <c r="T298">
        <v>182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0</v>
      </c>
      <c r="AC298">
        <v>0</v>
      </c>
      <c r="AD298">
        <f t="shared" si="6"/>
        <v>0</v>
      </c>
    </row>
    <row r="299" spans="1:30" x14ac:dyDescent="0.25">
      <c r="A299">
        <v>276</v>
      </c>
      <c r="B299">
        <v>24.052818343749998</v>
      </c>
      <c r="C299" s="4">
        <v>0.17499999999999999</v>
      </c>
      <c r="E299" t="s">
        <v>229</v>
      </c>
      <c r="F299" s="4" t="s">
        <v>229</v>
      </c>
      <c r="H299" t="s">
        <v>229</v>
      </c>
      <c r="I299" s="4" t="s">
        <v>229</v>
      </c>
      <c r="K299" t="s">
        <v>229</v>
      </c>
      <c r="L299" s="4" t="s">
        <v>229</v>
      </c>
      <c r="M299" s="5">
        <v>0</v>
      </c>
      <c r="N299" s="5">
        <v>0</v>
      </c>
      <c r="O299">
        <v>136</v>
      </c>
      <c r="P299">
        <v>150.2073961875</v>
      </c>
      <c r="Q299" s="4">
        <v>0.75</v>
      </c>
      <c r="R299" s="5">
        <v>150.2073961875</v>
      </c>
      <c r="S299" s="5">
        <v>0.75</v>
      </c>
      <c r="T299">
        <v>276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0</v>
      </c>
      <c r="AC299">
        <v>0</v>
      </c>
      <c r="AD299">
        <f t="shared" si="6"/>
        <v>0</v>
      </c>
    </row>
    <row r="300" spans="1:30" x14ac:dyDescent="0.25">
      <c r="A300">
        <v>445</v>
      </c>
      <c r="B300">
        <v>7.6969018699999987</v>
      </c>
      <c r="C300" s="4">
        <v>0.17499999999999999</v>
      </c>
      <c r="E300" t="s">
        <v>229</v>
      </c>
      <c r="F300" s="4" t="s">
        <v>229</v>
      </c>
      <c r="H300" t="s">
        <v>229</v>
      </c>
      <c r="I300" s="4" t="s">
        <v>229</v>
      </c>
      <c r="K300" t="s">
        <v>229</v>
      </c>
      <c r="L300" s="4" t="s">
        <v>229</v>
      </c>
      <c r="M300" s="5">
        <v>0</v>
      </c>
      <c r="N300" s="5">
        <v>0</v>
      </c>
      <c r="O300">
        <v>145</v>
      </c>
      <c r="P300">
        <v>23.876103760000007</v>
      </c>
      <c r="Q300" s="4">
        <v>0.2</v>
      </c>
      <c r="R300" s="5">
        <v>23.876103760000007</v>
      </c>
      <c r="S300" s="5">
        <v>0.2</v>
      </c>
      <c r="T300">
        <v>445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0</v>
      </c>
      <c r="AC300">
        <v>0</v>
      </c>
      <c r="AD300">
        <f t="shared" si="6"/>
        <v>0</v>
      </c>
    </row>
    <row r="301" spans="1:30" x14ac:dyDescent="0.25">
      <c r="A301">
        <v>420</v>
      </c>
      <c r="B301">
        <v>7.6969018699999987</v>
      </c>
      <c r="C301" s="4">
        <v>0.17499999999999999</v>
      </c>
      <c r="E301" t="s">
        <v>229</v>
      </c>
      <c r="F301" s="4" t="s">
        <v>229</v>
      </c>
      <c r="H301" t="s">
        <v>229</v>
      </c>
      <c r="I301" s="4" t="s">
        <v>229</v>
      </c>
      <c r="K301" t="s">
        <v>229</v>
      </c>
      <c r="L301" s="4" t="s">
        <v>229</v>
      </c>
      <c r="M301" s="5">
        <v>0</v>
      </c>
      <c r="N301" s="5">
        <v>0</v>
      </c>
      <c r="O301">
        <v>88</v>
      </c>
      <c r="P301">
        <v>172.78759300000002</v>
      </c>
      <c r="Q301" s="4">
        <v>0.5</v>
      </c>
      <c r="R301" s="5">
        <v>172.78759300000002</v>
      </c>
      <c r="S301" s="5">
        <v>0.5</v>
      </c>
      <c r="T301">
        <v>420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C301">
        <v>0</v>
      </c>
      <c r="AD301">
        <f t="shared" si="6"/>
        <v>0</v>
      </c>
    </row>
    <row r="302" spans="1:30" x14ac:dyDescent="0.25">
      <c r="A302">
        <v>374</v>
      </c>
      <c r="B302">
        <v>7.6969018699999987</v>
      </c>
      <c r="C302" s="4">
        <v>0.17499999999999999</v>
      </c>
      <c r="E302" t="s">
        <v>229</v>
      </c>
      <c r="F302" s="4" t="s">
        <v>229</v>
      </c>
      <c r="H302" t="s">
        <v>229</v>
      </c>
      <c r="I302" s="4" t="s">
        <v>229</v>
      </c>
      <c r="K302" t="s">
        <v>229</v>
      </c>
      <c r="L302" s="4" t="s">
        <v>229</v>
      </c>
      <c r="M302" s="5">
        <v>0</v>
      </c>
      <c r="N302" s="5">
        <v>0</v>
      </c>
      <c r="O302">
        <v>48</v>
      </c>
      <c r="P302">
        <v>397.6078134375</v>
      </c>
      <c r="Q302" s="4">
        <v>0.75</v>
      </c>
      <c r="R302" s="5">
        <v>397.6078134375</v>
      </c>
      <c r="S302" s="5">
        <v>0.75</v>
      </c>
      <c r="T302">
        <v>374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0</v>
      </c>
      <c r="AC302">
        <v>0</v>
      </c>
      <c r="AD302">
        <f t="shared" si="6"/>
        <v>0</v>
      </c>
    </row>
    <row r="303" spans="1:30" x14ac:dyDescent="0.25">
      <c r="A303">
        <v>417</v>
      </c>
      <c r="B303">
        <v>21.166480142499999</v>
      </c>
      <c r="C303" s="4">
        <v>0.17499999999999999</v>
      </c>
      <c r="E303" t="s">
        <v>229</v>
      </c>
      <c r="F303" s="4" t="s">
        <v>229</v>
      </c>
      <c r="H303" t="s">
        <v>229</v>
      </c>
      <c r="I303" s="4" t="s">
        <v>229</v>
      </c>
      <c r="K303" t="s">
        <v>229</v>
      </c>
      <c r="L303" s="4" t="s">
        <v>229</v>
      </c>
      <c r="M303" s="5">
        <v>0</v>
      </c>
      <c r="N303" s="5">
        <v>0</v>
      </c>
      <c r="O303">
        <v>164</v>
      </c>
      <c r="P303">
        <v>22.619466719999998</v>
      </c>
      <c r="Q303" s="4">
        <v>0.3</v>
      </c>
      <c r="R303" s="5">
        <v>22.619466719999998</v>
      </c>
      <c r="S303" s="5">
        <v>0.3</v>
      </c>
      <c r="T303">
        <v>417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0</v>
      </c>
      <c r="AC303">
        <v>0</v>
      </c>
      <c r="AD303">
        <f t="shared" si="6"/>
        <v>0</v>
      </c>
    </row>
    <row r="304" spans="1:30" x14ac:dyDescent="0.25">
      <c r="A304">
        <v>452</v>
      </c>
      <c r="B304">
        <v>15.874860106874999</v>
      </c>
      <c r="C304" s="4">
        <v>0.17499999999999999</v>
      </c>
      <c r="E304" t="s">
        <v>229</v>
      </c>
      <c r="F304" s="4" t="s">
        <v>229</v>
      </c>
      <c r="H304" t="s">
        <v>229</v>
      </c>
      <c r="I304" s="4" t="s">
        <v>229</v>
      </c>
      <c r="K304" t="s">
        <v>229</v>
      </c>
      <c r="L304" s="4" t="s">
        <v>229</v>
      </c>
      <c r="M304" s="5">
        <v>0</v>
      </c>
      <c r="N304" s="5">
        <v>0</v>
      </c>
      <c r="O304">
        <v>165</v>
      </c>
      <c r="P304">
        <v>15.874860106874999</v>
      </c>
      <c r="Q304" s="4">
        <v>0.17499999999999999</v>
      </c>
      <c r="R304" s="5">
        <v>15.874860106874999</v>
      </c>
      <c r="S304" s="5">
        <v>0.17499999999999999</v>
      </c>
      <c r="T304">
        <v>452</v>
      </c>
      <c r="U304">
        <v>0</v>
      </c>
      <c r="V304">
        <v>0</v>
      </c>
      <c r="W304">
        <v>1</v>
      </c>
      <c r="X304">
        <v>0</v>
      </c>
      <c r="Y304">
        <v>0</v>
      </c>
      <c r="Z304">
        <v>0</v>
      </c>
      <c r="AA304">
        <v>0</v>
      </c>
      <c r="AC304">
        <v>0</v>
      </c>
      <c r="AD304">
        <f t="shared" si="6"/>
        <v>0</v>
      </c>
    </row>
    <row r="305" spans="1:30" x14ac:dyDescent="0.25">
      <c r="A305">
        <v>444</v>
      </c>
      <c r="B305">
        <v>7.6969018699999987</v>
      </c>
      <c r="C305" s="4">
        <v>0.17499999999999999</v>
      </c>
      <c r="E305" t="s">
        <v>229</v>
      </c>
      <c r="F305" s="4" t="s">
        <v>229</v>
      </c>
      <c r="H305" t="s">
        <v>229</v>
      </c>
      <c r="I305" s="4" t="s">
        <v>229</v>
      </c>
      <c r="K305" t="s">
        <v>229</v>
      </c>
      <c r="L305" s="4" t="s">
        <v>229</v>
      </c>
      <c r="M305" s="5">
        <v>0</v>
      </c>
      <c r="N305" s="5">
        <v>0</v>
      </c>
      <c r="O305">
        <v>141</v>
      </c>
      <c r="P305">
        <v>17.799085574374995</v>
      </c>
      <c r="Q305" s="4">
        <v>0.17499999999999999</v>
      </c>
      <c r="R305" s="5">
        <v>17.799085574374995</v>
      </c>
      <c r="S305" s="5">
        <v>0.17499999999999999</v>
      </c>
      <c r="T305">
        <v>444</v>
      </c>
      <c r="U305">
        <v>0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0</v>
      </c>
      <c r="AC305">
        <v>0</v>
      </c>
      <c r="AD305">
        <f t="shared" si="6"/>
        <v>0</v>
      </c>
    </row>
    <row r="306" spans="1:30" x14ac:dyDescent="0.25">
      <c r="A306">
        <v>421</v>
      </c>
      <c r="B306">
        <v>7.6969018699999987</v>
      </c>
      <c r="C306" s="4">
        <v>0.17499999999999999</v>
      </c>
      <c r="E306" t="s">
        <v>229</v>
      </c>
      <c r="F306" s="4" t="s">
        <v>229</v>
      </c>
      <c r="H306" t="s">
        <v>229</v>
      </c>
      <c r="I306" s="4" t="s">
        <v>229</v>
      </c>
      <c r="K306" t="s">
        <v>229</v>
      </c>
      <c r="L306" s="4" t="s">
        <v>229</v>
      </c>
      <c r="M306" s="5">
        <v>0</v>
      </c>
      <c r="N306" s="5">
        <v>0</v>
      </c>
      <c r="O306">
        <v>89</v>
      </c>
      <c r="P306">
        <v>27.646014880000006</v>
      </c>
      <c r="Q306" s="4">
        <v>0.2</v>
      </c>
      <c r="R306" s="5">
        <v>27.646014880000006</v>
      </c>
      <c r="S306" s="5">
        <v>0.2</v>
      </c>
      <c r="T306">
        <v>421</v>
      </c>
      <c r="U306">
        <v>0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0</v>
      </c>
      <c r="AC306">
        <v>0</v>
      </c>
      <c r="AD306">
        <f t="shared" si="6"/>
        <v>0</v>
      </c>
    </row>
    <row r="307" spans="1:30" x14ac:dyDescent="0.25">
      <c r="A307">
        <v>375</v>
      </c>
      <c r="B307">
        <v>7.6969018699999987</v>
      </c>
      <c r="C307" s="4">
        <v>0.17499999999999999</v>
      </c>
      <c r="E307" t="s">
        <v>229</v>
      </c>
      <c r="F307" s="4" t="s">
        <v>229</v>
      </c>
      <c r="H307" t="s">
        <v>229</v>
      </c>
      <c r="I307" s="4" t="s">
        <v>229</v>
      </c>
      <c r="K307" t="s">
        <v>229</v>
      </c>
      <c r="L307" s="4" t="s">
        <v>229</v>
      </c>
      <c r="M307" s="5">
        <v>0</v>
      </c>
      <c r="N307" s="5">
        <v>0</v>
      </c>
      <c r="O307">
        <v>49</v>
      </c>
      <c r="P307">
        <v>21.647536509374998</v>
      </c>
      <c r="Q307" s="4">
        <v>0.17499999999999999</v>
      </c>
      <c r="R307" s="5">
        <v>21.647536509374998</v>
      </c>
      <c r="S307" s="5">
        <v>0.17499999999999999</v>
      </c>
      <c r="T307">
        <v>375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0</v>
      </c>
      <c r="AC307">
        <v>0</v>
      </c>
      <c r="AD307">
        <f t="shared" si="6"/>
        <v>0</v>
      </c>
    </row>
    <row r="308" spans="1:30" x14ac:dyDescent="0.25">
      <c r="A308">
        <v>365</v>
      </c>
      <c r="B308">
        <v>3.8484509349999994</v>
      </c>
      <c r="C308" s="4">
        <v>0.17499999999999999</v>
      </c>
      <c r="E308" t="s">
        <v>229</v>
      </c>
      <c r="F308" s="4" t="s">
        <v>229</v>
      </c>
      <c r="H308" t="s">
        <v>229</v>
      </c>
      <c r="I308" s="4" t="s">
        <v>229</v>
      </c>
      <c r="K308" t="s">
        <v>229</v>
      </c>
      <c r="L308" s="4" t="s">
        <v>229</v>
      </c>
      <c r="M308" s="5">
        <v>0</v>
      </c>
      <c r="N308" s="5">
        <v>0</v>
      </c>
      <c r="O308">
        <v>23</v>
      </c>
      <c r="P308">
        <v>125.66370400000002</v>
      </c>
      <c r="Q308" s="4">
        <v>0.4</v>
      </c>
      <c r="R308" s="5">
        <v>125.66370400000002</v>
      </c>
      <c r="S308" s="5">
        <v>0.4</v>
      </c>
      <c r="T308">
        <v>365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C308">
        <v>0</v>
      </c>
      <c r="AD308">
        <f t="shared" si="6"/>
        <v>0</v>
      </c>
    </row>
    <row r="309" spans="1:30" x14ac:dyDescent="0.25">
      <c r="A309">
        <v>418</v>
      </c>
      <c r="B309">
        <v>21.647536509374998</v>
      </c>
      <c r="C309" s="4">
        <v>0.17499999999999999</v>
      </c>
      <c r="E309" t="s">
        <v>229</v>
      </c>
      <c r="F309" s="4" t="s">
        <v>229</v>
      </c>
      <c r="H309" t="s">
        <v>229</v>
      </c>
      <c r="I309" s="4" t="s">
        <v>229</v>
      </c>
      <c r="K309" t="s">
        <v>229</v>
      </c>
      <c r="L309" s="4" t="s">
        <v>229</v>
      </c>
      <c r="M309" s="5">
        <v>0</v>
      </c>
      <c r="N309" s="5">
        <v>0</v>
      </c>
      <c r="O309">
        <v>47</v>
      </c>
      <c r="P309">
        <v>141.371667</v>
      </c>
      <c r="Q309" s="4">
        <v>0.75</v>
      </c>
      <c r="R309" s="5">
        <v>141.371667</v>
      </c>
      <c r="S309" s="5">
        <v>0.75</v>
      </c>
      <c r="T309">
        <v>418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0</v>
      </c>
      <c r="AC309">
        <v>0</v>
      </c>
      <c r="AD309">
        <f t="shared" si="6"/>
        <v>0</v>
      </c>
    </row>
    <row r="310" spans="1:30" x14ac:dyDescent="0.25">
      <c r="A310">
        <v>415</v>
      </c>
      <c r="B310">
        <v>21.166480142499999</v>
      </c>
      <c r="C310" s="4">
        <v>0.17499999999999999</v>
      </c>
      <c r="E310" t="s">
        <v>229</v>
      </c>
      <c r="F310" s="4" t="s">
        <v>229</v>
      </c>
      <c r="H310" t="s">
        <v>229</v>
      </c>
      <c r="I310" s="4" t="s">
        <v>229</v>
      </c>
      <c r="K310" t="s">
        <v>229</v>
      </c>
      <c r="L310" s="4" t="s">
        <v>229</v>
      </c>
      <c r="M310" s="5">
        <v>0</v>
      </c>
      <c r="N310" s="5">
        <v>0</v>
      </c>
      <c r="O310">
        <v>170</v>
      </c>
      <c r="P310">
        <v>22.619466719999998</v>
      </c>
      <c r="Q310" s="4">
        <v>0.3</v>
      </c>
      <c r="R310" s="5">
        <v>22.619466719999998</v>
      </c>
      <c r="S310" s="5">
        <v>0.3</v>
      </c>
      <c r="T310">
        <v>415</v>
      </c>
      <c r="U310">
        <v>0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0</v>
      </c>
      <c r="AC310">
        <v>0</v>
      </c>
      <c r="AD310">
        <f t="shared" si="6"/>
        <v>0</v>
      </c>
    </row>
    <row r="311" spans="1:30" x14ac:dyDescent="0.25">
      <c r="A311">
        <v>453</v>
      </c>
      <c r="B311">
        <v>15.874860106874999</v>
      </c>
      <c r="C311" s="4">
        <v>0.17499999999999999</v>
      </c>
      <c r="E311" t="s">
        <v>229</v>
      </c>
      <c r="F311" s="4" t="s">
        <v>229</v>
      </c>
      <c r="H311" t="s">
        <v>229</v>
      </c>
      <c r="I311" s="4" t="s">
        <v>229</v>
      </c>
      <c r="K311" t="s">
        <v>229</v>
      </c>
      <c r="L311" s="4" t="s">
        <v>229</v>
      </c>
      <c r="M311" s="5">
        <v>0</v>
      </c>
      <c r="N311" s="5">
        <v>0</v>
      </c>
      <c r="O311">
        <v>171</v>
      </c>
      <c r="P311">
        <v>291.57906318750003</v>
      </c>
      <c r="Q311" s="4">
        <v>0.75</v>
      </c>
      <c r="R311" s="5">
        <v>291.57906318750003</v>
      </c>
      <c r="S311" s="5">
        <v>0.75</v>
      </c>
      <c r="T311">
        <v>453</v>
      </c>
      <c r="U311">
        <v>0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0</v>
      </c>
      <c r="AC311">
        <v>0</v>
      </c>
      <c r="AD311">
        <f t="shared" si="6"/>
        <v>0</v>
      </c>
    </row>
    <row r="312" spans="1:30" x14ac:dyDescent="0.25">
      <c r="A312">
        <v>460</v>
      </c>
      <c r="B312">
        <v>19.242254674999998</v>
      </c>
      <c r="C312" s="4">
        <v>0.17499999999999999</v>
      </c>
      <c r="E312" t="s">
        <v>229</v>
      </c>
      <c r="F312" s="4" t="s">
        <v>229</v>
      </c>
      <c r="H312" t="s">
        <v>229</v>
      </c>
      <c r="I312" s="4" t="s">
        <v>229</v>
      </c>
      <c r="K312" t="s">
        <v>229</v>
      </c>
      <c r="L312" s="4" t="s">
        <v>229</v>
      </c>
      <c r="M312" s="5">
        <v>0</v>
      </c>
      <c r="N312" s="5">
        <v>0</v>
      </c>
      <c r="O312">
        <v>187</v>
      </c>
      <c r="P312">
        <v>100.53096320000003</v>
      </c>
      <c r="Q312" s="4">
        <v>0.4</v>
      </c>
      <c r="R312" s="5">
        <v>100.53096320000003</v>
      </c>
      <c r="S312" s="5">
        <v>0.4</v>
      </c>
      <c r="T312">
        <v>460</v>
      </c>
      <c r="U312">
        <v>0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0</v>
      </c>
      <c r="AC312">
        <v>0</v>
      </c>
      <c r="AD312">
        <f t="shared" si="6"/>
        <v>0</v>
      </c>
    </row>
    <row r="313" spans="1:30" x14ac:dyDescent="0.25">
      <c r="A313">
        <v>464</v>
      </c>
      <c r="B313">
        <v>19.242254674999998</v>
      </c>
      <c r="C313" s="4">
        <v>0.17499999999999999</v>
      </c>
      <c r="E313" t="s">
        <v>229</v>
      </c>
      <c r="F313" s="4" t="s">
        <v>229</v>
      </c>
      <c r="H313" t="s">
        <v>229</v>
      </c>
      <c r="I313" s="4" t="s">
        <v>229</v>
      </c>
      <c r="K313" t="s">
        <v>229</v>
      </c>
      <c r="L313" s="4" t="s">
        <v>229</v>
      </c>
      <c r="M313" s="5">
        <v>0</v>
      </c>
      <c r="N313" s="5">
        <v>0</v>
      </c>
      <c r="O313">
        <v>195</v>
      </c>
      <c r="P313">
        <v>20.734511160000007</v>
      </c>
      <c r="Q313" s="4">
        <v>0.2</v>
      </c>
      <c r="R313" s="5">
        <v>20.734511160000007</v>
      </c>
      <c r="S313" s="5">
        <v>0.2</v>
      </c>
      <c r="T313">
        <v>464</v>
      </c>
      <c r="U313">
        <v>0</v>
      </c>
      <c r="V313">
        <v>0</v>
      </c>
      <c r="W313">
        <v>1</v>
      </c>
      <c r="X313">
        <v>0</v>
      </c>
      <c r="Y313">
        <v>0</v>
      </c>
      <c r="Z313">
        <v>0</v>
      </c>
      <c r="AA313">
        <v>0</v>
      </c>
      <c r="AC313">
        <v>0</v>
      </c>
      <c r="AD313">
        <f t="shared" si="6"/>
        <v>0</v>
      </c>
    </row>
    <row r="314" spans="1:30" x14ac:dyDescent="0.25">
      <c r="A314">
        <v>439</v>
      </c>
      <c r="B314">
        <v>15.393803739999997</v>
      </c>
      <c r="C314" s="4">
        <v>0.17499999999999999</v>
      </c>
      <c r="E314" t="s">
        <v>229</v>
      </c>
      <c r="F314" s="4" t="s">
        <v>229</v>
      </c>
      <c r="H314" t="s">
        <v>229</v>
      </c>
      <c r="I314" s="4" t="s">
        <v>229</v>
      </c>
      <c r="K314" t="s">
        <v>229</v>
      </c>
      <c r="L314" s="4" t="s">
        <v>229</v>
      </c>
      <c r="M314" s="5">
        <v>0</v>
      </c>
      <c r="N314" s="5">
        <v>0</v>
      </c>
      <c r="O314">
        <v>129</v>
      </c>
      <c r="P314">
        <v>15.393803739999997</v>
      </c>
      <c r="Q314" s="4">
        <v>0.17499999999999999</v>
      </c>
      <c r="R314" s="5">
        <v>15.393803739999997</v>
      </c>
      <c r="S314" s="5">
        <v>0.17499999999999999</v>
      </c>
      <c r="T314">
        <v>439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C314">
        <v>0</v>
      </c>
      <c r="AD314">
        <f t="shared" si="6"/>
        <v>0</v>
      </c>
    </row>
    <row r="315" spans="1:30" x14ac:dyDescent="0.25">
      <c r="A315">
        <v>131</v>
      </c>
      <c r="B315">
        <v>22.128592876249996</v>
      </c>
      <c r="C315" s="4">
        <v>0.17499999999999999</v>
      </c>
      <c r="E315" t="s">
        <v>229</v>
      </c>
      <c r="F315" s="4" t="s">
        <v>229</v>
      </c>
      <c r="H315" t="s">
        <v>229</v>
      </c>
      <c r="I315" s="4" t="s">
        <v>229</v>
      </c>
      <c r="K315" t="s">
        <v>229</v>
      </c>
      <c r="L315" s="4" t="s">
        <v>229</v>
      </c>
      <c r="M315" s="5">
        <v>0</v>
      </c>
      <c r="N315" s="5">
        <v>0</v>
      </c>
      <c r="O315">
        <v>129</v>
      </c>
      <c r="P315">
        <v>15.393803739999997</v>
      </c>
      <c r="Q315" s="4">
        <v>0.17499999999999999</v>
      </c>
      <c r="R315" s="5">
        <v>15.393803739999997</v>
      </c>
      <c r="S315" s="5">
        <v>0.17499999999999999</v>
      </c>
      <c r="T315">
        <v>131</v>
      </c>
      <c r="U315">
        <v>0</v>
      </c>
      <c r="V315">
        <v>0</v>
      </c>
      <c r="W315">
        <v>1</v>
      </c>
      <c r="X315">
        <v>0</v>
      </c>
      <c r="Y315">
        <v>0</v>
      </c>
      <c r="Z315">
        <v>0</v>
      </c>
      <c r="AA315">
        <v>0</v>
      </c>
      <c r="AC315">
        <v>0</v>
      </c>
      <c r="AD315">
        <f t="shared" si="6"/>
        <v>0</v>
      </c>
    </row>
    <row r="316" spans="1:30" x14ac:dyDescent="0.25">
      <c r="A316">
        <v>443</v>
      </c>
      <c r="B316">
        <v>7.6969018699999987</v>
      </c>
      <c r="C316" s="4">
        <v>0.17499999999999999</v>
      </c>
      <c r="E316" t="s">
        <v>229</v>
      </c>
      <c r="F316" s="4" t="s">
        <v>229</v>
      </c>
      <c r="H316" t="s">
        <v>229</v>
      </c>
      <c r="I316" s="4" t="s">
        <v>229</v>
      </c>
      <c r="K316" t="s">
        <v>229</v>
      </c>
      <c r="L316" s="4" t="s">
        <v>229</v>
      </c>
      <c r="M316" s="5">
        <v>0</v>
      </c>
      <c r="N316" s="5">
        <v>0</v>
      </c>
      <c r="O316">
        <v>140</v>
      </c>
      <c r="P316">
        <v>45.238933439999997</v>
      </c>
      <c r="Q316" s="4">
        <v>0.3</v>
      </c>
      <c r="R316" s="5">
        <v>45.238933439999997</v>
      </c>
      <c r="S316" s="5">
        <v>0.3</v>
      </c>
      <c r="T316">
        <v>443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0</v>
      </c>
      <c r="AC316">
        <v>0</v>
      </c>
      <c r="AD316">
        <f t="shared" si="6"/>
        <v>0</v>
      </c>
    </row>
    <row r="317" spans="1:30" x14ac:dyDescent="0.25">
      <c r="A317">
        <v>422</v>
      </c>
      <c r="B317">
        <v>7.6969018699999987</v>
      </c>
      <c r="C317" s="4">
        <v>0.17499999999999999</v>
      </c>
      <c r="E317" t="s">
        <v>229</v>
      </c>
      <c r="F317" s="4" t="s">
        <v>229</v>
      </c>
      <c r="H317" t="s">
        <v>229</v>
      </c>
      <c r="I317" s="4" t="s">
        <v>229</v>
      </c>
      <c r="K317" t="s">
        <v>229</v>
      </c>
      <c r="L317" s="4" t="s">
        <v>229</v>
      </c>
      <c r="M317" s="5">
        <v>0</v>
      </c>
      <c r="N317" s="5">
        <v>0</v>
      </c>
      <c r="O317">
        <v>91</v>
      </c>
      <c r="P317">
        <v>21.166480142499999</v>
      </c>
      <c r="Q317" s="4">
        <v>0.17499999999999999</v>
      </c>
      <c r="R317" s="5">
        <v>21.166480142499999</v>
      </c>
      <c r="S317" s="5">
        <v>0.17499999999999999</v>
      </c>
      <c r="T317">
        <v>422</v>
      </c>
      <c r="U317">
        <v>0</v>
      </c>
      <c r="V317">
        <v>0</v>
      </c>
      <c r="W317">
        <v>1</v>
      </c>
      <c r="X317">
        <v>0</v>
      </c>
      <c r="Y317">
        <v>0</v>
      </c>
      <c r="Z317">
        <v>0</v>
      </c>
      <c r="AA317">
        <v>0</v>
      </c>
      <c r="AC317">
        <v>0</v>
      </c>
      <c r="AD317">
        <f t="shared" si="6"/>
        <v>0</v>
      </c>
    </row>
    <row r="318" spans="1:30" x14ac:dyDescent="0.25">
      <c r="A318">
        <v>376</v>
      </c>
      <c r="B318">
        <v>7.6969018699999987</v>
      </c>
      <c r="C318" s="4">
        <v>0.17499999999999999</v>
      </c>
      <c r="E318" t="s">
        <v>229</v>
      </c>
      <c r="F318" s="4" t="s">
        <v>229</v>
      </c>
      <c r="H318" t="s">
        <v>229</v>
      </c>
      <c r="I318" s="4" t="s">
        <v>229</v>
      </c>
      <c r="K318" t="s">
        <v>229</v>
      </c>
      <c r="L318" s="4" t="s">
        <v>229</v>
      </c>
      <c r="M318" s="5">
        <v>0</v>
      </c>
      <c r="N318" s="5">
        <v>0</v>
      </c>
      <c r="O318">
        <v>50</v>
      </c>
      <c r="P318">
        <v>28.274333400000007</v>
      </c>
      <c r="Q318" s="4">
        <v>0.2</v>
      </c>
      <c r="R318" s="5">
        <v>28.274333400000007</v>
      </c>
      <c r="S318" s="5">
        <v>0.2</v>
      </c>
      <c r="T318">
        <v>376</v>
      </c>
      <c r="U318">
        <v>0</v>
      </c>
      <c r="V318">
        <v>0</v>
      </c>
      <c r="W318">
        <v>1</v>
      </c>
      <c r="X318">
        <v>0</v>
      </c>
      <c r="Y318">
        <v>0</v>
      </c>
      <c r="Z318">
        <v>0</v>
      </c>
      <c r="AA318">
        <v>0</v>
      </c>
      <c r="AC318">
        <v>0</v>
      </c>
      <c r="AD318">
        <f t="shared" si="6"/>
        <v>0</v>
      </c>
    </row>
    <row r="319" spans="1:30" x14ac:dyDescent="0.25">
      <c r="A319">
        <v>364</v>
      </c>
      <c r="B319">
        <v>7.6969018699999987</v>
      </c>
      <c r="C319" s="4">
        <v>0.17499999999999999</v>
      </c>
      <c r="E319" t="s">
        <v>229</v>
      </c>
      <c r="F319" s="4" t="s">
        <v>229</v>
      </c>
      <c r="H319" t="s">
        <v>229</v>
      </c>
      <c r="I319" s="4" t="s">
        <v>229</v>
      </c>
      <c r="K319" t="s">
        <v>229</v>
      </c>
      <c r="L319" s="4" t="s">
        <v>229</v>
      </c>
      <c r="M319" s="5">
        <v>0</v>
      </c>
      <c r="N319" s="5">
        <v>0</v>
      </c>
      <c r="O319">
        <v>22</v>
      </c>
      <c r="P319">
        <v>24.052818343749998</v>
      </c>
      <c r="Q319" s="4">
        <v>0.17499999999999999</v>
      </c>
      <c r="R319" s="5">
        <v>24.052818343749998</v>
      </c>
      <c r="S319" s="5">
        <v>0.17499999999999999</v>
      </c>
      <c r="T319">
        <v>364</v>
      </c>
      <c r="U319">
        <v>0</v>
      </c>
      <c r="V319">
        <v>0</v>
      </c>
      <c r="W319">
        <v>1</v>
      </c>
      <c r="X319">
        <v>0</v>
      </c>
      <c r="Y319">
        <v>0</v>
      </c>
      <c r="Z319">
        <v>0</v>
      </c>
      <c r="AA319">
        <v>0</v>
      </c>
      <c r="AC319">
        <v>0</v>
      </c>
      <c r="AD319">
        <f t="shared" si="6"/>
        <v>0</v>
      </c>
    </row>
    <row r="320" spans="1:30" x14ac:dyDescent="0.25">
      <c r="A320">
        <v>248</v>
      </c>
      <c r="B320">
        <v>26.474200840200002</v>
      </c>
      <c r="C320" s="4">
        <v>0.26500000000000001</v>
      </c>
      <c r="E320" t="s">
        <v>229</v>
      </c>
      <c r="F320" s="4" t="s">
        <v>229</v>
      </c>
      <c r="H320" t="s">
        <v>229</v>
      </c>
      <c r="I320" s="4" t="s">
        <v>229</v>
      </c>
      <c r="K320" t="s">
        <v>229</v>
      </c>
      <c r="L320" s="4" t="s">
        <v>229</v>
      </c>
      <c r="M320" s="5">
        <v>0</v>
      </c>
      <c r="N320" s="5">
        <v>0</v>
      </c>
      <c r="O320">
        <v>348</v>
      </c>
      <c r="P320">
        <v>108.07078544000002</v>
      </c>
      <c r="Q320" s="4">
        <v>0.4</v>
      </c>
      <c r="R320" s="5">
        <v>108.07078544000002</v>
      </c>
      <c r="S320" s="5">
        <v>0.4</v>
      </c>
      <c r="T320">
        <v>248</v>
      </c>
      <c r="U320">
        <v>0</v>
      </c>
      <c r="V320">
        <v>0</v>
      </c>
      <c r="W320">
        <v>1</v>
      </c>
      <c r="X320">
        <v>0</v>
      </c>
      <c r="Y320">
        <v>0</v>
      </c>
      <c r="Z320">
        <v>0</v>
      </c>
      <c r="AA320">
        <v>0</v>
      </c>
      <c r="AC320">
        <v>0</v>
      </c>
      <c r="AD320">
        <f t="shared" si="6"/>
        <v>0</v>
      </c>
    </row>
    <row r="321" spans="1:30" x14ac:dyDescent="0.25">
      <c r="A321">
        <v>366</v>
      </c>
      <c r="B321">
        <v>7.6969018699999987</v>
      </c>
      <c r="C321" s="4">
        <v>0.17499999999999999</v>
      </c>
      <c r="E321" t="s">
        <v>229</v>
      </c>
      <c r="F321" s="4" t="s">
        <v>229</v>
      </c>
      <c r="H321" t="s">
        <v>229</v>
      </c>
      <c r="I321" s="4" t="s">
        <v>229</v>
      </c>
      <c r="K321" t="s">
        <v>229</v>
      </c>
      <c r="L321" s="4" t="s">
        <v>229</v>
      </c>
      <c r="M321" s="5">
        <v>0</v>
      </c>
      <c r="N321" s="5">
        <v>0</v>
      </c>
      <c r="O321">
        <v>25</v>
      </c>
      <c r="P321">
        <v>424.11500100000001</v>
      </c>
      <c r="Q321" s="4">
        <v>0.75</v>
      </c>
      <c r="R321" s="5">
        <v>424.11500100000001</v>
      </c>
      <c r="S321" s="5">
        <v>0.75</v>
      </c>
      <c r="T321">
        <v>366</v>
      </c>
      <c r="U321">
        <v>0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C321">
        <v>0</v>
      </c>
      <c r="AD321">
        <f t="shared" si="6"/>
        <v>0</v>
      </c>
    </row>
    <row r="322" spans="1:30" x14ac:dyDescent="0.25">
      <c r="A322">
        <v>416</v>
      </c>
      <c r="B322">
        <v>21.647536509374998</v>
      </c>
      <c r="C322" s="4">
        <v>0.17499999999999999</v>
      </c>
      <c r="E322" t="s">
        <v>229</v>
      </c>
      <c r="F322" s="4" t="s">
        <v>229</v>
      </c>
      <c r="H322" t="s">
        <v>229</v>
      </c>
      <c r="I322" s="4" t="s">
        <v>229</v>
      </c>
      <c r="K322" t="s">
        <v>229</v>
      </c>
      <c r="L322" s="4" t="s">
        <v>229</v>
      </c>
      <c r="M322" s="5">
        <v>0</v>
      </c>
      <c r="N322" s="5">
        <v>0</v>
      </c>
      <c r="O322">
        <v>45</v>
      </c>
      <c r="P322">
        <v>40.212385280000007</v>
      </c>
      <c r="Q322" s="4">
        <v>0.4</v>
      </c>
      <c r="R322" s="5">
        <v>40.212385280000007</v>
      </c>
      <c r="S322" s="5">
        <v>0.4</v>
      </c>
      <c r="T322">
        <v>416</v>
      </c>
      <c r="U322">
        <v>0</v>
      </c>
      <c r="V322">
        <v>0</v>
      </c>
      <c r="W322">
        <v>1</v>
      </c>
      <c r="X322">
        <v>0</v>
      </c>
      <c r="Y322">
        <v>0</v>
      </c>
      <c r="Z322">
        <v>0</v>
      </c>
      <c r="AA322">
        <v>0</v>
      </c>
      <c r="AC322">
        <v>0</v>
      </c>
      <c r="AD322">
        <f t="shared" ref="AD322:AD385" si="7">AC322*U322</f>
        <v>0</v>
      </c>
    </row>
    <row r="323" spans="1:30" x14ac:dyDescent="0.25">
      <c r="A323">
        <v>368</v>
      </c>
      <c r="B323">
        <v>23.090705609999997</v>
      </c>
      <c r="C323" s="4">
        <v>0.17499999999999999</v>
      </c>
      <c r="E323" t="s">
        <v>229</v>
      </c>
      <c r="F323" s="4" t="s">
        <v>229</v>
      </c>
      <c r="H323" t="s">
        <v>229</v>
      </c>
      <c r="I323" s="4" t="s">
        <v>229</v>
      </c>
      <c r="K323" t="s">
        <v>229</v>
      </c>
      <c r="L323" s="4" t="s">
        <v>229</v>
      </c>
      <c r="M323" s="5">
        <v>0</v>
      </c>
      <c r="N323" s="5">
        <v>0</v>
      </c>
      <c r="O323">
        <v>45</v>
      </c>
      <c r="P323">
        <v>40.212385280000007</v>
      </c>
      <c r="Q323" s="4">
        <v>0.4</v>
      </c>
      <c r="R323" s="5">
        <v>40.212385280000007</v>
      </c>
      <c r="S323" s="5">
        <v>0.4</v>
      </c>
      <c r="T323">
        <v>368</v>
      </c>
      <c r="U323">
        <v>0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0</v>
      </c>
      <c r="AC323">
        <v>0</v>
      </c>
      <c r="AD323">
        <f t="shared" si="7"/>
        <v>0</v>
      </c>
    </row>
    <row r="324" spans="1:30" x14ac:dyDescent="0.25">
      <c r="A324">
        <v>413</v>
      </c>
      <c r="B324">
        <v>21.166480142499999</v>
      </c>
      <c r="C324" s="4">
        <v>0.17499999999999999</v>
      </c>
      <c r="E324" t="s">
        <v>229</v>
      </c>
      <c r="F324" s="4" t="s">
        <v>229</v>
      </c>
      <c r="H324" t="s">
        <v>229</v>
      </c>
      <c r="I324" s="4" t="s">
        <v>229</v>
      </c>
      <c r="K324" t="s">
        <v>229</v>
      </c>
      <c r="L324" s="4" t="s">
        <v>229</v>
      </c>
      <c r="M324" s="5">
        <v>0</v>
      </c>
      <c r="N324" s="5">
        <v>0</v>
      </c>
      <c r="O324">
        <v>173</v>
      </c>
      <c r="P324">
        <v>22.619466719999998</v>
      </c>
      <c r="Q324" s="4">
        <v>0.3</v>
      </c>
      <c r="R324" s="5">
        <v>22.619466719999998</v>
      </c>
      <c r="S324" s="5">
        <v>0.3</v>
      </c>
      <c r="T324">
        <v>413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C324">
        <v>0</v>
      </c>
      <c r="AD324">
        <f t="shared" si="7"/>
        <v>0</v>
      </c>
    </row>
    <row r="325" spans="1:30" x14ac:dyDescent="0.25">
      <c r="A325">
        <v>455</v>
      </c>
      <c r="B325">
        <v>291.57906318750003</v>
      </c>
      <c r="C325" s="4">
        <v>0.75</v>
      </c>
      <c r="E325" t="s">
        <v>229</v>
      </c>
      <c r="F325" s="4" t="s">
        <v>229</v>
      </c>
      <c r="H325" t="s">
        <v>229</v>
      </c>
      <c r="I325" s="4" t="s">
        <v>229</v>
      </c>
      <c r="K325" t="s">
        <v>229</v>
      </c>
      <c r="L325" s="4" t="s">
        <v>229</v>
      </c>
      <c r="M325" s="5">
        <v>0</v>
      </c>
      <c r="N325" s="5">
        <v>0</v>
      </c>
      <c r="O325">
        <v>174</v>
      </c>
      <c r="P325">
        <v>15.874860106874999</v>
      </c>
      <c r="Q325" s="4">
        <v>0.17499999999999999</v>
      </c>
      <c r="R325" s="5">
        <v>15.874860106874999</v>
      </c>
      <c r="S325" s="5">
        <v>0.17499999999999999</v>
      </c>
      <c r="T325">
        <v>455</v>
      </c>
      <c r="U325">
        <v>0</v>
      </c>
      <c r="V325">
        <v>0</v>
      </c>
      <c r="W325">
        <v>1</v>
      </c>
      <c r="X325">
        <v>0</v>
      </c>
      <c r="Y325">
        <v>0</v>
      </c>
      <c r="Z325">
        <v>0</v>
      </c>
      <c r="AA325">
        <v>0</v>
      </c>
      <c r="AC325">
        <v>0</v>
      </c>
      <c r="AD325">
        <f t="shared" si="7"/>
        <v>0</v>
      </c>
    </row>
    <row r="326" spans="1:30" x14ac:dyDescent="0.25">
      <c r="A326">
        <v>458</v>
      </c>
      <c r="B326">
        <v>19.242254674999998</v>
      </c>
      <c r="C326" s="4">
        <v>0.17499999999999999</v>
      </c>
      <c r="E326" t="s">
        <v>229</v>
      </c>
      <c r="F326" s="4" t="s">
        <v>229</v>
      </c>
      <c r="H326" t="s">
        <v>229</v>
      </c>
      <c r="I326" s="4" t="s">
        <v>229</v>
      </c>
      <c r="K326" t="s">
        <v>229</v>
      </c>
      <c r="L326" s="4" t="s">
        <v>229</v>
      </c>
      <c r="M326" s="5">
        <v>0</v>
      </c>
      <c r="N326" s="5">
        <v>0</v>
      </c>
      <c r="O326">
        <v>181</v>
      </c>
      <c r="P326">
        <v>7.6969018699999987</v>
      </c>
      <c r="Q326" s="4">
        <v>0.17499999999999999</v>
      </c>
      <c r="R326" s="5">
        <v>7.6969018699999987</v>
      </c>
      <c r="S326" s="5">
        <v>0.17499999999999999</v>
      </c>
      <c r="T326">
        <v>458</v>
      </c>
      <c r="U326">
        <v>0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0</v>
      </c>
      <c r="AC326">
        <v>0</v>
      </c>
      <c r="AD326">
        <f t="shared" si="7"/>
        <v>0</v>
      </c>
    </row>
    <row r="327" spans="1:30" x14ac:dyDescent="0.25">
      <c r="A327">
        <v>471</v>
      </c>
      <c r="B327">
        <v>22.705860516499996</v>
      </c>
      <c r="C327" s="4">
        <v>0.17499999999999999</v>
      </c>
      <c r="E327" t="s">
        <v>229</v>
      </c>
      <c r="F327" s="4" t="s">
        <v>229</v>
      </c>
      <c r="H327" t="s">
        <v>229</v>
      </c>
      <c r="I327" s="4" t="s">
        <v>229</v>
      </c>
      <c r="K327" t="s">
        <v>229</v>
      </c>
      <c r="L327" s="4" t="s">
        <v>229</v>
      </c>
      <c r="M327" s="5">
        <v>0</v>
      </c>
      <c r="N327" s="5">
        <v>0</v>
      </c>
      <c r="O327">
        <v>216</v>
      </c>
      <c r="P327">
        <v>14.451325960000002</v>
      </c>
      <c r="Q327" s="4">
        <v>0.2</v>
      </c>
      <c r="R327" s="5">
        <v>14.451325960000002</v>
      </c>
      <c r="S327" s="5">
        <v>0.2</v>
      </c>
      <c r="T327">
        <v>471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C327">
        <v>0</v>
      </c>
      <c r="AD327">
        <f t="shared" si="7"/>
        <v>0</v>
      </c>
    </row>
    <row r="328" spans="1:30" x14ac:dyDescent="0.25">
      <c r="A328">
        <v>275</v>
      </c>
      <c r="B328">
        <v>28.863382012499997</v>
      </c>
      <c r="C328" s="4">
        <v>0.17499999999999999</v>
      </c>
      <c r="E328" t="s">
        <v>229</v>
      </c>
      <c r="F328" s="4" t="s">
        <v>229</v>
      </c>
      <c r="H328" t="s">
        <v>229</v>
      </c>
      <c r="I328" s="4" t="s">
        <v>229</v>
      </c>
      <c r="K328" t="s">
        <v>229</v>
      </c>
      <c r="L328" s="4" t="s">
        <v>229</v>
      </c>
      <c r="M328" s="5">
        <v>0</v>
      </c>
      <c r="N328" s="5">
        <v>0</v>
      </c>
      <c r="O328">
        <v>216</v>
      </c>
      <c r="P328">
        <v>14.451325960000002</v>
      </c>
      <c r="Q328" s="4">
        <v>0.2</v>
      </c>
      <c r="R328" s="5">
        <v>14.451325960000002</v>
      </c>
      <c r="S328" s="5">
        <v>0.2</v>
      </c>
      <c r="T328">
        <v>275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C328">
        <v>0</v>
      </c>
      <c r="AD328">
        <f t="shared" si="7"/>
        <v>0</v>
      </c>
    </row>
    <row r="329" spans="1:30" x14ac:dyDescent="0.25">
      <c r="A329">
        <v>442</v>
      </c>
      <c r="B329">
        <v>7.6969018699999987</v>
      </c>
      <c r="C329" s="4">
        <v>0.17499999999999999</v>
      </c>
      <c r="E329" t="s">
        <v>229</v>
      </c>
      <c r="F329" s="4" t="s">
        <v>229</v>
      </c>
      <c r="H329" t="s">
        <v>229</v>
      </c>
      <c r="I329" s="4" t="s">
        <v>229</v>
      </c>
      <c r="K329" t="s">
        <v>229</v>
      </c>
      <c r="L329" s="4" t="s">
        <v>229</v>
      </c>
      <c r="M329" s="5">
        <v>0</v>
      </c>
      <c r="N329" s="5">
        <v>0</v>
      </c>
      <c r="O329">
        <v>132</v>
      </c>
      <c r="P329">
        <v>175.30086708000002</v>
      </c>
      <c r="Q329" s="4">
        <v>0.6</v>
      </c>
      <c r="R329" s="5">
        <v>175.30086708000002</v>
      </c>
      <c r="S329" s="5">
        <v>0.6</v>
      </c>
      <c r="T329">
        <v>442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C329">
        <v>0</v>
      </c>
      <c r="AD329">
        <f t="shared" si="7"/>
        <v>0</v>
      </c>
    </row>
    <row r="330" spans="1:30" x14ac:dyDescent="0.25">
      <c r="A330">
        <v>423</v>
      </c>
      <c r="B330">
        <v>7.6969018699999987</v>
      </c>
      <c r="C330" s="4">
        <v>0.17499999999999999</v>
      </c>
      <c r="E330" t="s">
        <v>229</v>
      </c>
      <c r="F330" s="4" t="s">
        <v>229</v>
      </c>
      <c r="H330" t="s">
        <v>229</v>
      </c>
      <c r="I330" s="4" t="s">
        <v>229</v>
      </c>
      <c r="K330" t="s">
        <v>229</v>
      </c>
      <c r="L330" s="4" t="s">
        <v>229</v>
      </c>
      <c r="M330" s="5">
        <v>0</v>
      </c>
      <c r="N330" s="5">
        <v>0</v>
      </c>
      <c r="O330">
        <v>92</v>
      </c>
      <c r="P330">
        <v>48.536034873700011</v>
      </c>
      <c r="Q330" s="4">
        <v>0.26500000000000001</v>
      </c>
      <c r="R330" s="5">
        <v>48.536034873700011</v>
      </c>
      <c r="S330" s="5">
        <v>0.26500000000000001</v>
      </c>
      <c r="T330">
        <v>423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C330">
        <v>0</v>
      </c>
      <c r="AD330">
        <f t="shared" si="7"/>
        <v>0</v>
      </c>
    </row>
    <row r="331" spans="1:30" x14ac:dyDescent="0.25">
      <c r="A331">
        <v>377</v>
      </c>
      <c r="B331">
        <v>7.6969018699999987</v>
      </c>
      <c r="C331" s="4">
        <v>0.17499999999999999</v>
      </c>
      <c r="E331" t="s">
        <v>229</v>
      </c>
      <c r="F331" s="4" t="s">
        <v>229</v>
      </c>
      <c r="H331" t="s">
        <v>229</v>
      </c>
      <c r="I331" s="4" t="s">
        <v>229</v>
      </c>
      <c r="K331" t="s">
        <v>229</v>
      </c>
      <c r="L331" s="4" t="s">
        <v>229</v>
      </c>
      <c r="M331" s="5">
        <v>0</v>
      </c>
      <c r="N331" s="5">
        <v>0</v>
      </c>
      <c r="O331">
        <v>51</v>
      </c>
      <c r="P331">
        <v>21.647536509374998</v>
      </c>
      <c r="Q331" s="4">
        <v>0.17499999999999999</v>
      </c>
      <c r="R331" s="5">
        <v>21.647536509374998</v>
      </c>
      <c r="S331" s="5">
        <v>0.17499999999999999</v>
      </c>
      <c r="T331">
        <v>377</v>
      </c>
      <c r="U331">
        <v>0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0</v>
      </c>
      <c r="AC331">
        <v>0</v>
      </c>
      <c r="AD331">
        <f t="shared" si="7"/>
        <v>0</v>
      </c>
    </row>
    <row r="332" spans="1:30" x14ac:dyDescent="0.25">
      <c r="A332">
        <v>363</v>
      </c>
      <c r="B332">
        <v>24.052818343749998</v>
      </c>
      <c r="C332" s="4">
        <v>0.17499999999999999</v>
      </c>
      <c r="E332" t="s">
        <v>229</v>
      </c>
      <c r="F332" s="4" t="s">
        <v>229</v>
      </c>
      <c r="H332" t="s">
        <v>229</v>
      </c>
      <c r="I332" s="4" t="s">
        <v>229</v>
      </c>
      <c r="K332" t="s">
        <v>229</v>
      </c>
      <c r="L332" s="4" t="s">
        <v>229</v>
      </c>
      <c r="M332" s="5">
        <v>0</v>
      </c>
      <c r="N332" s="5">
        <v>0</v>
      </c>
      <c r="O332">
        <v>51</v>
      </c>
      <c r="P332">
        <v>21.647536509374998</v>
      </c>
      <c r="Q332" s="4">
        <v>0.17499999999999999</v>
      </c>
      <c r="R332" s="5">
        <v>21.647536509374998</v>
      </c>
      <c r="S332" s="5">
        <v>0.17499999999999999</v>
      </c>
      <c r="T332">
        <v>363</v>
      </c>
      <c r="U332">
        <v>0</v>
      </c>
      <c r="V332">
        <v>0</v>
      </c>
      <c r="W332">
        <v>1</v>
      </c>
      <c r="X332">
        <v>0</v>
      </c>
      <c r="Y332">
        <v>0</v>
      </c>
      <c r="Z332">
        <v>0</v>
      </c>
      <c r="AA332">
        <v>0</v>
      </c>
      <c r="AC332">
        <v>0</v>
      </c>
      <c r="AD332">
        <f t="shared" si="7"/>
        <v>0</v>
      </c>
    </row>
    <row r="333" spans="1:30" x14ac:dyDescent="0.25">
      <c r="A333">
        <v>247</v>
      </c>
      <c r="B333">
        <v>11.545352804999998</v>
      </c>
      <c r="C333" s="4">
        <v>0.17499999999999999</v>
      </c>
      <c r="E333" t="s">
        <v>229</v>
      </c>
      <c r="F333" s="4" t="s">
        <v>229</v>
      </c>
      <c r="H333" t="s">
        <v>229</v>
      </c>
      <c r="I333" s="4" t="s">
        <v>229</v>
      </c>
      <c r="K333" t="s">
        <v>229</v>
      </c>
      <c r="L333" s="4" t="s">
        <v>229</v>
      </c>
      <c r="M333" s="5">
        <v>0</v>
      </c>
      <c r="N333" s="5">
        <v>0</v>
      </c>
      <c r="O333">
        <v>349</v>
      </c>
      <c r="P333">
        <v>21.205750049999999</v>
      </c>
      <c r="Q333" s="4">
        <v>0.3</v>
      </c>
      <c r="R333" s="5">
        <v>21.205750049999999</v>
      </c>
      <c r="S333" s="5">
        <v>0.3</v>
      </c>
      <c r="T333">
        <v>247</v>
      </c>
      <c r="U333">
        <v>0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0</v>
      </c>
      <c r="AC333">
        <v>0</v>
      </c>
      <c r="AD333">
        <f t="shared" si="7"/>
        <v>0</v>
      </c>
    </row>
    <row r="334" spans="1:30" x14ac:dyDescent="0.25">
      <c r="A334">
        <v>529</v>
      </c>
      <c r="B334">
        <v>7.2158455031249993</v>
      </c>
      <c r="C334" s="4">
        <v>0.17499999999999999</v>
      </c>
      <c r="E334" t="s">
        <v>229</v>
      </c>
      <c r="F334" s="4" t="s">
        <v>229</v>
      </c>
      <c r="H334" t="s">
        <v>229</v>
      </c>
      <c r="I334" s="4" t="s">
        <v>229</v>
      </c>
      <c r="K334" t="s">
        <v>229</v>
      </c>
      <c r="L334" s="4" t="s">
        <v>229</v>
      </c>
      <c r="M334" s="5">
        <v>0</v>
      </c>
      <c r="N334" s="5">
        <v>0</v>
      </c>
      <c r="O334">
        <v>347</v>
      </c>
      <c r="P334">
        <v>9.4247778000000029</v>
      </c>
      <c r="Q334" s="4">
        <v>0.2</v>
      </c>
      <c r="R334" s="5">
        <v>9.4247778000000029</v>
      </c>
      <c r="S334" s="5">
        <v>0.2</v>
      </c>
      <c r="T334">
        <v>529</v>
      </c>
      <c r="U334">
        <v>0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  <c r="AC334">
        <v>0</v>
      </c>
      <c r="AD334">
        <f t="shared" si="7"/>
        <v>0</v>
      </c>
    </row>
    <row r="335" spans="1:30" x14ac:dyDescent="0.25">
      <c r="A335">
        <v>249</v>
      </c>
      <c r="B335">
        <v>15.079644480000002</v>
      </c>
      <c r="C335" s="4">
        <v>0.2</v>
      </c>
      <c r="E335" t="s">
        <v>229</v>
      </c>
      <c r="F335" s="4" t="s">
        <v>229</v>
      </c>
      <c r="H335" t="s">
        <v>229</v>
      </c>
      <c r="I335" s="4" t="s">
        <v>229</v>
      </c>
      <c r="K335" t="s">
        <v>229</v>
      </c>
      <c r="L335" s="4" t="s">
        <v>229</v>
      </c>
      <c r="M335" s="5">
        <v>0</v>
      </c>
      <c r="N335" s="5">
        <v>0</v>
      </c>
      <c r="O335">
        <v>347</v>
      </c>
      <c r="P335">
        <v>9.4247778000000029</v>
      </c>
      <c r="Q335" s="4">
        <v>0.2</v>
      </c>
      <c r="R335" s="5">
        <v>9.4247778000000029</v>
      </c>
      <c r="S335" s="5">
        <v>0.2</v>
      </c>
      <c r="T335">
        <v>249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C335">
        <v>0</v>
      </c>
      <c r="AD335">
        <f t="shared" si="7"/>
        <v>0</v>
      </c>
    </row>
    <row r="336" spans="1:30" x14ac:dyDescent="0.25">
      <c r="A336">
        <v>414</v>
      </c>
      <c r="B336">
        <v>21.647536509374998</v>
      </c>
      <c r="C336" s="4">
        <v>0.17499999999999999</v>
      </c>
      <c r="E336" t="s">
        <v>229</v>
      </c>
      <c r="F336" s="4" t="s">
        <v>229</v>
      </c>
      <c r="H336" t="s">
        <v>229</v>
      </c>
      <c r="I336" s="4" t="s">
        <v>229</v>
      </c>
      <c r="K336" t="s">
        <v>229</v>
      </c>
      <c r="L336" s="4" t="s">
        <v>229</v>
      </c>
      <c r="M336" s="5">
        <v>0</v>
      </c>
      <c r="N336" s="5">
        <v>0</v>
      </c>
      <c r="O336">
        <v>44</v>
      </c>
      <c r="P336">
        <v>40.212385280000007</v>
      </c>
      <c r="Q336" s="4">
        <v>0.4</v>
      </c>
      <c r="R336" s="5">
        <v>40.212385280000007</v>
      </c>
      <c r="S336" s="5">
        <v>0.4</v>
      </c>
      <c r="T336">
        <v>414</v>
      </c>
      <c r="U336">
        <v>0</v>
      </c>
      <c r="V336">
        <v>0</v>
      </c>
      <c r="W336">
        <v>1</v>
      </c>
      <c r="X336">
        <v>0</v>
      </c>
      <c r="Y336">
        <v>0</v>
      </c>
      <c r="Z336">
        <v>0</v>
      </c>
      <c r="AA336">
        <v>0</v>
      </c>
      <c r="AC336">
        <v>0</v>
      </c>
      <c r="AD336">
        <f t="shared" si="7"/>
        <v>0</v>
      </c>
    </row>
    <row r="337" spans="1:30" x14ac:dyDescent="0.25">
      <c r="A337">
        <v>370</v>
      </c>
      <c r="B337">
        <v>23.090705609999997</v>
      </c>
      <c r="C337" s="4">
        <v>0.17499999999999999</v>
      </c>
      <c r="E337" t="s">
        <v>229</v>
      </c>
      <c r="F337" s="4" t="s">
        <v>229</v>
      </c>
      <c r="H337" t="s">
        <v>229</v>
      </c>
      <c r="I337" s="4" t="s">
        <v>229</v>
      </c>
      <c r="K337" t="s">
        <v>229</v>
      </c>
      <c r="L337" s="4" t="s">
        <v>229</v>
      </c>
      <c r="M337" s="5">
        <v>0</v>
      </c>
      <c r="N337" s="5">
        <v>0</v>
      </c>
      <c r="O337">
        <v>44</v>
      </c>
      <c r="P337">
        <v>40.212385280000007</v>
      </c>
      <c r="Q337" s="4">
        <v>0.4</v>
      </c>
      <c r="R337" s="5">
        <v>40.212385280000007</v>
      </c>
      <c r="S337" s="5">
        <v>0.4</v>
      </c>
      <c r="T337">
        <v>370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C337">
        <v>0</v>
      </c>
      <c r="AD337">
        <f t="shared" si="7"/>
        <v>0</v>
      </c>
    </row>
    <row r="338" spans="1:30" x14ac:dyDescent="0.25">
      <c r="A338">
        <v>411</v>
      </c>
      <c r="B338">
        <v>21.166480142499999</v>
      </c>
      <c r="C338" s="4">
        <v>0.17499999999999999</v>
      </c>
      <c r="E338" t="s">
        <v>229</v>
      </c>
      <c r="F338" s="4" t="s">
        <v>229</v>
      </c>
      <c r="H338" t="s">
        <v>229</v>
      </c>
      <c r="I338" s="4" t="s">
        <v>229</v>
      </c>
      <c r="K338" t="s">
        <v>229</v>
      </c>
      <c r="L338" s="4" t="s">
        <v>229</v>
      </c>
      <c r="M338" s="5">
        <v>0</v>
      </c>
      <c r="N338" s="5">
        <v>0</v>
      </c>
      <c r="O338">
        <v>178</v>
      </c>
      <c r="P338">
        <v>22.619466719999998</v>
      </c>
      <c r="Q338" s="4">
        <v>0.3</v>
      </c>
      <c r="R338" s="5">
        <v>22.619466719999998</v>
      </c>
      <c r="S338" s="5">
        <v>0.3</v>
      </c>
      <c r="T338">
        <v>411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C338">
        <v>0</v>
      </c>
      <c r="AD338">
        <f t="shared" si="7"/>
        <v>0</v>
      </c>
    </row>
    <row r="339" spans="1:30" x14ac:dyDescent="0.25">
      <c r="A339">
        <v>457</v>
      </c>
      <c r="B339">
        <v>15.874860106874999</v>
      </c>
      <c r="C339" s="4">
        <v>0.17499999999999999</v>
      </c>
      <c r="E339" t="s">
        <v>229</v>
      </c>
      <c r="F339" s="4" t="s">
        <v>229</v>
      </c>
      <c r="H339" t="s">
        <v>229</v>
      </c>
      <c r="I339" s="4" t="s">
        <v>229</v>
      </c>
      <c r="K339" t="s">
        <v>229</v>
      </c>
      <c r="L339" s="4" t="s">
        <v>229</v>
      </c>
      <c r="M339" s="5">
        <v>0</v>
      </c>
      <c r="N339" s="5">
        <v>0</v>
      </c>
      <c r="O339">
        <v>180</v>
      </c>
      <c r="P339">
        <v>20.734511160000007</v>
      </c>
      <c r="Q339" s="4">
        <v>0.2</v>
      </c>
      <c r="R339" s="5">
        <v>20.734511160000007</v>
      </c>
      <c r="S339" s="5">
        <v>0.2</v>
      </c>
      <c r="T339">
        <v>457</v>
      </c>
      <c r="U339">
        <v>0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0</v>
      </c>
      <c r="AC339">
        <v>0</v>
      </c>
      <c r="AD339">
        <f t="shared" si="7"/>
        <v>0</v>
      </c>
    </row>
    <row r="340" spans="1:30" x14ac:dyDescent="0.25">
      <c r="A340">
        <v>462</v>
      </c>
      <c r="B340">
        <v>19.242254674999998</v>
      </c>
      <c r="C340" s="4">
        <v>0.17499999999999999</v>
      </c>
      <c r="E340" t="s">
        <v>229</v>
      </c>
      <c r="F340" s="4" t="s">
        <v>229</v>
      </c>
      <c r="H340" t="s">
        <v>229</v>
      </c>
      <c r="I340" s="4" t="s">
        <v>229</v>
      </c>
      <c r="K340" t="s">
        <v>229</v>
      </c>
      <c r="L340" s="4" t="s">
        <v>229</v>
      </c>
      <c r="M340" s="5">
        <v>0</v>
      </c>
      <c r="N340" s="5">
        <v>0</v>
      </c>
      <c r="O340">
        <v>193</v>
      </c>
      <c r="P340">
        <v>19.242254674999998</v>
      </c>
      <c r="Q340" s="4">
        <v>0.17499999999999999</v>
      </c>
      <c r="R340" s="5">
        <v>19.242254674999998</v>
      </c>
      <c r="S340" s="5">
        <v>0.17499999999999999</v>
      </c>
      <c r="T340">
        <v>462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0</v>
      </c>
      <c r="AC340">
        <v>0</v>
      </c>
      <c r="AD340">
        <f t="shared" si="7"/>
        <v>0</v>
      </c>
    </row>
    <row r="341" spans="1:30" x14ac:dyDescent="0.25">
      <c r="A341">
        <v>472</v>
      </c>
      <c r="B341">
        <v>24.052818343749998</v>
      </c>
      <c r="C341" s="4">
        <v>0.17499999999999999</v>
      </c>
      <c r="E341" t="s">
        <v>229</v>
      </c>
      <c r="F341" s="4" t="s">
        <v>229</v>
      </c>
      <c r="H341" t="s">
        <v>229</v>
      </c>
      <c r="I341" s="4" t="s">
        <v>229</v>
      </c>
      <c r="K341" t="s">
        <v>229</v>
      </c>
      <c r="L341" s="4" t="s">
        <v>229</v>
      </c>
      <c r="M341" s="5">
        <v>0</v>
      </c>
      <c r="N341" s="5">
        <v>0</v>
      </c>
      <c r="O341">
        <v>215</v>
      </c>
      <c r="P341">
        <v>6.2831852000000019</v>
      </c>
      <c r="Q341" s="4">
        <v>0.2</v>
      </c>
      <c r="R341" s="5">
        <v>6.2831852000000019</v>
      </c>
      <c r="S341" s="5">
        <v>0.2</v>
      </c>
      <c r="T341">
        <v>472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0</v>
      </c>
      <c r="AC341">
        <v>0</v>
      </c>
      <c r="AD341">
        <f t="shared" si="7"/>
        <v>0</v>
      </c>
    </row>
    <row r="342" spans="1:30" x14ac:dyDescent="0.25">
      <c r="A342">
        <v>277</v>
      </c>
      <c r="B342">
        <v>14.431691006249999</v>
      </c>
      <c r="C342" s="4">
        <v>0.17499999999999999</v>
      </c>
      <c r="E342" t="s">
        <v>229</v>
      </c>
      <c r="F342" s="4" t="s">
        <v>229</v>
      </c>
      <c r="H342" t="s">
        <v>229</v>
      </c>
      <c r="I342" s="4" t="s">
        <v>229</v>
      </c>
      <c r="K342" t="s">
        <v>229</v>
      </c>
      <c r="L342" s="4" t="s">
        <v>229</v>
      </c>
      <c r="M342" s="5">
        <v>0</v>
      </c>
      <c r="N342" s="5">
        <v>0</v>
      </c>
      <c r="O342">
        <v>119</v>
      </c>
      <c r="P342">
        <v>361.28314899999998</v>
      </c>
      <c r="Q342" s="4">
        <v>1</v>
      </c>
      <c r="R342" s="5">
        <v>361.28314899999998</v>
      </c>
      <c r="S342" s="5">
        <v>1</v>
      </c>
      <c r="T342">
        <v>277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C342">
        <v>0</v>
      </c>
      <c r="AD342">
        <f t="shared" si="7"/>
        <v>0</v>
      </c>
    </row>
    <row r="343" spans="1:30" x14ac:dyDescent="0.25">
      <c r="A343">
        <v>122</v>
      </c>
      <c r="B343">
        <v>16.836972840624998</v>
      </c>
      <c r="C343" s="4">
        <v>0.17499999999999999</v>
      </c>
      <c r="E343" t="s">
        <v>229</v>
      </c>
      <c r="F343" s="4" t="s">
        <v>229</v>
      </c>
      <c r="H343" t="s">
        <v>229</v>
      </c>
      <c r="I343" s="4" t="s">
        <v>229</v>
      </c>
      <c r="K343" t="s">
        <v>229</v>
      </c>
      <c r="L343" s="4" t="s">
        <v>229</v>
      </c>
      <c r="M343" s="5">
        <v>0</v>
      </c>
      <c r="N343" s="5">
        <v>0</v>
      </c>
      <c r="O343">
        <v>121</v>
      </c>
      <c r="P343">
        <v>309.25052156250001</v>
      </c>
      <c r="Q343" s="4">
        <v>0.75</v>
      </c>
      <c r="R343" s="5">
        <v>309.25052156250001</v>
      </c>
      <c r="S343" s="5">
        <v>0.75</v>
      </c>
      <c r="T343">
        <v>122</v>
      </c>
      <c r="U343">
        <v>0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C343">
        <v>0</v>
      </c>
      <c r="AD343">
        <f t="shared" si="7"/>
        <v>0</v>
      </c>
    </row>
    <row r="344" spans="1:30" x14ac:dyDescent="0.25">
      <c r="A344">
        <v>441</v>
      </c>
      <c r="B344">
        <v>180.95573375999999</v>
      </c>
      <c r="C344" s="4">
        <v>0.6</v>
      </c>
      <c r="E344" t="s">
        <v>229</v>
      </c>
      <c r="F344" s="4" t="s">
        <v>229</v>
      </c>
      <c r="H344" t="s">
        <v>229</v>
      </c>
      <c r="I344" s="4" t="s">
        <v>229</v>
      </c>
      <c r="K344" t="s">
        <v>229</v>
      </c>
      <c r="L344" s="4" t="s">
        <v>229</v>
      </c>
      <c r="M344" s="5">
        <v>0</v>
      </c>
      <c r="N344" s="5">
        <v>0</v>
      </c>
      <c r="O344">
        <v>125</v>
      </c>
      <c r="P344">
        <v>21.647536509374998</v>
      </c>
      <c r="Q344" s="4">
        <v>0.17499999999999999</v>
      </c>
      <c r="R344" s="5">
        <v>21.647536509374998</v>
      </c>
      <c r="S344" s="5">
        <v>0.17499999999999999</v>
      </c>
      <c r="T344">
        <v>441</v>
      </c>
      <c r="U344">
        <v>0</v>
      </c>
      <c r="V344">
        <v>0</v>
      </c>
      <c r="W344">
        <v>1</v>
      </c>
      <c r="X344">
        <v>0</v>
      </c>
      <c r="Y344">
        <v>0</v>
      </c>
      <c r="Z344">
        <v>0</v>
      </c>
      <c r="AA344">
        <v>0</v>
      </c>
      <c r="AC344">
        <v>0</v>
      </c>
      <c r="AD344">
        <f t="shared" si="7"/>
        <v>0</v>
      </c>
    </row>
    <row r="345" spans="1:30" x14ac:dyDescent="0.25">
      <c r="A345">
        <v>437</v>
      </c>
      <c r="B345">
        <v>90.477866879999993</v>
      </c>
      <c r="C345" s="4">
        <v>0.6</v>
      </c>
      <c r="E345" t="s">
        <v>229</v>
      </c>
      <c r="F345" s="4" t="s">
        <v>229</v>
      </c>
      <c r="H345" t="s">
        <v>229</v>
      </c>
      <c r="I345" s="4" t="s">
        <v>229</v>
      </c>
      <c r="K345" t="s">
        <v>229</v>
      </c>
      <c r="L345" s="4" t="s">
        <v>229</v>
      </c>
      <c r="M345" s="5">
        <v>0</v>
      </c>
      <c r="N345" s="5">
        <v>0</v>
      </c>
      <c r="O345">
        <v>125</v>
      </c>
      <c r="P345">
        <v>21.647536509374998</v>
      </c>
      <c r="Q345" s="4">
        <v>0.17499999999999999</v>
      </c>
      <c r="R345" s="5">
        <v>21.647536509374998</v>
      </c>
      <c r="S345" s="5">
        <v>0.17499999999999999</v>
      </c>
      <c r="T345">
        <v>437</v>
      </c>
      <c r="U345">
        <v>0</v>
      </c>
      <c r="V345">
        <v>0</v>
      </c>
      <c r="W345">
        <v>1</v>
      </c>
      <c r="X345">
        <v>0</v>
      </c>
      <c r="Y345">
        <v>0</v>
      </c>
      <c r="Z345">
        <v>0</v>
      </c>
      <c r="AA345">
        <v>0</v>
      </c>
      <c r="AC345">
        <v>0</v>
      </c>
      <c r="AD345">
        <f t="shared" si="7"/>
        <v>0</v>
      </c>
    </row>
    <row r="346" spans="1:30" x14ac:dyDescent="0.25">
      <c r="A346">
        <v>424</v>
      </c>
      <c r="B346">
        <v>7.6969018699999987</v>
      </c>
      <c r="C346" s="4">
        <v>0.17499999999999999</v>
      </c>
      <c r="E346" t="s">
        <v>229</v>
      </c>
      <c r="F346" s="4" t="s">
        <v>229</v>
      </c>
      <c r="H346" t="s">
        <v>229</v>
      </c>
      <c r="I346" s="4" t="s">
        <v>229</v>
      </c>
      <c r="K346" t="s">
        <v>229</v>
      </c>
      <c r="L346" s="4" t="s">
        <v>229</v>
      </c>
      <c r="M346" s="5">
        <v>0</v>
      </c>
      <c r="N346" s="5">
        <v>0</v>
      </c>
      <c r="O346">
        <v>93</v>
      </c>
      <c r="P346">
        <v>25.132740800000008</v>
      </c>
      <c r="Q346" s="4">
        <v>0.2</v>
      </c>
      <c r="R346" s="5">
        <v>25.132740800000008</v>
      </c>
      <c r="S346" s="5">
        <v>0.2</v>
      </c>
      <c r="T346">
        <v>424</v>
      </c>
      <c r="U346">
        <v>0</v>
      </c>
      <c r="V346">
        <v>0</v>
      </c>
      <c r="W346">
        <v>1</v>
      </c>
      <c r="X346">
        <v>0</v>
      </c>
      <c r="Y346">
        <v>0</v>
      </c>
      <c r="Z346">
        <v>0</v>
      </c>
      <c r="AA346">
        <v>0</v>
      </c>
      <c r="AC346">
        <v>0</v>
      </c>
      <c r="AD346">
        <f t="shared" si="7"/>
        <v>0</v>
      </c>
    </row>
    <row r="347" spans="1:30" x14ac:dyDescent="0.25">
      <c r="A347">
        <v>94</v>
      </c>
      <c r="B347">
        <v>7.6969018699999987</v>
      </c>
      <c r="C347" s="4">
        <v>0.17499999999999999</v>
      </c>
      <c r="E347" t="s">
        <v>229</v>
      </c>
      <c r="F347" s="4" t="s">
        <v>229</v>
      </c>
      <c r="H347" t="s">
        <v>229</v>
      </c>
      <c r="I347" s="4" t="s">
        <v>229</v>
      </c>
      <c r="K347" t="s">
        <v>229</v>
      </c>
      <c r="L347" s="4" t="s">
        <v>229</v>
      </c>
      <c r="M347" s="5">
        <v>0</v>
      </c>
      <c r="N347" s="5">
        <v>0</v>
      </c>
      <c r="O347">
        <v>93</v>
      </c>
      <c r="P347">
        <v>25.132740800000008</v>
      </c>
      <c r="Q347" s="4">
        <v>0.2</v>
      </c>
      <c r="R347" s="5">
        <v>25.132740800000008</v>
      </c>
      <c r="S347" s="5">
        <v>0.2</v>
      </c>
      <c r="T347">
        <v>94</v>
      </c>
      <c r="U347">
        <v>0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0</v>
      </c>
      <c r="AC347">
        <v>0</v>
      </c>
      <c r="AD347">
        <f t="shared" si="7"/>
        <v>0</v>
      </c>
    </row>
    <row r="348" spans="1:30" x14ac:dyDescent="0.25">
      <c r="A348">
        <v>378</v>
      </c>
      <c r="B348">
        <v>7.6969018699999987</v>
      </c>
      <c r="C348" s="4">
        <v>0.17499999999999999</v>
      </c>
      <c r="E348" t="s">
        <v>229</v>
      </c>
      <c r="F348" s="4" t="s">
        <v>229</v>
      </c>
      <c r="H348" t="s">
        <v>229</v>
      </c>
      <c r="I348" s="4" t="s">
        <v>229</v>
      </c>
      <c r="K348" t="s">
        <v>229</v>
      </c>
      <c r="L348" s="4" t="s">
        <v>229</v>
      </c>
      <c r="M348" s="5">
        <v>0</v>
      </c>
      <c r="N348" s="5">
        <v>0</v>
      </c>
      <c r="O348">
        <v>52</v>
      </c>
      <c r="P348">
        <v>49.639126575375009</v>
      </c>
      <c r="Q348" s="4">
        <v>0.26500000000000001</v>
      </c>
      <c r="R348" s="5">
        <v>49.639126575375009</v>
      </c>
      <c r="S348" s="5">
        <v>0.26500000000000001</v>
      </c>
      <c r="T348">
        <v>378</v>
      </c>
      <c r="U348">
        <v>0</v>
      </c>
      <c r="V348">
        <v>0</v>
      </c>
      <c r="W348">
        <v>1</v>
      </c>
      <c r="X348">
        <v>0</v>
      </c>
      <c r="Y348">
        <v>0</v>
      </c>
      <c r="Z348">
        <v>0</v>
      </c>
      <c r="AA348">
        <v>0</v>
      </c>
      <c r="AC348">
        <v>0</v>
      </c>
      <c r="AD348">
        <f t="shared" si="7"/>
        <v>0</v>
      </c>
    </row>
    <row r="349" spans="1:30" x14ac:dyDescent="0.25">
      <c r="A349">
        <v>530</v>
      </c>
      <c r="B349">
        <v>7.2158455031249993</v>
      </c>
      <c r="C349" s="4">
        <v>0.17499999999999999</v>
      </c>
      <c r="E349" t="s">
        <v>229</v>
      </c>
      <c r="F349" s="4" t="s">
        <v>229</v>
      </c>
      <c r="H349" t="s">
        <v>229</v>
      </c>
      <c r="I349" s="4" t="s">
        <v>229</v>
      </c>
      <c r="K349" t="s">
        <v>229</v>
      </c>
      <c r="L349" s="4" t="s">
        <v>229</v>
      </c>
      <c r="M349" s="5">
        <v>0</v>
      </c>
      <c r="N349" s="5">
        <v>0</v>
      </c>
      <c r="O349">
        <v>3</v>
      </c>
      <c r="P349">
        <v>24.504422280000004</v>
      </c>
      <c r="Q349" s="4">
        <v>0.2</v>
      </c>
      <c r="R349" s="5">
        <v>24.504422280000004</v>
      </c>
      <c r="S349" s="5">
        <v>0.2</v>
      </c>
      <c r="T349">
        <v>530</v>
      </c>
      <c r="U349">
        <v>0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0</v>
      </c>
      <c r="AC349">
        <v>0</v>
      </c>
      <c r="AD349">
        <f t="shared" si="7"/>
        <v>0</v>
      </c>
    </row>
    <row r="350" spans="1:30" x14ac:dyDescent="0.25">
      <c r="A350">
        <v>245</v>
      </c>
      <c r="B350">
        <v>11.545352804999998</v>
      </c>
      <c r="C350" s="4">
        <v>0.17499999999999999</v>
      </c>
      <c r="E350" t="s">
        <v>229</v>
      </c>
      <c r="F350" s="4" t="s">
        <v>229</v>
      </c>
      <c r="H350" t="s">
        <v>229</v>
      </c>
      <c r="I350" s="4" t="s">
        <v>229</v>
      </c>
      <c r="K350" t="s">
        <v>229</v>
      </c>
      <c r="L350" s="4" t="s">
        <v>229</v>
      </c>
      <c r="M350" s="5">
        <v>0</v>
      </c>
      <c r="N350" s="5">
        <v>0</v>
      </c>
      <c r="O350">
        <v>3</v>
      </c>
      <c r="P350">
        <v>24.504422280000004</v>
      </c>
      <c r="Q350" s="4">
        <v>0.2</v>
      </c>
      <c r="R350" s="5">
        <v>24.504422280000004</v>
      </c>
      <c r="S350" s="5">
        <v>0.2</v>
      </c>
      <c r="T350">
        <v>245</v>
      </c>
      <c r="U350">
        <v>0</v>
      </c>
      <c r="V350">
        <v>0</v>
      </c>
      <c r="W350">
        <v>1</v>
      </c>
      <c r="X350">
        <v>0</v>
      </c>
      <c r="Y350">
        <v>0</v>
      </c>
      <c r="Z350">
        <v>0</v>
      </c>
      <c r="AA350">
        <v>0</v>
      </c>
      <c r="AC350">
        <v>0</v>
      </c>
      <c r="AD350">
        <f t="shared" si="7"/>
        <v>0</v>
      </c>
    </row>
    <row r="351" spans="1:30" x14ac:dyDescent="0.25">
      <c r="A351">
        <v>362</v>
      </c>
      <c r="B351">
        <v>7.6969018699999987</v>
      </c>
      <c r="C351" s="4">
        <v>0.17499999999999999</v>
      </c>
      <c r="E351" t="s">
        <v>229</v>
      </c>
      <c r="F351" s="4" t="s">
        <v>229</v>
      </c>
      <c r="H351" t="s">
        <v>229</v>
      </c>
      <c r="I351" s="4" t="s">
        <v>229</v>
      </c>
      <c r="K351" t="s">
        <v>229</v>
      </c>
      <c r="L351" s="4" t="s">
        <v>229</v>
      </c>
      <c r="M351" s="5">
        <v>0</v>
      </c>
      <c r="N351" s="5">
        <v>0</v>
      </c>
      <c r="O351">
        <v>20</v>
      </c>
      <c r="P351">
        <v>3.8484509349999994</v>
      </c>
      <c r="Q351" s="4">
        <v>0.17499999999999999</v>
      </c>
      <c r="R351" s="5">
        <v>3.8484509349999994</v>
      </c>
      <c r="S351" s="5">
        <v>0.17499999999999999</v>
      </c>
      <c r="T351">
        <v>362</v>
      </c>
      <c r="U351">
        <v>0</v>
      </c>
      <c r="V351">
        <v>0</v>
      </c>
      <c r="W351">
        <v>1</v>
      </c>
      <c r="X351">
        <v>0</v>
      </c>
      <c r="Y351">
        <v>0</v>
      </c>
      <c r="Z351">
        <v>0</v>
      </c>
      <c r="AA351">
        <v>0</v>
      </c>
      <c r="AC351">
        <v>0</v>
      </c>
      <c r="AD351">
        <f t="shared" si="7"/>
        <v>0</v>
      </c>
    </row>
    <row r="352" spans="1:30" x14ac:dyDescent="0.25">
      <c r="A352">
        <v>250</v>
      </c>
      <c r="B352">
        <v>11.545352804999998</v>
      </c>
      <c r="C352" s="4">
        <v>0.17499999999999999</v>
      </c>
      <c r="E352" t="s">
        <v>229</v>
      </c>
      <c r="F352" s="4" t="s">
        <v>229</v>
      </c>
      <c r="H352" t="s">
        <v>229</v>
      </c>
      <c r="I352" s="4" t="s">
        <v>229</v>
      </c>
      <c r="K352" t="s">
        <v>229</v>
      </c>
      <c r="L352" s="4" t="s">
        <v>229</v>
      </c>
      <c r="M352" s="5">
        <v>0</v>
      </c>
      <c r="N352" s="5">
        <v>0</v>
      </c>
      <c r="O352">
        <v>346</v>
      </c>
      <c r="P352">
        <v>115.61060768000002</v>
      </c>
      <c r="Q352" s="4">
        <v>0.4</v>
      </c>
      <c r="R352" s="5">
        <v>115.61060768000002</v>
      </c>
      <c r="S352" s="5">
        <v>0.4</v>
      </c>
      <c r="T352">
        <v>250</v>
      </c>
      <c r="U352">
        <v>0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0</v>
      </c>
      <c r="AC352">
        <v>0</v>
      </c>
      <c r="AD352">
        <f t="shared" si="7"/>
        <v>0</v>
      </c>
    </row>
    <row r="353" spans="1:30" x14ac:dyDescent="0.25">
      <c r="A353">
        <v>412</v>
      </c>
      <c r="B353">
        <v>21.647536509374998</v>
      </c>
      <c r="C353" s="4">
        <v>0.17499999999999999</v>
      </c>
      <c r="E353" t="s">
        <v>229</v>
      </c>
      <c r="F353" s="4" t="s">
        <v>229</v>
      </c>
      <c r="H353" t="s">
        <v>229</v>
      </c>
      <c r="I353" s="4" t="s">
        <v>229</v>
      </c>
      <c r="K353" t="s">
        <v>229</v>
      </c>
      <c r="L353" s="4" t="s">
        <v>229</v>
      </c>
      <c r="M353" s="5">
        <v>0</v>
      </c>
      <c r="N353" s="5">
        <v>0</v>
      </c>
      <c r="O353">
        <v>43</v>
      </c>
      <c r="P353">
        <v>40.212385280000007</v>
      </c>
      <c r="Q353" s="4">
        <v>0.4</v>
      </c>
      <c r="R353" s="5">
        <v>40.212385280000007</v>
      </c>
      <c r="S353" s="5">
        <v>0.4</v>
      </c>
      <c r="T353">
        <v>412</v>
      </c>
      <c r="U353">
        <v>0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0</v>
      </c>
      <c r="AC353">
        <v>0</v>
      </c>
      <c r="AD353">
        <f t="shared" si="7"/>
        <v>0</v>
      </c>
    </row>
    <row r="354" spans="1:30" x14ac:dyDescent="0.25">
      <c r="A354">
        <v>371</v>
      </c>
      <c r="B354">
        <v>23.090705609999997</v>
      </c>
      <c r="C354" s="4">
        <v>0.17499999999999999</v>
      </c>
      <c r="E354" t="s">
        <v>229</v>
      </c>
      <c r="F354" s="4" t="s">
        <v>229</v>
      </c>
      <c r="H354" t="s">
        <v>229</v>
      </c>
      <c r="I354" s="4" t="s">
        <v>229</v>
      </c>
      <c r="K354" t="s">
        <v>229</v>
      </c>
      <c r="L354" s="4" t="s">
        <v>229</v>
      </c>
      <c r="M354" s="5">
        <v>0</v>
      </c>
      <c r="N354" s="5">
        <v>0</v>
      </c>
      <c r="O354">
        <v>43</v>
      </c>
      <c r="P354">
        <v>40.212385280000007</v>
      </c>
      <c r="Q354" s="4">
        <v>0.4</v>
      </c>
      <c r="R354" s="5">
        <v>40.212385280000007</v>
      </c>
      <c r="S354" s="5">
        <v>0.4</v>
      </c>
      <c r="T354">
        <v>371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0</v>
      </c>
      <c r="AC354">
        <v>0</v>
      </c>
      <c r="AD354">
        <f t="shared" si="7"/>
        <v>0</v>
      </c>
    </row>
    <row r="355" spans="1:30" x14ac:dyDescent="0.25">
      <c r="A355">
        <v>408</v>
      </c>
      <c r="B355">
        <v>21.166480142499999</v>
      </c>
      <c r="C355" s="4">
        <v>0.17499999999999999</v>
      </c>
      <c r="E355" t="s">
        <v>229</v>
      </c>
      <c r="F355" s="4" t="s">
        <v>229</v>
      </c>
      <c r="H355" t="s">
        <v>229</v>
      </c>
      <c r="I355" s="4" t="s">
        <v>229</v>
      </c>
      <c r="K355" t="s">
        <v>229</v>
      </c>
      <c r="L355" s="4" t="s">
        <v>229</v>
      </c>
      <c r="M355" s="5">
        <v>0</v>
      </c>
      <c r="N355" s="5">
        <v>0</v>
      </c>
      <c r="O355">
        <v>184</v>
      </c>
      <c r="P355">
        <v>22.619466719999998</v>
      </c>
      <c r="Q355" s="4">
        <v>0.3</v>
      </c>
      <c r="R355" s="5">
        <v>22.619466719999998</v>
      </c>
      <c r="S355" s="5">
        <v>0.3</v>
      </c>
      <c r="T355">
        <v>408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0</v>
      </c>
      <c r="AA355">
        <v>0</v>
      </c>
      <c r="AC355">
        <v>0</v>
      </c>
      <c r="AD355">
        <f t="shared" si="7"/>
        <v>0</v>
      </c>
    </row>
    <row r="356" spans="1:30" x14ac:dyDescent="0.25">
      <c r="A356">
        <v>459</v>
      </c>
      <c r="B356">
        <v>19.242254674999998</v>
      </c>
      <c r="C356" s="4">
        <v>0.17499999999999999</v>
      </c>
      <c r="E356" t="s">
        <v>229</v>
      </c>
      <c r="F356" s="4" t="s">
        <v>229</v>
      </c>
      <c r="H356" t="s">
        <v>229</v>
      </c>
      <c r="I356" s="4" t="s">
        <v>229</v>
      </c>
      <c r="K356" t="s">
        <v>229</v>
      </c>
      <c r="L356" s="4" t="s">
        <v>229</v>
      </c>
      <c r="M356" s="5">
        <v>0</v>
      </c>
      <c r="N356" s="5">
        <v>0</v>
      </c>
      <c r="O356">
        <v>185</v>
      </c>
      <c r="P356">
        <v>628.31852000000003</v>
      </c>
      <c r="Q356" s="4">
        <v>1</v>
      </c>
      <c r="R356" s="5">
        <v>628.31852000000003</v>
      </c>
      <c r="S356" s="5">
        <v>1</v>
      </c>
      <c r="T356">
        <v>459</v>
      </c>
      <c r="U356">
        <v>0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0</v>
      </c>
      <c r="AC356">
        <v>0</v>
      </c>
      <c r="AD356">
        <f t="shared" si="7"/>
        <v>0</v>
      </c>
    </row>
    <row r="357" spans="1:30" x14ac:dyDescent="0.25">
      <c r="A357">
        <v>463</v>
      </c>
      <c r="B357">
        <v>10.58324007125</v>
      </c>
      <c r="C357" s="4">
        <v>0.17499999999999999</v>
      </c>
      <c r="E357" t="s">
        <v>229</v>
      </c>
      <c r="F357" s="4" t="s">
        <v>229</v>
      </c>
      <c r="H357" t="s">
        <v>229</v>
      </c>
      <c r="I357" s="4" t="s">
        <v>229</v>
      </c>
      <c r="K357" t="s">
        <v>229</v>
      </c>
      <c r="L357" s="4" t="s">
        <v>229</v>
      </c>
      <c r="M357" s="5">
        <v>0</v>
      </c>
      <c r="N357" s="5">
        <v>0</v>
      </c>
      <c r="O357">
        <v>206</v>
      </c>
      <c r="P357">
        <v>17.318029207499997</v>
      </c>
      <c r="Q357" s="4">
        <v>0.17499999999999999</v>
      </c>
      <c r="R357" s="5">
        <v>17.318029207499997</v>
      </c>
      <c r="S357" s="5">
        <v>0.17499999999999999</v>
      </c>
      <c r="T357">
        <v>463</v>
      </c>
      <c r="U357">
        <v>0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C357">
        <v>0</v>
      </c>
      <c r="AD357">
        <f t="shared" si="7"/>
        <v>0</v>
      </c>
    </row>
    <row r="358" spans="1:30" x14ac:dyDescent="0.25">
      <c r="A358">
        <v>473</v>
      </c>
      <c r="B358">
        <v>25.977043811249995</v>
      </c>
      <c r="C358" s="4">
        <v>0.17499999999999999</v>
      </c>
      <c r="E358" t="s">
        <v>229</v>
      </c>
      <c r="F358" s="4" t="s">
        <v>229</v>
      </c>
      <c r="H358" t="s">
        <v>229</v>
      </c>
      <c r="I358" s="4" t="s">
        <v>229</v>
      </c>
      <c r="K358" t="s">
        <v>229</v>
      </c>
      <c r="L358" s="4" t="s">
        <v>229</v>
      </c>
      <c r="M358" s="5">
        <v>0</v>
      </c>
      <c r="N358" s="5">
        <v>0</v>
      </c>
      <c r="O358">
        <v>214</v>
      </c>
      <c r="P358">
        <v>5.7726764024999992</v>
      </c>
      <c r="Q358" s="4">
        <v>0.17499999999999999</v>
      </c>
      <c r="R358" s="5">
        <v>5.7726764024999992</v>
      </c>
      <c r="S358" s="5">
        <v>0.17499999999999999</v>
      </c>
      <c r="T358">
        <v>473</v>
      </c>
      <c r="U358">
        <v>0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  <c r="AC358">
        <v>0</v>
      </c>
      <c r="AD358">
        <f t="shared" si="7"/>
        <v>0</v>
      </c>
    </row>
    <row r="359" spans="1:30" x14ac:dyDescent="0.25">
      <c r="A359">
        <v>426</v>
      </c>
      <c r="B359">
        <v>7.6969018699999987</v>
      </c>
      <c r="C359" s="4">
        <v>0.17499999999999999</v>
      </c>
      <c r="E359" t="s">
        <v>229</v>
      </c>
      <c r="F359" s="4" t="s">
        <v>229</v>
      </c>
      <c r="H359" t="s">
        <v>229</v>
      </c>
      <c r="I359" s="4" t="s">
        <v>229</v>
      </c>
      <c r="K359" t="s">
        <v>229</v>
      </c>
      <c r="L359" s="4" t="s">
        <v>229</v>
      </c>
      <c r="M359" s="5">
        <v>0</v>
      </c>
      <c r="N359" s="5">
        <v>0</v>
      </c>
      <c r="O359">
        <v>95</v>
      </c>
      <c r="P359">
        <v>30.886567646900005</v>
      </c>
      <c r="Q359" s="4">
        <v>0.26500000000000001</v>
      </c>
      <c r="R359" s="5">
        <v>30.886567646900005</v>
      </c>
      <c r="S359" s="5">
        <v>0.26500000000000001</v>
      </c>
      <c r="T359">
        <v>426</v>
      </c>
      <c r="U359">
        <v>0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0</v>
      </c>
      <c r="AC359">
        <v>0</v>
      </c>
      <c r="AD359">
        <f t="shared" si="7"/>
        <v>0</v>
      </c>
    </row>
    <row r="360" spans="1:30" x14ac:dyDescent="0.25">
      <c r="A360">
        <v>96</v>
      </c>
      <c r="B360">
        <v>7.6969018699999987</v>
      </c>
      <c r="C360" s="4">
        <v>0.17499999999999999</v>
      </c>
      <c r="E360" t="s">
        <v>229</v>
      </c>
      <c r="F360" s="4" t="s">
        <v>229</v>
      </c>
      <c r="H360" t="s">
        <v>229</v>
      </c>
      <c r="I360" s="4" t="s">
        <v>229</v>
      </c>
      <c r="K360" t="s">
        <v>229</v>
      </c>
      <c r="L360" s="4" t="s">
        <v>229</v>
      </c>
      <c r="M360" s="5">
        <v>0</v>
      </c>
      <c r="N360" s="5">
        <v>0</v>
      </c>
      <c r="O360">
        <v>95</v>
      </c>
      <c r="P360">
        <v>30.886567646900005</v>
      </c>
      <c r="Q360" s="4">
        <v>0.26500000000000001</v>
      </c>
      <c r="R360" s="5">
        <v>30.886567646900005</v>
      </c>
      <c r="S360" s="5">
        <v>0.26500000000000001</v>
      </c>
      <c r="T360">
        <v>96</v>
      </c>
      <c r="U360">
        <v>0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C360">
        <v>0</v>
      </c>
      <c r="AD360">
        <f t="shared" si="7"/>
        <v>0</v>
      </c>
    </row>
    <row r="361" spans="1:30" x14ac:dyDescent="0.25">
      <c r="A361">
        <v>438</v>
      </c>
      <c r="B361">
        <v>124.40706696000001</v>
      </c>
      <c r="C361" s="4">
        <v>0.6</v>
      </c>
      <c r="E361" t="s">
        <v>229</v>
      </c>
      <c r="F361" s="4" t="s">
        <v>229</v>
      </c>
      <c r="H361" t="s">
        <v>229</v>
      </c>
      <c r="I361" s="4" t="s">
        <v>229</v>
      </c>
      <c r="K361" t="s">
        <v>229</v>
      </c>
      <c r="L361" s="4" t="s">
        <v>229</v>
      </c>
      <c r="M361" s="5">
        <v>0</v>
      </c>
      <c r="N361" s="5">
        <v>0</v>
      </c>
      <c r="O361">
        <v>123</v>
      </c>
      <c r="P361">
        <v>7.6969018699999987</v>
      </c>
      <c r="Q361" s="4">
        <v>0.17499999999999999</v>
      </c>
      <c r="R361" s="5">
        <v>7.6969018699999987</v>
      </c>
      <c r="S361" s="5">
        <v>0.17499999999999999</v>
      </c>
      <c r="T361">
        <v>438</v>
      </c>
      <c r="U361">
        <v>0</v>
      </c>
      <c r="V361">
        <v>0</v>
      </c>
      <c r="W361">
        <v>1</v>
      </c>
      <c r="X361">
        <v>0</v>
      </c>
      <c r="Y361">
        <v>0</v>
      </c>
      <c r="Z361">
        <v>0</v>
      </c>
      <c r="AA361">
        <v>0</v>
      </c>
      <c r="AC361">
        <v>0</v>
      </c>
      <c r="AD361">
        <f t="shared" si="7"/>
        <v>0</v>
      </c>
    </row>
    <row r="362" spans="1:30" x14ac:dyDescent="0.25">
      <c r="A362">
        <v>361</v>
      </c>
      <c r="B362">
        <v>3.8484509349999994</v>
      </c>
      <c r="C362" s="4">
        <v>0.17499999999999999</v>
      </c>
      <c r="E362" t="s">
        <v>229</v>
      </c>
      <c r="F362" s="4" t="s">
        <v>229</v>
      </c>
      <c r="H362" t="s">
        <v>229</v>
      </c>
      <c r="I362" s="4" t="s">
        <v>229</v>
      </c>
      <c r="K362" t="s">
        <v>229</v>
      </c>
      <c r="L362" s="4" t="s">
        <v>229</v>
      </c>
      <c r="M362" s="5">
        <v>0</v>
      </c>
      <c r="N362" s="5">
        <v>0</v>
      </c>
      <c r="O362">
        <v>19</v>
      </c>
      <c r="P362">
        <v>57.36076848710001</v>
      </c>
      <c r="Q362" s="4">
        <v>0.26500000000000001</v>
      </c>
      <c r="R362" s="5">
        <v>57.36076848710001</v>
      </c>
      <c r="S362" s="5">
        <v>0.26500000000000001</v>
      </c>
      <c r="T362">
        <v>361</v>
      </c>
      <c r="U362">
        <v>0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0</v>
      </c>
      <c r="AC362">
        <v>0</v>
      </c>
      <c r="AD362">
        <f t="shared" si="7"/>
        <v>0</v>
      </c>
    </row>
    <row r="363" spans="1:30" x14ac:dyDescent="0.25">
      <c r="A363">
        <v>244</v>
      </c>
      <c r="B363">
        <v>11.545352804999998</v>
      </c>
      <c r="C363" s="4">
        <v>0.17499999999999999</v>
      </c>
      <c r="E363" t="s">
        <v>229</v>
      </c>
      <c r="F363" s="4" t="s">
        <v>229</v>
      </c>
      <c r="H363" t="s">
        <v>229</v>
      </c>
      <c r="I363" s="4" t="s">
        <v>229</v>
      </c>
      <c r="K363" t="s">
        <v>229</v>
      </c>
      <c r="L363" s="4" t="s">
        <v>229</v>
      </c>
      <c r="M363" s="5">
        <v>0</v>
      </c>
      <c r="N363" s="5">
        <v>0</v>
      </c>
      <c r="O363">
        <v>4</v>
      </c>
      <c r="P363">
        <v>7.2158455031249993</v>
      </c>
      <c r="Q363" s="4">
        <v>0.17499999999999999</v>
      </c>
      <c r="R363" s="5">
        <v>7.2158455031249993</v>
      </c>
      <c r="S363" s="5">
        <v>0.17499999999999999</v>
      </c>
      <c r="T363">
        <v>244</v>
      </c>
      <c r="U363">
        <v>0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C363">
        <v>0</v>
      </c>
      <c r="AD363">
        <f t="shared" si="7"/>
        <v>0</v>
      </c>
    </row>
    <row r="364" spans="1:30" x14ac:dyDescent="0.25">
      <c r="A364">
        <v>252</v>
      </c>
      <c r="B364">
        <v>15.079644480000002</v>
      </c>
      <c r="C364" s="4">
        <v>0.2</v>
      </c>
      <c r="E364" t="s">
        <v>229</v>
      </c>
      <c r="F364" s="4" t="s">
        <v>229</v>
      </c>
      <c r="H364" t="s">
        <v>229</v>
      </c>
      <c r="I364" s="4" t="s">
        <v>229</v>
      </c>
      <c r="K364" t="s">
        <v>229</v>
      </c>
      <c r="L364" s="4" t="s">
        <v>229</v>
      </c>
      <c r="M364" s="5">
        <v>0</v>
      </c>
      <c r="N364" s="5">
        <v>0</v>
      </c>
      <c r="O364">
        <v>344</v>
      </c>
      <c r="P364">
        <v>441.78645937499999</v>
      </c>
      <c r="Q364" s="4">
        <v>0.75</v>
      </c>
      <c r="R364" s="5">
        <v>441.78645937499999</v>
      </c>
      <c r="S364" s="5">
        <v>0.75</v>
      </c>
      <c r="T364">
        <v>252</v>
      </c>
      <c r="U364">
        <v>0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0</v>
      </c>
      <c r="AC364">
        <v>0</v>
      </c>
      <c r="AD364">
        <f t="shared" si="7"/>
        <v>0</v>
      </c>
    </row>
    <row r="365" spans="1:30" x14ac:dyDescent="0.25">
      <c r="A365">
        <v>528</v>
      </c>
      <c r="B365">
        <v>7.2158455031249993</v>
      </c>
      <c r="C365" s="4">
        <v>0.17499999999999999</v>
      </c>
      <c r="E365" t="s">
        <v>229</v>
      </c>
      <c r="F365" s="4" t="s">
        <v>229</v>
      </c>
      <c r="H365" t="s">
        <v>229</v>
      </c>
      <c r="I365" s="4" t="s">
        <v>229</v>
      </c>
      <c r="K365" t="s">
        <v>229</v>
      </c>
      <c r="L365" s="4" t="s">
        <v>229</v>
      </c>
      <c r="M365" s="5">
        <v>0</v>
      </c>
      <c r="N365" s="5">
        <v>0</v>
      </c>
      <c r="O365">
        <v>345</v>
      </c>
      <c r="P365">
        <v>37.699111200000011</v>
      </c>
      <c r="Q365" s="4">
        <v>0.4</v>
      </c>
      <c r="R365" s="5">
        <v>37.699111200000011</v>
      </c>
      <c r="S365" s="5">
        <v>0.4</v>
      </c>
      <c r="T365">
        <v>528</v>
      </c>
      <c r="U365">
        <v>0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0</v>
      </c>
      <c r="AC365">
        <v>0</v>
      </c>
      <c r="AD365">
        <f t="shared" si="7"/>
        <v>0</v>
      </c>
    </row>
    <row r="366" spans="1:30" x14ac:dyDescent="0.25">
      <c r="A366">
        <v>251</v>
      </c>
      <c r="B366">
        <v>15.079644480000002</v>
      </c>
      <c r="C366" s="4">
        <v>0.2</v>
      </c>
      <c r="E366" t="s">
        <v>229</v>
      </c>
      <c r="F366" s="4" t="s">
        <v>229</v>
      </c>
      <c r="H366" t="s">
        <v>229</v>
      </c>
      <c r="I366" s="4" t="s">
        <v>229</v>
      </c>
      <c r="K366" t="s">
        <v>229</v>
      </c>
      <c r="L366" s="4" t="s">
        <v>229</v>
      </c>
      <c r="M366" s="5">
        <v>0</v>
      </c>
      <c r="N366" s="5">
        <v>0</v>
      </c>
      <c r="O366">
        <v>345</v>
      </c>
      <c r="P366">
        <v>37.699111200000011</v>
      </c>
      <c r="Q366" s="4">
        <v>0.4</v>
      </c>
      <c r="R366" s="5">
        <v>37.699111200000011</v>
      </c>
      <c r="S366" s="5">
        <v>0.4</v>
      </c>
      <c r="T366">
        <v>251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0</v>
      </c>
      <c r="AC366">
        <v>0</v>
      </c>
      <c r="AD366">
        <f t="shared" si="7"/>
        <v>0</v>
      </c>
    </row>
    <row r="367" spans="1:30" x14ac:dyDescent="0.25">
      <c r="A367">
        <v>527</v>
      </c>
      <c r="B367">
        <v>23.090705609999997</v>
      </c>
      <c r="C367" s="4">
        <v>0.17499999999999999</v>
      </c>
      <c r="E367" t="s">
        <v>229</v>
      </c>
      <c r="F367" s="4" t="s">
        <v>229</v>
      </c>
      <c r="H367" t="s">
        <v>229</v>
      </c>
      <c r="I367" s="4" t="s">
        <v>229</v>
      </c>
      <c r="K367" t="s">
        <v>229</v>
      </c>
      <c r="L367" s="4" t="s">
        <v>229</v>
      </c>
      <c r="M367" s="5">
        <v>0</v>
      </c>
      <c r="N367" s="5">
        <v>0</v>
      </c>
      <c r="O367">
        <v>42</v>
      </c>
      <c r="P367">
        <v>40.212385280000007</v>
      </c>
      <c r="Q367" s="4">
        <v>0.4</v>
      </c>
      <c r="R367" s="5">
        <v>40.212385280000007</v>
      </c>
      <c r="S367" s="5">
        <v>0.4</v>
      </c>
      <c r="T367">
        <v>527</v>
      </c>
      <c r="U367">
        <v>0</v>
      </c>
      <c r="V367">
        <v>0</v>
      </c>
      <c r="W367">
        <v>1</v>
      </c>
      <c r="X367">
        <v>0</v>
      </c>
      <c r="Y367">
        <v>0</v>
      </c>
      <c r="Z367">
        <v>0</v>
      </c>
      <c r="AA367">
        <v>0</v>
      </c>
      <c r="AC367">
        <v>0</v>
      </c>
      <c r="AD367">
        <f t="shared" si="7"/>
        <v>0</v>
      </c>
    </row>
    <row r="368" spans="1:30" x14ac:dyDescent="0.25">
      <c r="A368">
        <v>409</v>
      </c>
      <c r="B368">
        <v>21.647536509374998</v>
      </c>
      <c r="C368" s="4">
        <v>0.17499999999999999</v>
      </c>
      <c r="E368" t="s">
        <v>229</v>
      </c>
      <c r="F368" s="4" t="s">
        <v>229</v>
      </c>
      <c r="H368" t="s">
        <v>229</v>
      </c>
      <c r="I368" s="4" t="s">
        <v>229</v>
      </c>
      <c r="K368" t="s">
        <v>229</v>
      </c>
      <c r="L368" s="4" t="s">
        <v>229</v>
      </c>
      <c r="M368" s="5">
        <v>0</v>
      </c>
      <c r="N368" s="5">
        <v>0</v>
      </c>
      <c r="O368">
        <v>42</v>
      </c>
      <c r="P368">
        <v>40.212385280000007</v>
      </c>
      <c r="Q368" s="4">
        <v>0.4</v>
      </c>
      <c r="R368" s="5">
        <v>40.212385280000007</v>
      </c>
      <c r="S368" s="5">
        <v>0.4</v>
      </c>
      <c r="T368">
        <v>409</v>
      </c>
      <c r="U368">
        <v>0</v>
      </c>
      <c r="V368">
        <v>0</v>
      </c>
      <c r="W368">
        <v>1</v>
      </c>
      <c r="X368">
        <v>0</v>
      </c>
      <c r="Y368">
        <v>0</v>
      </c>
      <c r="Z368">
        <v>0</v>
      </c>
      <c r="AA368">
        <v>0</v>
      </c>
      <c r="AC368">
        <v>0</v>
      </c>
      <c r="AD368">
        <f t="shared" si="7"/>
        <v>0</v>
      </c>
    </row>
    <row r="369" spans="1:30" x14ac:dyDescent="0.25">
      <c r="A369">
        <v>406</v>
      </c>
      <c r="B369">
        <v>21.166480142499999</v>
      </c>
      <c r="C369" s="4">
        <v>0.17499999999999999</v>
      </c>
      <c r="E369" t="s">
        <v>229</v>
      </c>
      <c r="F369" s="4" t="s">
        <v>229</v>
      </c>
      <c r="H369" t="s">
        <v>229</v>
      </c>
      <c r="I369" s="4" t="s">
        <v>229</v>
      </c>
      <c r="K369" t="s">
        <v>229</v>
      </c>
      <c r="L369" s="4" t="s">
        <v>229</v>
      </c>
      <c r="M369" s="5">
        <v>0</v>
      </c>
      <c r="N369" s="5">
        <v>0</v>
      </c>
      <c r="O369">
        <v>189</v>
      </c>
      <c r="P369">
        <v>22.619466719999998</v>
      </c>
      <c r="Q369" s="4">
        <v>0.3</v>
      </c>
      <c r="R369" s="5">
        <v>22.619466719999998</v>
      </c>
      <c r="S369" s="5">
        <v>0.3</v>
      </c>
      <c r="T369">
        <v>406</v>
      </c>
      <c r="U369">
        <v>0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C369">
        <v>0</v>
      </c>
      <c r="AD369">
        <f t="shared" si="7"/>
        <v>0</v>
      </c>
    </row>
    <row r="370" spans="1:30" x14ac:dyDescent="0.25">
      <c r="A370">
        <v>461</v>
      </c>
      <c r="B370">
        <v>19.242254674999998</v>
      </c>
      <c r="C370" s="4">
        <v>0.17499999999999999</v>
      </c>
      <c r="E370" t="s">
        <v>229</v>
      </c>
      <c r="F370" s="4" t="s">
        <v>229</v>
      </c>
      <c r="H370" t="s">
        <v>229</v>
      </c>
      <c r="I370" s="4" t="s">
        <v>229</v>
      </c>
      <c r="K370" t="s">
        <v>229</v>
      </c>
      <c r="L370" s="4" t="s">
        <v>229</v>
      </c>
      <c r="M370" s="5">
        <v>0</v>
      </c>
      <c r="N370" s="5">
        <v>0</v>
      </c>
      <c r="O370">
        <v>192</v>
      </c>
      <c r="P370">
        <v>20.106192640000003</v>
      </c>
      <c r="Q370" s="4">
        <v>0.2</v>
      </c>
      <c r="R370" s="5">
        <v>20.106192640000003</v>
      </c>
      <c r="S370" s="5">
        <v>0.2</v>
      </c>
      <c r="T370">
        <v>461</v>
      </c>
      <c r="U370">
        <v>0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  <c r="AC370">
        <v>0</v>
      </c>
      <c r="AD370">
        <f t="shared" si="7"/>
        <v>0</v>
      </c>
    </row>
    <row r="371" spans="1:30" x14ac:dyDescent="0.25">
      <c r="A371">
        <v>470</v>
      </c>
      <c r="B371">
        <v>4.8105636687499995</v>
      </c>
      <c r="C371" s="4">
        <v>0.17499999999999999</v>
      </c>
      <c r="E371" t="s">
        <v>229</v>
      </c>
      <c r="F371" s="4" t="s">
        <v>229</v>
      </c>
      <c r="H371" t="s">
        <v>229</v>
      </c>
      <c r="I371" s="4" t="s">
        <v>229</v>
      </c>
      <c r="K371" t="s">
        <v>229</v>
      </c>
      <c r="L371" s="4" t="s">
        <v>229</v>
      </c>
      <c r="M371" s="5">
        <v>0</v>
      </c>
      <c r="N371" s="5">
        <v>0</v>
      </c>
      <c r="O371">
        <v>205</v>
      </c>
      <c r="P371">
        <v>309.25052156250001</v>
      </c>
      <c r="Q371" s="4">
        <v>0.75</v>
      </c>
      <c r="R371" s="5">
        <v>309.25052156250001</v>
      </c>
      <c r="S371" s="5">
        <v>0.75</v>
      </c>
      <c r="T371">
        <v>470</v>
      </c>
      <c r="U371">
        <v>0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0</v>
      </c>
      <c r="AC371">
        <v>0</v>
      </c>
      <c r="AD371">
        <f t="shared" si="7"/>
        <v>0</v>
      </c>
    </row>
    <row r="372" spans="1:30" x14ac:dyDescent="0.25">
      <c r="A372">
        <v>469</v>
      </c>
      <c r="B372">
        <v>16.836972840624998</v>
      </c>
      <c r="C372" s="4">
        <v>0.17499999999999999</v>
      </c>
      <c r="E372" t="s">
        <v>229</v>
      </c>
      <c r="F372" s="4" t="s">
        <v>229</v>
      </c>
      <c r="H372" t="s">
        <v>229</v>
      </c>
      <c r="I372" s="4" t="s">
        <v>229</v>
      </c>
      <c r="K372" t="s">
        <v>229</v>
      </c>
      <c r="L372" s="4" t="s">
        <v>229</v>
      </c>
      <c r="M372" s="5">
        <v>0</v>
      </c>
      <c r="N372" s="5">
        <v>0</v>
      </c>
      <c r="O372">
        <v>209</v>
      </c>
      <c r="P372">
        <v>123.700208625</v>
      </c>
      <c r="Q372" s="4">
        <v>0.75</v>
      </c>
      <c r="R372" s="5">
        <v>123.700208625</v>
      </c>
      <c r="S372" s="5">
        <v>0.75</v>
      </c>
      <c r="T372">
        <v>469</v>
      </c>
      <c r="U372">
        <v>0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0</v>
      </c>
      <c r="AC372">
        <v>0</v>
      </c>
      <c r="AD372">
        <f t="shared" si="7"/>
        <v>0</v>
      </c>
    </row>
    <row r="373" spans="1:30" x14ac:dyDescent="0.25">
      <c r="A373">
        <v>474</v>
      </c>
      <c r="B373">
        <v>24.052818343749998</v>
      </c>
      <c r="C373" s="4">
        <v>0.17499999999999999</v>
      </c>
      <c r="E373" t="s">
        <v>229</v>
      </c>
      <c r="F373" s="4" t="s">
        <v>229</v>
      </c>
      <c r="H373" t="s">
        <v>229</v>
      </c>
      <c r="I373" s="4" t="s">
        <v>229</v>
      </c>
      <c r="K373" t="s">
        <v>229</v>
      </c>
      <c r="L373" s="4" t="s">
        <v>229</v>
      </c>
      <c r="M373" s="5">
        <v>0</v>
      </c>
      <c r="N373" s="5">
        <v>0</v>
      </c>
      <c r="O373">
        <v>213</v>
      </c>
      <c r="P373">
        <v>9.621127337499999</v>
      </c>
      <c r="Q373" s="4">
        <v>0.17499999999999999</v>
      </c>
      <c r="R373" s="5">
        <v>9.621127337499999</v>
      </c>
      <c r="S373" s="5">
        <v>0.17499999999999999</v>
      </c>
      <c r="T373">
        <v>474</v>
      </c>
      <c r="U373">
        <v>0</v>
      </c>
      <c r="V373">
        <v>0</v>
      </c>
      <c r="W373">
        <v>1</v>
      </c>
      <c r="X373">
        <v>0</v>
      </c>
      <c r="Y373">
        <v>0</v>
      </c>
      <c r="Z373">
        <v>0</v>
      </c>
      <c r="AA373">
        <v>0</v>
      </c>
      <c r="AC373">
        <v>0</v>
      </c>
      <c r="AD373">
        <f t="shared" si="7"/>
        <v>0</v>
      </c>
    </row>
    <row r="374" spans="1:30" x14ac:dyDescent="0.25">
      <c r="A374">
        <v>436</v>
      </c>
      <c r="B374">
        <v>10.58324007125</v>
      </c>
      <c r="C374" s="4">
        <v>0.17499999999999999</v>
      </c>
      <c r="E374" t="s">
        <v>229</v>
      </c>
      <c r="F374" s="4" t="s">
        <v>229</v>
      </c>
      <c r="H374" t="s">
        <v>229</v>
      </c>
      <c r="I374" s="4" t="s">
        <v>229</v>
      </c>
      <c r="K374" t="s">
        <v>229</v>
      </c>
      <c r="L374" s="4" t="s">
        <v>229</v>
      </c>
      <c r="M374" s="5">
        <v>0</v>
      </c>
      <c r="N374" s="5">
        <v>0</v>
      </c>
      <c r="O374">
        <v>117</v>
      </c>
      <c r="P374">
        <v>16.836972840624998</v>
      </c>
      <c r="Q374" s="4">
        <v>0.17499999999999999</v>
      </c>
      <c r="R374" s="5">
        <v>16.836972840624998</v>
      </c>
      <c r="S374" s="5">
        <v>0.17499999999999999</v>
      </c>
      <c r="T374">
        <v>436</v>
      </c>
      <c r="U374">
        <v>0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0</v>
      </c>
      <c r="AC374">
        <v>0</v>
      </c>
      <c r="AD374">
        <f t="shared" si="7"/>
        <v>0</v>
      </c>
    </row>
    <row r="375" spans="1:30" x14ac:dyDescent="0.25">
      <c r="A375">
        <v>425</v>
      </c>
      <c r="B375">
        <v>21.647536509374998</v>
      </c>
      <c r="C375" s="4">
        <v>0.17499999999999999</v>
      </c>
      <c r="E375" t="s">
        <v>229</v>
      </c>
      <c r="F375" s="4" t="s">
        <v>229</v>
      </c>
      <c r="H375" t="s">
        <v>229</v>
      </c>
      <c r="I375" s="4" t="s">
        <v>229</v>
      </c>
      <c r="K375" t="s">
        <v>229</v>
      </c>
      <c r="L375" s="4" t="s">
        <v>229</v>
      </c>
      <c r="M375" s="5">
        <v>0</v>
      </c>
      <c r="N375" s="5">
        <v>0</v>
      </c>
      <c r="O375">
        <v>54</v>
      </c>
      <c r="P375">
        <v>7.6969018699999987</v>
      </c>
      <c r="Q375" s="4">
        <v>0.17499999999999999</v>
      </c>
      <c r="R375" s="5">
        <v>7.6969018699999987</v>
      </c>
      <c r="S375" s="5">
        <v>0.17499999999999999</v>
      </c>
      <c r="T375">
        <v>425</v>
      </c>
      <c r="U375">
        <v>0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0</v>
      </c>
      <c r="AC375">
        <v>0</v>
      </c>
      <c r="AD375">
        <f t="shared" si="7"/>
        <v>0</v>
      </c>
    </row>
    <row r="376" spans="1:30" x14ac:dyDescent="0.25">
      <c r="A376">
        <v>379</v>
      </c>
      <c r="B376">
        <v>7.6969018699999987</v>
      </c>
      <c r="C376" s="4">
        <v>0.17499999999999999</v>
      </c>
      <c r="E376" t="s">
        <v>229</v>
      </c>
      <c r="F376" s="4" t="s">
        <v>229</v>
      </c>
      <c r="H376" t="s">
        <v>229</v>
      </c>
      <c r="I376" s="4" t="s">
        <v>229</v>
      </c>
      <c r="K376" t="s">
        <v>229</v>
      </c>
      <c r="L376" s="4" t="s">
        <v>229</v>
      </c>
      <c r="M376" s="5">
        <v>0</v>
      </c>
      <c r="N376" s="5">
        <v>0</v>
      </c>
      <c r="O376">
        <v>54</v>
      </c>
      <c r="P376">
        <v>7.6969018699999987</v>
      </c>
      <c r="Q376" s="4">
        <v>0.17499999999999999</v>
      </c>
      <c r="R376" s="5">
        <v>7.6969018699999987</v>
      </c>
      <c r="S376" s="5">
        <v>0.17499999999999999</v>
      </c>
      <c r="T376">
        <v>379</v>
      </c>
      <c r="U376">
        <v>0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0</v>
      </c>
      <c r="AC376">
        <v>0</v>
      </c>
      <c r="AD376">
        <f t="shared" si="7"/>
        <v>0</v>
      </c>
    </row>
    <row r="377" spans="1:30" x14ac:dyDescent="0.25">
      <c r="A377">
        <v>360</v>
      </c>
      <c r="B377">
        <v>25.014931077499998</v>
      </c>
      <c r="C377" s="4">
        <v>0.17499999999999999</v>
      </c>
      <c r="E377" t="s">
        <v>229</v>
      </c>
      <c r="F377" s="4" t="s">
        <v>229</v>
      </c>
      <c r="H377" t="s">
        <v>229</v>
      </c>
      <c r="I377" s="4" t="s">
        <v>229</v>
      </c>
      <c r="K377" t="s">
        <v>229</v>
      </c>
      <c r="L377" s="4" t="s">
        <v>229</v>
      </c>
      <c r="M377" s="5">
        <v>0</v>
      </c>
      <c r="N377" s="5">
        <v>0</v>
      </c>
      <c r="O377">
        <v>54</v>
      </c>
      <c r="P377">
        <v>7.6969018699999987</v>
      </c>
      <c r="Q377" s="4">
        <v>0.17499999999999999</v>
      </c>
      <c r="R377" s="5">
        <v>7.6969018699999987</v>
      </c>
      <c r="S377" s="5">
        <v>0.17499999999999999</v>
      </c>
      <c r="T377">
        <v>360</v>
      </c>
      <c r="U377">
        <v>0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0</v>
      </c>
      <c r="AC377">
        <v>0</v>
      </c>
      <c r="AD377">
        <f t="shared" si="7"/>
        <v>0</v>
      </c>
    </row>
    <row r="378" spans="1:30" x14ac:dyDescent="0.25">
      <c r="A378">
        <v>351</v>
      </c>
      <c r="B378">
        <v>7.2158455031249993</v>
      </c>
      <c r="C378" s="4">
        <v>0.17499999999999999</v>
      </c>
      <c r="E378" t="s">
        <v>229</v>
      </c>
      <c r="F378" s="4" t="s">
        <v>229</v>
      </c>
      <c r="H378" t="s">
        <v>229</v>
      </c>
      <c r="I378" s="4" t="s">
        <v>229</v>
      </c>
      <c r="K378" t="s">
        <v>229</v>
      </c>
      <c r="L378" s="4" t="s">
        <v>229</v>
      </c>
      <c r="M378" s="5">
        <v>0</v>
      </c>
      <c r="N378" s="5">
        <v>0</v>
      </c>
      <c r="O378">
        <v>5</v>
      </c>
      <c r="P378">
        <v>39.711301260300004</v>
      </c>
      <c r="Q378" s="4">
        <v>0.26500000000000001</v>
      </c>
      <c r="R378" s="5">
        <v>39.711301260300004</v>
      </c>
      <c r="S378" s="5">
        <v>0.26500000000000001</v>
      </c>
      <c r="T378">
        <v>351</v>
      </c>
      <c r="U378">
        <v>0</v>
      </c>
      <c r="V378">
        <v>0</v>
      </c>
      <c r="W378">
        <v>1</v>
      </c>
      <c r="X378">
        <v>0</v>
      </c>
      <c r="Y378">
        <v>0</v>
      </c>
      <c r="Z378">
        <v>0</v>
      </c>
      <c r="AA378">
        <v>0</v>
      </c>
      <c r="AC378">
        <v>0</v>
      </c>
      <c r="AD378">
        <f t="shared" si="7"/>
        <v>0</v>
      </c>
    </row>
    <row r="379" spans="1:30" x14ac:dyDescent="0.25">
      <c r="A379">
        <v>243</v>
      </c>
      <c r="B379">
        <v>15.079644480000002</v>
      </c>
      <c r="C379" s="4">
        <v>0.2</v>
      </c>
      <c r="E379" t="s">
        <v>229</v>
      </c>
      <c r="F379" s="4" t="s">
        <v>229</v>
      </c>
      <c r="H379" t="s">
        <v>229</v>
      </c>
      <c r="I379" s="4" t="s">
        <v>229</v>
      </c>
      <c r="K379" t="s">
        <v>229</v>
      </c>
      <c r="L379" s="4" t="s">
        <v>229</v>
      </c>
      <c r="M379" s="5">
        <v>0</v>
      </c>
      <c r="N379" s="5">
        <v>0</v>
      </c>
      <c r="O379">
        <v>5</v>
      </c>
      <c r="P379">
        <v>39.711301260300004</v>
      </c>
      <c r="Q379" s="4">
        <v>0.26500000000000001</v>
      </c>
      <c r="R379" s="5">
        <v>39.711301260300004</v>
      </c>
      <c r="S379" s="5">
        <v>0.26500000000000001</v>
      </c>
      <c r="T379">
        <v>243</v>
      </c>
      <c r="U379">
        <v>0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0</v>
      </c>
      <c r="AC379">
        <v>0</v>
      </c>
      <c r="AD379">
        <f t="shared" si="7"/>
        <v>0</v>
      </c>
    </row>
    <row r="380" spans="1:30" x14ac:dyDescent="0.25">
      <c r="A380">
        <v>505</v>
      </c>
      <c r="B380">
        <v>14.431691006249999</v>
      </c>
      <c r="C380" s="4">
        <v>0.17499999999999999</v>
      </c>
      <c r="E380" t="s">
        <v>229</v>
      </c>
      <c r="F380" s="4" t="s">
        <v>229</v>
      </c>
      <c r="H380" t="s">
        <v>229</v>
      </c>
      <c r="I380" s="4" t="s">
        <v>229</v>
      </c>
      <c r="K380" t="s">
        <v>229</v>
      </c>
      <c r="L380" s="4" t="s">
        <v>229</v>
      </c>
      <c r="M380" s="5">
        <v>0</v>
      </c>
      <c r="N380" s="5">
        <v>0</v>
      </c>
      <c r="O380">
        <v>319</v>
      </c>
      <c r="P380">
        <v>132.53593781250001</v>
      </c>
      <c r="Q380" s="4">
        <v>0.75</v>
      </c>
      <c r="R380" s="5">
        <v>132.53593781250001</v>
      </c>
      <c r="S380" s="5">
        <v>0.75</v>
      </c>
      <c r="T380">
        <v>505</v>
      </c>
      <c r="U380">
        <v>0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0</v>
      </c>
      <c r="AC380">
        <v>0</v>
      </c>
      <c r="AD380">
        <f t="shared" si="7"/>
        <v>0</v>
      </c>
    </row>
    <row r="381" spans="1:30" x14ac:dyDescent="0.25">
      <c r="A381">
        <v>253</v>
      </c>
      <c r="B381">
        <v>15.079644480000002</v>
      </c>
      <c r="C381" s="4">
        <v>0.2</v>
      </c>
      <c r="E381" t="s">
        <v>229</v>
      </c>
      <c r="F381" s="4" t="s">
        <v>229</v>
      </c>
      <c r="H381" t="s">
        <v>229</v>
      </c>
      <c r="I381" s="4" t="s">
        <v>229</v>
      </c>
      <c r="K381" t="s">
        <v>229</v>
      </c>
      <c r="L381" s="4" t="s">
        <v>229</v>
      </c>
      <c r="M381" s="5">
        <v>0</v>
      </c>
      <c r="N381" s="5">
        <v>0</v>
      </c>
      <c r="O381">
        <v>319</v>
      </c>
      <c r="P381">
        <v>132.53593781250001</v>
      </c>
      <c r="Q381" s="4">
        <v>0.75</v>
      </c>
      <c r="R381" s="5">
        <v>132.53593781250001</v>
      </c>
      <c r="S381" s="5">
        <v>0.75</v>
      </c>
      <c r="T381">
        <v>253</v>
      </c>
      <c r="U381">
        <v>0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0</v>
      </c>
      <c r="AC381">
        <v>0</v>
      </c>
      <c r="AD381">
        <f t="shared" si="7"/>
        <v>0</v>
      </c>
    </row>
    <row r="382" spans="1:30" x14ac:dyDescent="0.25">
      <c r="A382">
        <v>526</v>
      </c>
      <c r="B382">
        <v>22.128592876249996</v>
      </c>
      <c r="C382" s="4">
        <v>0.17499999999999999</v>
      </c>
      <c r="E382" t="s">
        <v>229</v>
      </c>
      <c r="F382" s="4" t="s">
        <v>229</v>
      </c>
      <c r="H382" t="s">
        <v>229</v>
      </c>
      <c r="I382" s="4" t="s">
        <v>229</v>
      </c>
      <c r="K382" t="s">
        <v>229</v>
      </c>
      <c r="L382" s="4" t="s">
        <v>229</v>
      </c>
      <c r="M382" s="5">
        <v>0</v>
      </c>
      <c r="N382" s="5">
        <v>0</v>
      </c>
      <c r="O382">
        <v>41</v>
      </c>
      <c r="P382">
        <v>40.212385280000007</v>
      </c>
      <c r="Q382" s="4">
        <v>0.4</v>
      </c>
      <c r="R382" s="5">
        <v>40.212385280000007</v>
      </c>
      <c r="S382" s="5">
        <v>0.4</v>
      </c>
      <c r="T382">
        <v>526</v>
      </c>
      <c r="U382">
        <v>0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C382">
        <v>0</v>
      </c>
      <c r="AD382">
        <f t="shared" si="7"/>
        <v>0</v>
      </c>
    </row>
    <row r="383" spans="1:30" x14ac:dyDescent="0.25">
      <c r="A383">
        <v>407</v>
      </c>
      <c r="B383">
        <v>21.647536509374998</v>
      </c>
      <c r="C383" s="4">
        <v>0.17499999999999999</v>
      </c>
      <c r="E383" t="s">
        <v>229</v>
      </c>
      <c r="F383" s="4" t="s">
        <v>229</v>
      </c>
      <c r="H383" t="s">
        <v>229</v>
      </c>
      <c r="I383" s="4" t="s">
        <v>229</v>
      </c>
      <c r="K383" t="s">
        <v>229</v>
      </c>
      <c r="L383" s="4" t="s">
        <v>229</v>
      </c>
      <c r="M383" s="5">
        <v>0</v>
      </c>
      <c r="N383" s="5">
        <v>0</v>
      </c>
      <c r="O383">
        <v>41</v>
      </c>
      <c r="P383">
        <v>40.212385280000007</v>
      </c>
      <c r="Q383" s="4">
        <v>0.4</v>
      </c>
      <c r="R383" s="5">
        <v>40.212385280000007</v>
      </c>
      <c r="S383" s="5">
        <v>0.4</v>
      </c>
      <c r="T383">
        <v>407</v>
      </c>
      <c r="U383">
        <v>0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0</v>
      </c>
      <c r="AC383">
        <v>0</v>
      </c>
      <c r="AD383">
        <f t="shared" si="7"/>
        <v>0</v>
      </c>
    </row>
    <row r="384" spans="1:30" x14ac:dyDescent="0.25">
      <c r="A384">
        <v>404</v>
      </c>
      <c r="B384">
        <v>21.166480142499999</v>
      </c>
      <c r="C384" s="4">
        <v>0.17499999999999999</v>
      </c>
      <c r="E384" t="s">
        <v>229</v>
      </c>
      <c r="F384" s="4" t="s">
        <v>229</v>
      </c>
      <c r="H384" t="s">
        <v>229</v>
      </c>
      <c r="I384" s="4" t="s">
        <v>229</v>
      </c>
      <c r="K384" t="s">
        <v>229</v>
      </c>
      <c r="L384" s="4" t="s">
        <v>229</v>
      </c>
      <c r="M384" s="5">
        <v>0</v>
      </c>
      <c r="N384" s="5">
        <v>0</v>
      </c>
      <c r="O384">
        <v>191</v>
      </c>
      <c r="P384">
        <v>22.619466719999998</v>
      </c>
      <c r="Q384" s="4">
        <v>0.3</v>
      </c>
      <c r="R384" s="5">
        <v>22.619466719999998</v>
      </c>
      <c r="S384" s="5">
        <v>0.3</v>
      </c>
      <c r="T384">
        <v>404</v>
      </c>
      <c r="U384">
        <v>0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0</v>
      </c>
      <c r="AC384">
        <v>0</v>
      </c>
      <c r="AD384">
        <f t="shared" si="7"/>
        <v>0</v>
      </c>
    </row>
    <row r="385" spans="1:30" x14ac:dyDescent="0.25">
      <c r="A385">
        <v>467</v>
      </c>
      <c r="B385">
        <v>38.484509349999996</v>
      </c>
      <c r="C385" s="4">
        <v>0.17499999999999999</v>
      </c>
      <c r="E385" t="s">
        <v>229</v>
      </c>
      <c r="F385" s="4" t="s">
        <v>229</v>
      </c>
      <c r="H385" t="s">
        <v>229</v>
      </c>
      <c r="I385" s="4" t="s">
        <v>229</v>
      </c>
      <c r="K385" t="s">
        <v>229</v>
      </c>
      <c r="L385" s="4" t="s">
        <v>229</v>
      </c>
      <c r="M385" s="5">
        <v>0</v>
      </c>
      <c r="N385" s="5">
        <v>0</v>
      </c>
      <c r="O385">
        <v>204</v>
      </c>
      <c r="P385">
        <v>6.734789136249999</v>
      </c>
      <c r="Q385" s="4">
        <v>0.17499999999999999</v>
      </c>
      <c r="R385" s="5">
        <v>6.734789136249999</v>
      </c>
      <c r="S385" s="5">
        <v>0.17499999999999999</v>
      </c>
      <c r="T385">
        <v>467</v>
      </c>
      <c r="U385">
        <v>0</v>
      </c>
      <c r="V385">
        <v>0</v>
      </c>
      <c r="W385">
        <v>1</v>
      </c>
      <c r="X385">
        <v>0</v>
      </c>
      <c r="Y385">
        <v>0</v>
      </c>
      <c r="Z385">
        <v>0</v>
      </c>
      <c r="AA385">
        <v>0</v>
      </c>
      <c r="AC385">
        <v>0</v>
      </c>
      <c r="AD385">
        <f t="shared" si="7"/>
        <v>0</v>
      </c>
    </row>
    <row r="386" spans="1:30" x14ac:dyDescent="0.25">
      <c r="A386">
        <v>475</v>
      </c>
      <c r="B386">
        <v>26.939156544999996</v>
      </c>
      <c r="C386" s="4">
        <v>0.17499999999999999</v>
      </c>
      <c r="E386" t="s">
        <v>229</v>
      </c>
      <c r="F386" s="4" t="s">
        <v>229</v>
      </c>
      <c r="H386" t="s">
        <v>229</v>
      </c>
      <c r="I386" s="4" t="s">
        <v>229</v>
      </c>
      <c r="K386" t="s">
        <v>229</v>
      </c>
      <c r="L386" s="4" t="s">
        <v>229</v>
      </c>
      <c r="M386" s="5">
        <v>0</v>
      </c>
      <c r="N386" s="5">
        <v>0</v>
      </c>
      <c r="O386">
        <v>217</v>
      </c>
      <c r="P386">
        <v>19.242254674999998</v>
      </c>
      <c r="Q386" s="4">
        <v>0.17499999999999999</v>
      </c>
      <c r="R386" s="5">
        <v>19.242254674999998</v>
      </c>
      <c r="S386" s="5">
        <v>0.17499999999999999</v>
      </c>
      <c r="T386">
        <v>475</v>
      </c>
      <c r="U386">
        <v>0</v>
      </c>
      <c r="V386">
        <v>0</v>
      </c>
      <c r="W386">
        <v>1</v>
      </c>
      <c r="X386">
        <v>0</v>
      </c>
      <c r="Y386">
        <v>0</v>
      </c>
      <c r="Z386">
        <v>0</v>
      </c>
      <c r="AA386">
        <v>0</v>
      </c>
      <c r="AC386">
        <v>0</v>
      </c>
      <c r="AD386">
        <f t="shared" ref="AD386:AD449" si="8">AC386*U386</f>
        <v>0</v>
      </c>
    </row>
    <row r="387" spans="1:30" x14ac:dyDescent="0.25">
      <c r="A387">
        <v>107</v>
      </c>
      <c r="B387">
        <v>20.204367408749999</v>
      </c>
      <c r="C387" s="4">
        <v>0.17499999999999999</v>
      </c>
      <c r="E387" t="s">
        <v>229</v>
      </c>
      <c r="F387" s="4" t="s">
        <v>229</v>
      </c>
      <c r="H387" t="s">
        <v>229</v>
      </c>
      <c r="I387" s="4" t="s">
        <v>229</v>
      </c>
      <c r="K387" t="s">
        <v>229</v>
      </c>
      <c r="L387" s="4" t="s">
        <v>229</v>
      </c>
      <c r="M387" s="5">
        <v>0</v>
      </c>
      <c r="N387" s="5">
        <v>0</v>
      </c>
      <c r="O387">
        <v>106</v>
      </c>
      <c r="P387">
        <v>13.469578272499998</v>
      </c>
      <c r="Q387" s="4">
        <v>0.17499999999999999</v>
      </c>
      <c r="R387" s="5">
        <v>13.469578272499998</v>
      </c>
      <c r="S387" s="5">
        <v>0.17499999999999999</v>
      </c>
      <c r="T387">
        <v>107</v>
      </c>
      <c r="U387">
        <v>0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0</v>
      </c>
      <c r="AC387">
        <v>0</v>
      </c>
      <c r="AD387">
        <f t="shared" si="8"/>
        <v>0</v>
      </c>
    </row>
    <row r="388" spans="1:30" x14ac:dyDescent="0.25">
      <c r="A388">
        <v>435</v>
      </c>
      <c r="B388">
        <v>9.621127337499999</v>
      </c>
      <c r="C388" s="4">
        <v>0.17499999999999999</v>
      </c>
      <c r="E388" t="s">
        <v>229</v>
      </c>
      <c r="F388" s="4" t="s">
        <v>229</v>
      </c>
      <c r="H388" t="s">
        <v>229</v>
      </c>
      <c r="I388" s="4" t="s">
        <v>229</v>
      </c>
      <c r="K388" t="s">
        <v>229</v>
      </c>
      <c r="L388" s="4" t="s">
        <v>229</v>
      </c>
      <c r="M388" s="5">
        <v>0</v>
      </c>
      <c r="N388" s="5">
        <v>0</v>
      </c>
      <c r="O388">
        <v>115</v>
      </c>
      <c r="P388">
        <v>18.849555600000006</v>
      </c>
      <c r="Q388" s="4">
        <v>0.2</v>
      </c>
      <c r="R388" s="5">
        <v>18.849555600000006</v>
      </c>
      <c r="S388" s="5">
        <v>0.2</v>
      </c>
      <c r="T388">
        <v>435</v>
      </c>
      <c r="U388">
        <v>0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0</v>
      </c>
      <c r="AC388">
        <v>0</v>
      </c>
      <c r="AD388">
        <f t="shared" si="8"/>
        <v>0</v>
      </c>
    </row>
    <row r="389" spans="1:30" x14ac:dyDescent="0.25">
      <c r="A389">
        <v>432</v>
      </c>
      <c r="B389">
        <v>7.6969018699999987</v>
      </c>
      <c r="C389" s="4">
        <v>0.17499999999999999</v>
      </c>
      <c r="E389" t="s">
        <v>229</v>
      </c>
      <c r="F389" s="4" t="s">
        <v>229</v>
      </c>
      <c r="H389" t="s">
        <v>229</v>
      </c>
      <c r="I389" s="4" t="s">
        <v>229</v>
      </c>
      <c r="K389" t="s">
        <v>229</v>
      </c>
      <c r="L389" s="4" t="s">
        <v>229</v>
      </c>
      <c r="M389" s="5">
        <v>0</v>
      </c>
      <c r="N389" s="5">
        <v>0</v>
      </c>
      <c r="O389">
        <v>115</v>
      </c>
      <c r="P389">
        <v>18.849555600000006</v>
      </c>
      <c r="Q389" s="4">
        <v>0.2</v>
      </c>
      <c r="R389" s="5">
        <v>18.849555600000006</v>
      </c>
      <c r="S389" s="5">
        <v>0.2</v>
      </c>
      <c r="T389">
        <v>432</v>
      </c>
      <c r="U389">
        <v>0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0</v>
      </c>
      <c r="AC389">
        <v>0</v>
      </c>
      <c r="AD389">
        <f t="shared" si="8"/>
        <v>0</v>
      </c>
    </row>
    <row r="390" spans="1:30" x14ac:dyDescent="0.25">
      <c r="A390">
        <v>116</v>
      </c>
      <c r="B390">
        <v>16.336281520000004</v>
      </c>
      <c r="C390" s="4">
        <v>0.2</v>
      </c>
      <c r="E390" t="s">
        <v>229</v>
      </c>
      <c r="F390" s="4" t="s">
        <v>229</v>
      </c>
      <c r="H390" t="s">
        <v>229</v>
      </c>
      <c r="I390" s="4" t="s">
        <v>229</v>
      </c>
      <c r="K390" t="s">
        <v>229</v>
      </c>
      <c r="L390" s="4" t="s">
        <v>229</v>
      </c>
      <c r="M390" s="5">
        <v>0</v>
      </c>
      <c r="N390" s="5">
        <v>0</v>
      </c>
      <c r="O390">
        <v>115</v>
      </c>
      <c r="P390">
        <v>18.849555600000006</v>
      </c>
      <c r="Q390" s="4">
        <v>0.2</v>
      </c>
      <c r="R390" s="5">
        <v>18.849555600000006</v>
      </c>
      <c r="S390" s="5">
        <v>0.2</v>
      </c>
      <c r="T390">
        <v>116</v>
      </c>
      <c r="U390">
        <v>0</v>
      </c>
      <c r="V390">
        <v>0</v>
      </c>
      <c r="W390">
        <v>1</v>
      </c>
      <c r="X390">
        <v>0</v>
      </c>
      <c r="Y390">
        <v>0</v>
      </c>
      <c r="Z390">
        <v>0</v>
      </c>
      <c r="AA390">
        <v>0</v>
      </c>
      <c r="AC390">
        <v>0</v>
      </c>
      <c r="AD390">
        <f t="shared" si="8"/>
        <v>0</v>
      </c>
    </row>
    <row r="391" spans="1:30" x14ac:dyDescent="0.25">
      <c r="A391">
        <v>359</v>
      </c>
      <c r="B391">
        <v>7.6969018699999987</v>
      </c>
      <c r="C391" s="4">
        <v>0.17499999999999999</v>
      </c>
      <c r="E391" t="s">
        <v>229</v>
      </c>
      <c r="F391" s="4" t="s">
        <v>229</v>
      </c>
      <c r="H391" t="s">
        <v>229</v>
      </c>
      <c r="I391" s="4" t="s">
        <v>229</v>
      </c>
      <c r="K391" t="s">
        <v>229</v>
      </c>
      <c r="L391" s="4" t="s">
        <v>229</v>
      </c>
      <c r="M391" s="5">
        <v>0</v>
      </c>
      <c r="N391" s="5">
        <v>0</v>
      </c>
      <c r="O391">
        <v>17</v>
      </c>
      <c r="P391">
        <v>10.053096320000002</v>
      </c>
      <c r="Q391" s="4">
        <v>0.2</v>
      </c>
      <c r="R391" s="5">
        <v>10.053096320000002</v>
      </c>
      <c r="S391" s="5">
        <v>0.2</v>
      </c>
      <c r="T391">
        <v>359</v>
      </c>
      <c r="U391">
        <v>0</v>
      </c>
      <c r="V391">
        <v>0</v>
      </c>
      <c r="W391">
        <v>1</v>
      </c>
      <c r="X391">
        <v>0</v>
      </c>
      <c r="Y391">
        <v>0</v>
      </c>
      <c r="Z391">
        <v>0</v>
      </c>
      <c r="AA391">
        <v>0</v>
      </c>
      <c r="AC391">
        <v>0</v>
      </c>
      <c r="AD391">
        <f t="shared" si="8"/>
        <v>0</v>
      </c>
    </row>
    <row r="392" spans="1:30" x14ac:dyDescent="0.25">
      <c r="A392">
        <v>427</v>
      </c>
      <c r="B392">
        <v>21.647536509374998</v>
      </c>
      <c r="C392" s="4">
        <v>0.17499999999999999</v>
      </c>
      <c r="E392" t="s">
        <v>229</v>
      </c>
      <c r="F392" s="4" t="s">
        <v>229</v>
      </c>
      <c r="H392" t="s">
        <v>229</v>
      </c>
      <c r="I392" s="4" t="s">
        <v>229</v>
      </c>
      <c r="K392" t="s">
        <v>229</v>
      </c>
      <c r="L392" s="4" t="s">
        <v>229</v>
      </c>
      <c r="M392" s="5">
        <v>0</v>
      </c>
      <c r="N392" s="5">
        <v>0</v>
      </c>
      <c r="O392">
        <v>56</v>
      </c>
      <c r="P392">
        <v>7.6969018699999987</v>
      </c>
      <c r="Q392" s="4">
        <v>0.17499999999999999</v>
      </c>
      <c r="R392" s="5">
        <v>7.6969018699999987</v>
      </c>
      <c r="S392" s="5">
        <v>0.17499999999999999</v>
      </c>
      <c r="T392">
        <v>427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0</v>
      </c>
      <c r="AC392">
        <v>0</v>
      </c>
      <c r="AD392">
        <f t="shared" si="8"/>
        <v>0</v>
      </c>
    </row>
    <row r="393" spans="1:30" x14ac:dyDescent="0.25">
      <c r="A393">
        <v>380</v>
      </c>
      <c r="B393">
        <v>7.6969018699999987</v>
      </c>
      <c r="C393" s="4">
        <v>0.17499999999999999</v>
      </c>
      <c r="E393" t="s">
        <v>229</v>
      </c>
      <c r="F393" s="4" t="s">
        <v>229</v>
      </c>
      <c r="H393" t="s">
        <v>229</v>
      </c>
      <c r="I393" s="4" t="s">
        <v>229</v>
      </c>
      <c r="K393" t="s">
        <v>229</v>
      </c>
      <c r="L393" s="4" t="s">
        <v>229</v>
      </c>
      <c r="M393" s="5">
        <v>0</v>
      </c>
      <c r="N393" s="5">
        <v>0</v>
      </c>
      <c r="O393">
        <v>56</v>
      </c>
      <c r="P393">
        <v>7.6969018699999987</v>
      </c>
      <c r="Q393" s="4">
        <v>0.17499999999999999</v>
      </c>
      <c r="R393" s="5">
        <v>7.6969018699999987</v>
      </c>
      <c r="S393" s="5">
        <v>0.17499999999999999</v>
      </c>
      <c r="T393">
        <v>380</v>
      </c>
      <c r="U393">
        <v>0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v>0</v>
      </c>
      <c r="AC393">
        <v>0</v>
      </c>
      <c r="AD393">
        <f t="shared" si="8"/>
        <v>0</v>
      </c>
    </row>
    <row r="394" spans="1:30" x14ac:dyDescent="0.25">
      <c r="A394">
        <v>358</v>
      </c>
      <c r="B394">
        <v>25.014931077499998</v>
      </c>
      <c r="C394" s="4">
        <v>0.17499999999999999</v>
      </c>
      <c r="E394" t="s">
        <v>229</v>
      </c>
      <c r="F394" s="4" t="s">
        <v>229</v>
      </c>
      <c r="H394" t="s">
        <v>229</v>
      </c>
      <c r="I394" s="4" t="s">
        <v>229</v>
      </c>
      <c r="K394" t="s">
        <v>229</v>
      </c>
      <c r="L394" s="4" t="s">
        <v>229</v>
      </c>
      <c r="M394" s="5">
        <v>0</v>
      </c>
      <c r="N394" s="5">
        <v>0</v>
      </c>
      <c r="O394">
        <v>56</v>
      </c>
      <c r="P394">
        <v>7.6969018699999987</v>
      </c>
      <c r="Q394" s="4">
        <v>0.17499999999999999</v>
      </c>
      <c r="R394" s="5">
        <v>7.6969018699999987</v>
      </c>
      <c r="S394" s="5">
        <v>0.17499999999999999</v>
      </c>
      <c r="T394">
        <v>358</v>
      </c>
      <c r="U394">
        <v>0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0</v>
      </c>
      <c r="AC394">
        <v>0</v>
      </c>
      <c r="AD394">
        <f t="shared" si="8"/>
        <v>0</v>
      </c>
    </row>
    <row r="395" spans="1:30" x14ac:dyDescent="0.25">
      <c r="A395">
        <v>428</v>
      </c>
      <c r="B395">
        <v>7.6969018699999987</v>
      </c>
      <c r="C395" s="4">
        <v>0.17499999999999999</v>
      </c>
      <c r="E395" t="s">
        <v>229</v>
      </c>
      <c r="F395" s="4" t="s">
        <v>229</v>
      </c>
      <c r="H395" t="s">
        <v>229</v>
      </c>
      <c r="I395" s="4" t="s">
        <v>229</v>
      </c>
      <c r="K395" t="s">
        <v>229</v>
      </c>
      <c r="L395" s="4" t="s">
        <v>229</v>
      </c>
      <c r="M395" s="5">
        <v>0</v>
      </c>
      <c r="N395" s="5">
        <v>0</v>
      </c>
      <c r="O395">
        <v>97</v>
      </c>
      <c r="P395">
        <v>203.57520048000001</v>
      </c>
      <c r="Q395" s="4">
        <v>0.9</v>
      </c>
      <c r="R395" s="5">
        <v>203.57520048000001</v>
      </c>
      <c r="S395" s="5">
        <v>0.9</v>
      </c>
      <c r="T395">
        <v>428</v>
      </c>
      <c r="U395">
        <v>0</v>
      </c>
      <c r="V395">
        <v>0</v>
      </c>
      <c r="W395">
        <v>1</v>
      </c>
      <c r="X395">
        <v>0</v>
      </c>
      <c r="Y395">
        <v>0</v>
      </c>
      <c r="Z395">
        <v>0</v>
      </c>
      <c r="AA395">
        <v>0</v>
      </c>
      <c r="AC395">
        <v>0</v>
      </c>
      <c r="AD395">
        <f t="shared" si="8"/>
        <v>0</v>
      </c>
    </row>
    <row r="396" spans="1:30" x14ac:dyDescent="0.25">
      <c r="A396">
        <v>434</v>
      </c>
      <c r="B396">
        <v>197.92033380000001</v>
      </c>
      <c r="C396" s="4">
        <v>0.6</v>
      </c>
      <c r="E396" t="s">
        <v>229</v>
      </c>
      <c r="F396" s="4" t="s">
        <v>229</v>
      </c>
      <c r="H396" t="s">
        <v>229</v>
      </c>
      <c r="I396" s="4" t="s">
        <v>229</v>
      </c>
      <c r="K396" t="s">
        <v>229</v>
      </c>
      <c r="L396" s="4" t="s">
        <v>229</v>
      </c>
      <c r="M396" s="5">
        <v>0</v>
      </c>
      <c r="N396" s="5">
        <v>0</v>
      </c>
      <c r="O396">
        <v>99</v>
      </c>
      <c r="P396">
        <v>29.688050070000003</v>
      </c>
      <c r="Q396" s="4">
        <v>0.3</v>
      </c>
      <c r="R396" s="5">
        <v>29.688050070000003</v>
      </c>
      <c r="S396" s="5">
        <v>0.3</v>
      </c>
      <c r="T396">
        <v>434</v>
      </c>
      <c r="U396">
        <v>0</v>
      </c>
      <c r="V396">
        <v>0</v>
      </c>
      <c r="W396">
        <v>1</v>
      </c>
      <c r="X396">
        <v>0</v>
      </c>
      <c r="Y396">
        <v>0</v>
      </c>
      <c r="Z396">
        <v>0</v>
      </c>
      <c r="AA396">
        <v>0</v>
      </c>
      <c r="AC396">
        <v>0</v>
      </c>
      <c r="AD396">
        <f t="shared" si="8"/>
        <v>0</v>
      </c>
    </row>
    <row r="397" spans="1:30" x14ac:dyDescent="0.25">
      <c r="A397">
        <v>242</v>
      </c>
      <c r="B397">
        <v>26.474200840200002</v>
      </c>
      <c r="C397" s="4">
        <v>0.26500000000000001</v>
      </c>
      <c r="E397" t="s">
        <v>229</v>
      </c>
      <c r="F397" s="4" t="s">
        <v>229</v>
      </c>
      <c r="H397" t="s">
        <v>229</v>
      </c>
      <c r="I397" s="4" t="s">
        <v>229</v>
      </c>
      <c r="K397" t="s">
        <v>229</v>
      </c>
      <c r="L397" s="4" t="s">
        <v>229</v>
      </c>
      <c r="M397" s="5">
        <v>0</v>
      </c>
      <c r="N397" s="5">
        <v>0</v>
      </c>
      <c r="O397">
        <v>6</v>
      </c>
      <c r="P397">
        <v>16.546375525125004</v>
      </c>
      <c r="Q397" s="4">
        <v>0.26500000000000001</v>
      </c>
      <c r="R397" s="5">
        <v>16.546375525125004</v>
      </c>
      <c r="S397" s="5">
        <v>0.26500000000000001</v>
      </c>
      <c r="T397">
        <v>242</v>
      </c>
      <c r="U397">
        <v>0</v>
      </c>
      <c r="V397">
        <v>0</v>
      </c>
      <c r="W397">
        <v>1</v>
      </c>
      <c r="X397">
        <v>0</v>
      </c>
      <c r="Y397">
        <v>0</v>
      </c>
      <c r="Z397">
        <v>0</v>
      </c>
      <c r="AA397">
        <v>0</v>
      </c>
      <c r="AC397">
        <v>0</v>
      </c>
      <c r="AD397">
        <f t="shared" si="8"/>
        <v>0</v>
      </c>
    </row>
    <row r="398" spans="1:30" x14ac:dyDescent="0.25">
      <c r="A398">
        <v>254</v>
      </c>
      <c r="B398">
        <v>26.474200840200002</v>
      </c>
      <c r="C398" s="4">
        <v>0.26500000000000001</v>
      </c>
      <c r="E398" t="s">
        <v>229</v>
      </c>
      <c r="F398" s="4" t="s">
        <v>229</v>
      </c>
      <c r="H398" t="s">
        <v>229</v>
      </c>
      <c r="I398" s="4" t="s">
        <v>229</v>
      </c>
      <c r="K398" t="s">
        <v>229</v>
      </c>
      <c r="L398" s="4" t="s">
        <v>229</v>
      </c>
      <c r="M398" s="5">
        <v>0</v>
      </c>
      <c r="N398" s="5">
        <v>0</v>
      </c>
      <c r="O398">
        <v>318</v>
      </c>
      <c r="P398">
        <v>132.53593781250001</v>
      </c>
      <c r="Q398" s="4">
        <v>0.75</v>
      </c>
      <c r="R398" s="5">
        <v>132.53593781250001</v>
      </c>
      <c r="S398" s="5">
        <v>0.75</v>
      </c>
      <c r="T398">
        <v>254</v>
      </c>
      <c r="U398">
        <v>0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0</v>
      </c>
      <c r="AC398">
        <v>0</v>
      </c>
      <c r="AD398">
        <f t="shared" si="8"/>
        <v>0</v>
      </c>
    </row>
    <row r="399" spans="1:30" x14ac:dyDescent="0.25">
      <c r="A399">
        <v>524</v>
      </c>
      <c r="B399">
        <v>22.128592876249996</v>
      </c>
      <c r="C399" s="4">
        <v>0.17499999999999999</v>
      </c>
      <c r="E399" t="s">
        <v>229</v>
      </c>
      <c r="F399" s="4" t="s">
        <v>229</v>
      </c>
      <c r="H399" t="s">
        <v>229</v>
      </c>
      <c r="I399" s="4" t="s">
        <v>229</v>
      </c>
      <c r="K399" t="s">
        <v>229</v>
      </c>
      <c r="L399" s="4" t="s">
        <v>229</v>
      </c>
      <c r="M399" s="5">
        <v>0</v>
      </c>
      <c r="N399" s="5">
        <v>0</v>
      </c>
      <c r="O399">
        <v>40</v>
      </c>
      <c r="P399">
        <v>40.212385280000007</v>
      </c>
      <c r="Q399" s="4">
        <v>0.4</v>
      </c>
      <c r="R399" s="5">
        <v>40.212385280000007</v>
      </c>
      <c r="S399" s="5">
        <v>0.4</v>
      </c>
      <c r="T399">
        <v>524</v>
      </c>
      <c r="U399">
        <v>0</v>
      </c>
      <c r="V399">
        <v>0</v>
      </c>
      <c r="W399">
        <v>1</v>
      </c>
      <c r="X399">
        <v>0</v>
      </c>
      <c r="Y399">
        <v>0</v>
      </c>
      <c r="Z399">
        <v>0</v>
      </c>
      <c r="AA399">
        <v>0</v>
      </c>
      <c r="AC399">
        <v>0</v>
      </c>
      <c r="AD399">
        <f t="shared" si="8"/>
        <v>0</v>
      </c>
    </row>
    <row r="400" spans="1:30" x14ac:dyDescent="0.25">
      <c r="A400">
        <v>405</v>
      </c>
      <c r="B400">
        <v>21.647536509374998</v>
      </c>
      <c r="C400" s="4">
        <v>0.17499999999999999</v>
      </c>
      <c r="E400" t="s">
        <v>229</v>
      </c>
      <c r="F400" s="4" t="s">
        <v>229</v>
      </c>
      <c r="H400" t="s">
        <v>229</v>
      </c>
      <c r="I400" s="4" t="s">
        <v>229</v>
      </c>
      <c r="K400" t="s">
        <v>229</v>
      </c>
      <c r="L400" s="4" t="s">
        <v>229</v>
      </c>
      <c r="M400" s="5">
        <v>0</v>
      </c>
      <c r="N400" s="5">
        <v>0</v>
      </c>
      <c r="O400">
        <v>40</v>
      </c>
      <c r="P400">
        <v>40.212385280000007</v>
      </c>
      <c r="Q400" s="4">
        <v>0.4</v>
      </c>
      <c r="R400" s="5">
        <v>40.212385280000007</v>
      </c>
      <c r="S400" s="5">
        <v>0.4</v>
      </c>
      <c r="T400">
        <v>405</v>
      </c>
      <c r="U400">
        <v>0</v>
      </c>
      <c r="V400">
        <v>0</v>
      </c>
      <c r="W400">
        <v>1</v>
      </c>
      <c r="X400">
        <v>0</v>
      </c>
      <c r="Y400">
        <v>0</v>
      </c>
      <c r="Z400">
        <v>0</v>
      </c>
      <c r="AA400">
        <v>0</v>
      </c>
      <c r="AC400">
        <v>0</v>
      </c>
      <c r="AD400">
        <f t="shared" si="8"/>
        <v>0</v>
      </c>
    </row>
    <row r="401" spans="1:30" x14ac:dyDescent="0.25">
      <c r="A401">
        <v>402</v>
      </c>
      <c r="B401">
        <v>21.166480142499999</v>
      </c>
      <c r="C401" s="4">
        <v>0.17499999999999999</v>
      </c>
      <c r="E401" t="s">
        <v>229</v>
      </c>
      <c r="F401" s="4" t="s">
        <v>229</v>
      </c>
      <c r="H401" t="s">
        <v>229</v>
      </c>
      <c r="I401" s="4" t="s">
        <v>229</v>
      </c>
      <c r="K401" t="s">
        <v>229</v>
      </c>
      <c r="L401" s="4" t="s">
        <v>229</v>
      </c>
      <c r="M401" s="5">
        <v>0</v>
      </c>
      <c r="N401" s="5">
        <v>0</v>
      </c>
      <c r="O401">
        <v>196</v>
      </c>
      <c r="P401">
        <v>22.619466719999998</v>
      </c>
      <c r="Q401" s="4">
        <v>0.3</v>
      </c>
      <c r="R401" s="5">
        <v>22.619466719999998</v>
      </c>
      <c r="S401" s="5">
        <v>0.3</v>
      </c>
      <c r="T401">
        <v>402</v>
      </c>
      <c r="U401">
        <v>0</v>
      </c>
      <c r="V401">
        <v>0</v>
      </c>
      <c r="W401">
        <v>1</v>
      </c>
      <c r="X401">
        <v>0</v>
      </c>
      <c r="Y401">
        <v>0</v>
      </c>
      <c r="Z401">
        <v>0</v>
      </c>
      <c r="AA401">
        <v>0</v>
      </c>
      <c r="AC401">
        <v>0</v>
      </c>
      <c r="AD401">
        <f t="shared" si="8"/>
        <v>0</v>
      </c>
    </row>
    <row r="402" spans="1:30" x14ac:dyDescent="0.25">
      <c r="A402">
        <v>465</v>
      </c>
      <c r="B402">
        <v>353.42916750000001</v>
      </c>
      <c r="C402" s="4">
        <v>0.75</v>
      </c>
      <c r="E402" t="s">
        <v>229</v>
      </c>
      <c r="F402" s="4" t="s">
        <v>229</v>
      </c>
      <c r="H402" t="s">
        <v>229</v>
      </c>
      <c r="I402" s="4" t="s">
        <v>229</v>
      </c>
      <c r="K402" t="s">
        <v>229</v>
      </c>
      <c r="L402" s="4" t="s">
        <v>229</v>
      </c>
      <c r="M402" s="5">
        <v>0</v>
      </c>
      <c r="N402" s="5">
        <v>0</v>
      </c>
      <c r="O402">
        <v>200</v>
      </c>
      <c r="P402">
        <v>10.053096320000002</v>
      </c>
      <c r="Q402" s="4">
        <v>0.2</v>
      </c>
      <c r="R402" s="5">
        <v>10.053096320000002</v>
      </c>
      <c r="S402" s="5">
        <v>0.2</v>
      </c>
      <c r="T402">
        <v>465</v>
      </c>
      <c r="U402">
        <v>0</v>
      </c>
      <c r="V402">
        <v>0</v>
      </c>
      <c r="W402">
        <v>1</v>
      </c>
      <c r="X402">
        <v>0</v>
      </c>
      <c r="Y402">
        <v>0</v>
      </c>
      <c r="Z402">
        <v>0</v>
      </c>
      <c r="AA402">
        <v>0</v>
      </c>
      <c r="AC402">
        <v>0</v>
      </c>
      <c r="AD402">
        <f t="shared" si="8"/>
        <v>0</v>
      </c>
    </row>
    <row r="403" spans="1:30" x14ac:dyDescent="0.25">
      <c r="A403">
        <v>468</v>
      </c>
      <c r="B403">
        <v>8.1779582368749981</v>
      </c>
      <c r="C403" s="4">
        <v>0.17499999999999999</v>
      </c>
      <c r="E403" t="s">
        <v>229</v>
      </c>
      <c r="F403" s="4" t="s">
        <v>229</v>
      </c>
      <c r="H403" t="s">
        <v>229</v>
      </c>
      <c r="I403" s="4" t="s">
        <v>229</v>
      </c>
      <c r="K403" t="s">
        <v>229</v>
      </c>
      <c r="L403" s="4" t="s">
        <v>229</v>
      </c>
      <c r="M403" s="5">
        <v>0</v>
      </c>
      <c r="N403" s="5">
        <v>0</v>
      </c>
      <c r="O403">
        <v>203</v>
      </c>
      <c r="P403">
        <v>75.398222400000023</v>
      </c>
      <c r="Q403" s="4">
        <v>0.4</v>
      </c>
      <c r="R403" s="5">
        <v>75.398222400000023</v>
      </c>
      <c r="S403" s="5">
        <v>0.4</v>
      </c>
      <c r="T403">
        <v>468</v>
      </c>
      <c r="U403">
        <v>0</v>
      </c>
      <c r="V403">
        <v>0</v>
      </c>
      <c r="W403">
        <v>1</v>
      </c>
      <c r="X403">
        <v>0</v>
      </c>
      <c r="Y403">
        <v>0</v>
      </c>
      <c r="Z403">
        <v>0</v>
      </c>
      <c r="AA403">
        <v>0</v>
      </c>
      <c r="AC403">
        <v>0</v>
      </c>
      <c r="AD403">
        <f t="shared" si="8"/>
        <v>0</v>
      </c>
    </row>
    <row r="404" spans="1:30" x14ac:dyDescent="0.25">
      <c r="A404">
        <v>466</v>
      </c>
      <c r="B404">
        <v>22.128592876249996</v>
      </c>
      <c r="C404" s="4">
        <v>0.17499999999999999</v>
      </c>
      <c r="E404" t="s">
        <v>229</v>
      </c>
      <c r="F404" s="4" t="s">
        <v>229</v>
      </c>
      <c r="H404" t="s">
        <v>229</v>
      </c>
      <c r="I404" s="4" t="s">
        <v>229</v>
      </c>
      <c r="K404" t="s">
        <v>229</v>
      </c>
      <c r="L404" s="4" t="s">
        <v>229</v>
      </c>
      <c r="M404" s="5">
        <v>0</v>
      </c>
      <c r="N404" s="5">
        <v>0</v>
      </c>
      <c r="O404">
        <v>203</v>
      </c>
      <c r="P404">
        <v>75.398222400000023</v>
      </c>
      <c r="Q404" s="4">
        <v>0.4</v>
      </c>
      <c r="R404" s="5">
        <v>75.398222400000023</v>
      </c>
      <c r="S404" s="5">
        <v>0.4</v>
      </c>
      <c r="T404">
        <v>466</v>
      </c>
      <c r="U404">
        <v>0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C404">
        <v>0</v>
      </c>
      <c r="AD404">
        <f t="shared" si="8"/>
        <v>0</v>
      </c>
    </row>
    <row r="405" spans="1:30" x14ac:dyDescent="0.25">
      <c r="A405">
        <v>218</v>
      </c>
      <c r="B405">
        <v>9.621127337499999</v>
      </c>
      <c r="C405" s="4">
        <v>0.17499999999999999</v>
      </c>
      <c r="E405" t="s">
        <v>229</v>
      </c>
      <c r="F405" s="4" t="s">
        <v>229</v>
      </c>
      <c r="H405" t="s">
        <v>229</v>
      </c>
      <c r="I405" s="4" t="s">
        <v>229</v>
      </c>
      <c r="K405" t="s">
        <v>229</v>
      </c>
      <c r="L405" s="4" t="s">
        <v>229</v>
      </c>
      <c r="M405" s="5">
        <v>0</v>
      </c>
      <c r="N405" s="5">
        <v>0</v>
      </c>
      <c r="O405">
        <v>211</v>
      </c>
      <c r="P405">
        <v>4.8105636687499995</v>
      </c>
      <c r="Q405" s="4">
        <v>0.17499999999999999</v>
      </c>
      <c r="R405" s="5">
        <v>4.8105636687499995</v>
      </c>
      <c r="S405" s="5">
        <v>0.17499999999999999</v>
      </c>
      <c r="T405">
        <v>218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C405">
        <v>0</v>
      </c>
      <c r="AD405">
        <f t="shared" si="8"/>
        <v>0</v>
      </c>
    </row>
    <row r="406" spans="1:30" x14ac:dyDescent="0.25">
      <c r="A406">
        <v>274</v>
      </c>
      <c r="B406">
        <v>4.8105636687499995</v>
      </c>
      <c r="C406" s="4">
        <v>0.17499999999999999</v>
      </c>
      <c r="E406" t="s">
        <v>229</v>
      </c>
      <c r="F406" s="4" t="s">
        <v>229</v>
      </c>
      <c r="H406" t="s">
        <v>229</v>
      </c>
      <c r="I406" s="4" t="s">
        <v>229</v>
      </c>
      <c r="K406" t="s">
        <v>229</v>
      </c>
      <c r="L406" s="4" t="s">
        <v>229</v>
      </c>
      <c r="M406" s="5">
        <v>0</v>
      </c>
      <c r="N406" s="5">
        <v>0</v>
      </c>
      <c r="O406">
        <v>231</v>
      </c>
      <c r="P406">
        <v>16.355916473749996</v>
      </c>
      <c r="Q406" s="4">
        <v>0.17499999999999999</v>
      </c>
      <c r="R406" s="5">
        <v>16.355916473749996</v>
      </c>
      <c r="S406" s="5">
        <v>0.17499999999999999</v>
      </c>
      <c r="T406">
        <v>274</v>
      </c>
      <c r="U406">
        <v>0</v>
      </c>
      <c r="V406">
        <v>0</v>
      </c>
      <c r="W406">
        <v>1</v>
      </c>
      <c r="X406">
        <v>0</v>
      </c>
      <c r="Y406">
        <v>0</v>
      </c>
      <c r="Z406">
        <v>0</v>
      </c>
      <c r="AA406">
        <v>0</v>
      </c>
      <c r="AC406">
        <v>0</v>
      </c>
      <c r="AD406">
        <f t="shared" si="8"/>
        <v>0</v>
      </c>
    </row>
    <row r="407" spans="1:30" x14ac:dyDescent="0.25">
      <c r="A407">
        <v>230</v>
      </c>
      <c r="B407">
        <v>26.939156544999996</v>
      </c>
      <c r="C407" s="4">
        <v>0.17499999999999999</v>
      </c>
      <c r="E407" t="s">
        <v>229</v>
      </c>
      <c r="F407" s="4" t="s">
        <v>229</v>
      </c>
      <c r="H407" t="s">
        <v>229</v>
      </c>
      <c r="I407" s="4" t="s">
        <v>229</v>
      </c>
      <c r="K407" t="s">
        <v>229</v>
      </c>
      <c r="L407" s="4" t="s">
        <v>229</v>
      </c>
      <c r="M407" s="5">
        <v>0</v>
      </c>
      <c r="N407" s="5">
        <v>0</v>
      </c>
      <c r="O407">
        <v>231</v>
      </c>
      <c r="P407">
        <v>16.355916473749996</v>
      </c>
      <c r="Q407" s="4">
        <v>0.17499999999999999</v>
      </c>
      <c r="R407" s="5">
        <v>16.355916473749996</v>
      </c>
      <c r="S407" s="5">
        <v>0.17499999999999999</v>
      </c>
      <c r="T407">
        <v>230</v>
      </c>
      <c r="U407">
        <v>0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C407">
        <v>0</v>
      </c>
      <c r="AD407">
        <f t="shared" si="8"/>
        <v>0</v>
      </c>
    </row>
    <row r="408" spans="1:30" x14ac:dyDescent="0.25">
      <c r="A408">
        <v>430</v>
      </c>
      <c r="B408">
        <v>20.204367408749999</v>
      </c>
      <c r="C408" s="4">
        <v>0.17499999999999999</v>
      </c>
      <c r="E408" t="s">
        <v>229</v>
      </c>
      <c r="F408" s="4" t="s">
        <v>229</v>
      </c>
      <c r="H408" t="s">
        <v>229</v>
      </c>
      <c r="I408" s="4" t="s">
        <v>229</v>
      </c>
      <c r="K408" t="s">
        <v>229</v>
      </c>
      <c r="L408" s="4" t="s">
        <v>229</v>
      </c>
      <c r="M408" s="5">
        <v>0</v>
      </c>
      <c r="N408" s="5">
        <v>0</v>
      </c>
      <c r="O408">
        <v>105</v>
      </c>
      <c r="P408">
        <v>30.787607479999995</v>
      </c>
      <c r="Q408" s="4">
        <v>0.17499999999999999</v>
      </c>
      <c r="R408" s="5">
        <v>30.787607479999995</v>
      </c>
      <c r="S408" s="5">
        <v>0.17499999999999999</v>
      </c>
      <c r="T408">
        <v>430</v>
      </c>
      <c r="U408">
        <v>0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0</v>
      </c>
      <c r="AC408">
        <v>0</v>
      </c>
      <c r="AD408">
        <f t="shared" si="8"/>
        <v>0</v>
      </c>
    </row>
    <row r="409" spans="1:30" x14ac:dyDescent="0.25">
      <c r="A409">
        <v>429</v>
      </c>
      <c r="B409">
        <v>15.393803739999997</v>
      </c>
      <c r="C409" s="4">
        <v>0.17499999999999999</v>
      </c>
      <c r="E409" t="s">
        <v>229</v>
      </c>
      <c r="F409" s="4" t="s">
        <v>229</v>
      </c>
      <c r="H409" t="s">
        <v>229</v>
      </c>
      <c r="I409" s="4" t="s">
        <v>229</v>
      </c>
      <c r="K409" t="s">
        <v>229</v>
      </c>
      <c r="L409" s="4" t="s">
        <v>229</v>
      </c>
      <c r="M409" s="5">
        <v>0</v>
      </c>
      <c r="N409" s="5">
        <v>0</v>
      </c>
      <c r="O409">
        <v>108</v>
      </c>
      <c r="P409">
        <v>15.393803739999997</v>
      </c>
      <c r="Q409" s="4">
        <v>0.17499999999999999</v>
      </c>
      <c r="R409" s="5">
        <v>15.393803739999997</v>
      </c>
      <c r="S409" s="5">
        <v>0.17499999999999999</v>
      </c>
      <c r="T409">
        <v>429</v>
      </c>
      <c r="U409">
        <v>0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0</v>
      </c>
      <c r="AC409">
        <v>0</v>
      </c>
      <c r="AD409">
        <f t="shared" si="8"/>
        <v>0</v>
      </c>
    </row>
    <row r="410" spans="1:30" x14ac:dyDescent="0.25">
      <c r="A410">
        <v>352</v>
      </c>
      <c r="B410">
        <v>7.2158455031249993</v>
      </c>
      <c r="C410" s="4">
        <v>0.17499999999999999</v>
      </c>
      <c r="E410" t="s">
        <v>229</v>
      </c>
      <c r="F410" s="4" t="s">
        <v>229</v>
      </c>
      <c r="H410" t="s">
        <v>229</v>
      </c>
      <c r="I410" s="4" t="s">
        <v>229</v>
      </c>
      <c r="K410" t="s">
        <v>229</v>
      </c>
      <c r="L410" s="4" t="s">
        <v>229</v>
      </c>
      <c r="M410" s="5">
        <v>0</v>
      </c>
      <c r="N410" s="5">
        <v>0</v>
      </c>
      <c r="O410">
        <v>7</v>
      </c>
      <c r="P410">
        <v>20.106192640000003</v>
      </c>
      <c r="Q410" s="4">
        <v>0.2</v>
      </c>
      <c r="R410" s="5">
        <v>20.106192640000003</v>
      </c>
      <c r="S410" s="5">
        <v>0.2</v>
      </c>
      <c r="T410">
        <v>352</v>
      </c>
      <c r="U410">
        <v>0</v>
      </c>
      <c r="V410">
        <v>0</v>
      </c>
      <c r="W410">
        <v>1</v>
      </c>
      <c r="X410">
        <v>0</v>
      </c>
      <c r="Y410">
        <v>0</v>
      </c>
      <c r="Z410">
        <v>0</v>
      </c>
      <c r="AA410">
        <v>0</v>
      </c>
      <c r="AC410">
        <v>0</v>
      </c>
      <c r="AD410">
        <f t="shared" si="8"/>
        <v>0</v>
      </c>
    </row>
    <row r="411" spans="1:30" x14ac:dyDescent="0.25">
      <c r="A411">
        <v>241</v>
      </c>
      <c r="B411">
        <v>15.079644480000002</v>
      </c>
      <c r="C411" s="4">
        <v>0.2</v>
      </c>
      <c r="E411" t="s">
        <v>229</v>
      </c>
      <c r="F411" s="4" t="s">
        <v>229</v>
      </c>
      <c r="H411" t="s">
        <v>229</v>
      </c>
      <c r="I411" s="4" t="s">
        <v>229</v>
      </c>
      <c r="K411" t="s">
        <v>229</v>
      </c>
      <c r="L411" s="4" t="s">
        <v>229</v>
      </c>
      <c r="M411" s="5">
        <v>0</v>
      </c>
      <c r="N411" s="5">
        <v>0</v>
      </c>
      <c r="O411">
        <v>7</v>
      </c>
      <c r="P411">
        <v>20.106192640000003</v>
      </c>
      <c r="Q411" s="4">
        <v>0.2</v>
      </c>
      <c r="R411" s="5">
        <v>20.106192640000003</v>
      </c>
      <c r="S411" s="5">
        <v>0.2</v>
      </c>
      <c r="T411">
        <v>241</v>
      </c>
      <c r="U411">
        <v>0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0</v>
      </c>
      <c r="AC411">
        <v>0</v>
      </c>
      <c r="AD411">
        <f t="shared" si="8"/>
        <v>0</v>
      </c>
    </row>
    <row r="412" spans="1:30" x14ac:dyDescent="0.25">
      <c r="A412">
        <v>357</v>
      </c>
      <c r="B412">
        <v>7.6969018699999987</v>
      </c>
      <c r="C412" s="4">
        <v>0.17499999999999999</v>
      </c>
      <c r="E412" t="s">
        <v>229</v>
      </c>
      <c r="F412" s="4" t="s">
        <v>229</v>
      </c>
      <c r="H412" t="s">
        <v>229</v>
      </c>
      <c r="I412" s="4" t="s">
        <v>229</v>
      </c>
      <c r="K412" t="s">
        <v>229</v>
      </c>
      <c r="L412" s="4" t="s">
        <v>229</v>
      </c>
      <c r="M412" s="5">
        <v>0</v>
      </c>
      <c r="N412" s="5">
        <v>0</v>
      </c>
      <c r="O412">
        <v>15</v>
      </c>
      <c r="P412">
        <v>251.32740799999999</v>
      </c>
      <c r="Q412" s="4">
        <v>1</v>
      </c>
      <c r="R412" s="5">
        <v>251.32740799999999</v>
      </c>
      <c r="S412" s="5">
        <v>1</v>
      </c>
      <c r="T412">
        <v>357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0</v>
      </c>
      <c r="AC412">
        <v>0</v>
      </c>
      <c r="AD412">
        <f t="shared" si="8"/>
        <v>0</v>
      </c>
    </row>
    <row r="413" spans="1:30" x14ac:dyDescent="0.25">
      <c r="A413">
        <v>382</v>
      </c>
      <c r="B413">
        <v>7.6969018699999987</v>
      </c>
      <c r="C413" s="4">
        <v>0.17499999999999999</v>
      </c>
      <c r="E413" t="s">
        <v>229</v>
      </c>
      <c r="F413" s="4" t="s">
        <v>229</v>
      </c>
      <c r="H413" t="s">
        <v>229</v>
      </c>
      <c r="I413" s="4" t="s">
        <v>229</v>
      </c>
      <c r="K413" t="s">
        <v>229</v>
      </c>
      <c r="L413" s="4" t="s">
        <v>229</v>
      </c>
      <c r="M413" s="5">
        <v>0</v>
      </c>
      <c r="N413" s="5">
        <v>0</v>
      </c>
      <c r="O413">
        <v>59</v>
      </c>
      <c r="P413">
        <v>294.05306736</v>
      </c>
      <c r="Q413" s="4">
        <v>0.6</v>
      </c>
      <c r="R413" s="5">
        <v>294.05306736</v>
      </c>
      <c r="S413" s="5">
        <v>0.6</v>
      </c>
      <c r="T413">
        <v>382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0</v>
      </c>
      <c r="AC413">
        <v>0</v>
      </c>
      <c r="AD413">
        <f t="shared" si="8"/>
        <v>0</v>
      </c>
    </row>
    <row r="414" spans="1:30" x14ac:dyDescent="0.25">
      <c r="A414">
        <v>381</v>
      </c>
      <c r="B414">
        <v>7.6969018699999987</v>
      </c>
      <c r="C414" s="4">
        <v>0.17499999999999999</v>
      </c>
      <c r="E414" t="s">
        <v>229</v>
      </c>
      <c r="F414" s="4" t="s">
        <v>229</v>
      </c>
      <c r="H414" t="s">
        <v>229</v>
      </c>
      <c r="I414" s="4" t="s">
        <v>229</v>
      </c>
      <c r="K414" t="s">
        <v>229</v>
      </c>
      <c r="L414" s="4" t="s">
        <v>229</v>
      </c>
      <c r="M414" s="5">
        <v>0</v>
      </c>
      <c r="N414" s="5">
        <v>0</v>
      </c>
      <c r="O414">
        <v>59</v>
      </c>
      <c r="P414">
        <v>294.05306736</v>
      </c>
      <c r="Q414" s="4">
        <v>0.6</v>
      </c>
      <c r="R414" s="5">
        <v>294.05306736</v>
      </c>
      <c r="S414" s="5">
        <v>0.6</v>
      </c>
      <c r="T414">
        <v>381</v>
      </c>
      <c r="U414">
        <v>0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C414">
        <v>0</v>
      </c>
      <c r="AD414">
        <f t="shared" si="8"/>
        <v>0</v>
      </c>
    </row>
    <row r="415" spans="1:30" x14ac:dyDescent="0.25">
      <c r="A415">
        <v>433</v>
      </c>
      <c r="B415">
        <v>56.799994208000008</v>
      </c>
      <c r="C415" s="4">
        <v>0.4</v>
      </c>
      <c r="E415" t="s">
        <v>229</v>
      </c>
      <c r="F415" s="4" t="s">
        <v>229</v>
      </c>
      <c r="H415" t="s">
        <v>229</v>
      </c>
      <c r="I415" s="4" t="s">
        <v>229</v>
      </c>
      <c r="K415" t="s">
        <v>229</v>
      </c>
      <c r="L415" s="4" t="s">
        <v>229</v>
      </c>
      <c r="M415" s="5">
        <v>0</v>
      </c>
      <c r="N415" s="5">
        <v>0</v>
      </c>
      <c r="O415">
        <v>100</v>
      </c>
      <c r="P415">
        <v>36.75663342</v>
      </c>
      <c r="Q415" s="4">
        <v>0.3</v>
      </c>
      <c r="R415" s="5">
        <v>36.75663342</v>
      </c>
      <c r="S415" s="5">
        <v>0.3</v>
      </c>
      <c r="T415">
        <v>433</v>
      </c>
      <c r="U415">
        <v>0</v>
      </c>
      <c r="V415">
        <v>0</v>
      </c>
      <c r="W415">
        <v>1</v>
      </c>
      <c r="X415">
        <v>0</v>
      </c>
      <c r="Y415">
        <v>0</v>
      </c>
      <c r="Z415">
        <v>0</v>
      </c>
      <c r="AA415">
        <v>0</v>
      </c>
      <c r="AC415">
        <v>0</v>
      </c>
      <c r="AD415">
        <f t="shared" si="8"/>
        <v>0</v>
      </c>
    </row>
    <row r="416" spans="1:30" x14ac:dyDescent="0.25">
      <c r="A416">
        <v>525</v>
      </c>
      <c r="B416">
        <v>12.026409171874999</v>
      </c>
      <c r="C416" s="4">
        <v>0.17499999999999999</v>
      </c>
      <c r="E416" t="s">
        <v>229</v>
      </c>
      <c r="F416" s="4" t="s">
        <v>229</v>
      </c>
      <c r="H416" t="s">
        <v>229</v>
      </c>
      <c r="I416" s="4" t="s">
        <v>229</v>
      </c>
      <c r="K416" t="s">
        <v>229</v>
      </c>
      <c r="L416" s="4" t="s">
        <v>229</v>
      </c>
      <c r="M416" s="5">
        <v>0</v>
      </c>
      <c r="N416" s="5">
        <v>0</v>
      </c>
      <c r="O416">
        <v>321</v>
      </c>
      <c r="P416">
        <v>80.424770560000013</v>
      </c>
      <c r="Q416" s="4">
        <v>0.4</v>
      </c>
      <c r="R416" s="5">
        <v>80.424770560000013</v>
      </c>
      <c r="S416" s="5">
        <v>0.4</v>
      </c>
      <c r="T416">
        <v>525</v>
      </c>
      <c r="U416">
        <v>0</v>
      </c>
      <c r="V416">
        <v>0</v>
      </c>
      <c r="W416">
        <v>1</v>
      </c>
      <c r="X416">
        <v>0</v>
      </c>
      <c r="Y416">
        <v>0</v>
      </c>
      <c r="Z416">
        <v>0</v>
      </c>
      <c r="AA416">
        <v>0</v>
      </c>
      <c r="AC416">
        <v>0</v>
      </c>
      <c r="AD416">
        <f t="shared" si="8"/>
        <v>0</v>
      </c>
    </row>
    <row r="417" spans="1:30" x14ac:dyDescent="0.25">
      <c r="A417">
        <v>504</v>
      </c>
      <c r="B417">
        <v>14.431691006249999</v>
      </c>
      <c r="C417" s="4">
        <v>0.17499999999999999</v>
      </c>
      <c r="E417" t="s">
        <v>229</v>
      </c>
      <c r="F417" s="4" t="s">
        <v>229</v>
      </c>
      <c r="H417" t="s">
        <v>229</v>
      </c>
      <c r="I417" s="4" t="s">
        <v>229</v>
      </c>
      <c r="K417" t="s">
        <v>229</v>
      </c>
      <c r="L417" s="4" t="s">
        <v>229</v>
      </c>
      <c r="M417" s="5">
        <v>0</v>
      </c>
      <c r="N417" s="5">
        <v>0</v>
      </c>
      <c r="O417">
        <v>321</v>
      </c>
      <c r="P417">
        <v>80.424770560000013</v>
      </c>
      <c r="Q417" s="4">
        <v>0.4</v>
      </c>
      <c r="R417" s="5">
        <v>80.424770560000013</v>
      </c>
      <c r="S417" s="5">
        <v>0.4</v>
      </c>
      <c r="T417">
        <v>504</v>
      </c>
      <c r="U417">
        <v>0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C417">
        <v>0</v>
      </c>
      <c r="AD417">
        <f t="shared" si="8"/>
        <v>0</v>
      </c>
    </row>
    <row r="418" spans="1:30" x14ac:dyDescent="0.25">
      <c r="A418">
        <v>255</v>
      </c>
      <c r="B418">
        <v>26.474200840200002</v>
      </c>
      <c r="C418" s="4">
        <v>0.26500000000000001</v>
      </c>
      <c r="E418" t="s">
        <v>229</v>
      </c>
      <c r="F418" s="4" t="s">
        <v>229</v>
      </c>
      <c r="H418" t="s">
        <v>229</v>
      </c>
      <c r="I418" s="4" t="s">
        <v>229</v>
      </c>
      <c r="K418" t="s">
        <v>229</v>
      </c>
      <c r="L418" s="4" t="s">
        <v>229</v>
      </c>
      <c r="M418" s="5">
        <v>0</v>
      </c>
      <c r="N418" s="5">
        <v>0</v>
      </c>
      <c r="O418">
        <v>316</v>
      </c>
      <c r="P418">
        <v>132.53593781250001</v>
      </c>
      <c r="Q418" s="4">
        <v>0.75</v>
      </c>
      <c r="R418" s="5">
        <v>132.53593781250001</v>
      </c>
      <c r="S418" s="5">
        <v>0.75</v>
      </c>
      <c r="T418">
        <v>255</v>
      </c>
      <c r="U418">
        <v>0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0</v>
      </c>
      <c r="AC418">
        <v>0</v>
      </c>
      <c r="AD418">
        <f t="shared" si="8"/>
        <v>0</v>
      </c>
    </row>
    <row r="419" spans="1:30" x14ac:dyDescent="0.25">
      <c r="A419">
        <v>403</v>
      </c>
      <c r="B419">
        <v>21.647536509374998</v>
      </c>
      <c r="C419" s="4">
        <v>0.17499999999999999</v>
      </c>
      <c r="E419" t="s">
        <v>229</v>
      </c>
      <c r="F419" s="4" t="s">
        <v>229</v>
      </c>
      <c r="H419" t="s">
        <v>229</v>
      </c>
      <c r="I419" s="4" t="s">
        <v>229</v>
      </c>
      <c r="K419" t="s">
        <v>229</v>
      </c>
      <c r="L419" s="4" t="s">
        <v>229</v>
      </c>
      <c r="M419" s="5">
        <v>0</v>
      </c>
      <c r="N419" s="5">
        <v>0</v>
      </c>
      <c r="O419">
        <v>39</v>
      </c>
      <c r="P419">
        <v>40.212385280000007</v>
      </c>
      <c r="Q419" s="4">
        <v>0.4</v>
      </c>
      <c r="R419" s="5">
        <v>40.212385280000007</v>
      </c>
      <c r="S419" s="5">
        <v>0.4</v>
      </c>
      <c r="T419">
        <v>403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C419">
        <v>0</v>
      </c>
      <c r="AD419">
        <f t="shared" si="8"/>
        <v>0</v>
      </c>
    </row>
    <row r="420" spans="1:30" x14ac:dyDescent="0.25">
      <c r="A420">
        <v>400</v>
      </c>
      <c r="B420">
        <v>21.166480142499999</v>
      </c>
      <c r="C420" s="4">
        <v>0.17499999999999999</v>
      </c>
      <c r="E420" t="s">
        <v>229</v>
      </c>
      <c r="F420" s="4" t="s">
        <v>229</v>
      </c>
      <c r="H420" t="s">
        <v>229</v>
      </c>
      <c r="I420" s="4" t="s">
        <v>229</v>
      </c>
      <c r="K420" t="s">
        <v>229</v>
      </c>
      <c r="L420" s="4" t="s">
        <v>229</v>
      </c>
      <c r="M420" s="5">
        <v>0</v>
      </c>
      <c r="N420" s="5">
        <v>0</v>
      </c>
      <c r="O420">
        <v>197</v>
      </c>
      <c r="P420">
        <v>22.619466719999998</v>
      </c>
      <c r="Q420" s="4">
        <v>0.3</v>
      </c>
      <c r="R420" s="5">
        <v>22.619466719999998</v>
      </c>
      <c r="S420" s="5">
        <v>0.3</v>
      </c>
      <c r="T420">
        <v>400</v>
      </c>
      <c r="U420">
        <v>0</v>
      </c>
      <c r="V420">
        <v>0</v>
      </c>
      <c r="W420">
        <v>1</v>
      </c>
      <c r="X420">
        <v>0</v>
      </c>
      <c r="Y420">
        <v>0</v>
      </c>
      <c r="Z420">
        <v>0</v>
      </c>
      <c r="AA420">
        <v>0</v>
      </c>
      <c r="AC420">
        <v>0</v>
      </c>
      <c r="AD420">
        <f t="shared" si="8"/>
        <v>0</v>
      </c>
    </row>
    <row r="421" spans="1:30" x14ac:dyDescent="0.25">
      <c r="A421">
        <v>476</v>
      </c>
      <c r="B421">
        <v>19.242254674999998</v>
      </c>
      <c r="C421" s="4">
        <v>0.17499999999999999</v>
      </c>
      <c r="E421" t="s">
        <v>229</v>
      </c>
      <c r="F421" s="4" t="s">
        <v>229</v>
      </c>
      <c r="H421" t="s">
        <v>229</v>
      </c>
      <c r="I421" s="4" t="s">
        <v>229</v>
      </c>
      <c r="K421" t="s">
        <v>229</v>
      </c>
      <c r="L421" s="4" t="s">
        <v>229</v>
      </c>
      <c r="M421" s="5">
        <v>0</v>
      </c>
      <c r="N421" s="5">
        <v>0</v>
      </c>
      <c r="O421">
        <v>219</v>
      </c>
      <c r="P421">
        <v>50.265481600000015</v>
      </c>
      <c r="Q421" s="4">
        <v>0.4</v>
      </c>
      <c r="R421" s="5">
        <v>50.265481600000015</v>
      </c>
      <c r="S421" s="5">
        <v>0.4</v>
      </c>
      <c r="T421">
        <v>476</v>
      </c>
      <c r="U421">
        <v>0</v>
      </c>
      <c r="V421">
        <v>0</v>
      </c>
      <c r="W421">
        <v>1</v>
      </c>
      <c r="X421">
        <v>0</v>
      </c>
      <c r="Y421">
        <v>0</v>
      </c>
      <c r="Z421">
        <v>0</v>
      </c>
      <c r="AA421">
        <v>0</v>
      </c>
      <c r="AC421">
        <v>0</v>
      </c>
      <c r="AD421">
        <f t="shared" si="8"/>
        <v>0</v>
      </c>
    </row>
    <row r="422" spans="1:30" x14ac:dyDescent="0.25">
      <c r="A422">
        <v>481</v>
      </c>
      <c r="B422">
        <v>25.495987444375</v>
      </c>
      <c r="C422" s="4">
        <v>0.17499999999999999</v>
      </c>
      <c r="E422" t="s">
        <v>229</v>
      </c>
      <c r="F422" s="4" t="s">
        <v>229</v>
      </c>
      <c r="H422" t="s">
        <v>229</v>
      </c>
      <c r="I422" s="4" t="s">
        <v>229</v>
      </c>
      <c r="K422" t="s">
        <v>229</v>
      </c>
      <c r="L422" s="4" t="s">
        <v>229</v>
      </c>
      <c r="M422" s="5">
        <v>0</v>
      </c>
      <c r="N422" s="5">
        <v>0</v>
      </c>
      <c r="O422">
        <v>230</v>
      </c>
      <c r="P422">
        <v>26.939156544999996</v>
      </c>
      <c r="Q422" s="4">
        <v>0.17499999999999999</v>
      </c>
      <c r="R422" s="5">
        <v>26.939156544999996</v>
      </c>
      <c r="S422" s="5">
        <v>0.17499999999999999</v>
      </c>
      <c r="T422">
        <v>481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0</v>
      </c>
      <c r="AC422">
        <v>0</v>
      </c>
      <c r="AD422">
        <f t="shared" si="8"/>
        <v>0</v>
      </c>
    </row>
    <row r="423" spans="1:30" x14ac:dyDescent="0.25">
      <c r="A423">
        <v>385</v>
      </c>
      <c r="B423">
        <v>15.393803739999997</v>
      </c>
      <c r="C423" s="4">
        <v>0.17499999999999999</v>
      </c>
      <c r="E423" t="s">
        <v>229</v>
      </c>
      <c r="F423" s="4" t="s">
        <v>229</v>
      </c>
      <c r="H423" t="s">
        <v>229</v>
      </c>
      <c r="I423" s="4" t="s">
        <v>229</v>
      </c>
      <c r="K423" t="s">
        <v>229</v>
      </c>
      <c r="L423" s="4" t="s">
        <v>229</v>
      </c>
      <c r="M423" s="5">
        <v>0</v>
      </c>
      <c r="N423" s="5">
        <v>0</v>
      </c>
      <c r="O423">
        <v>104</v>
      </c>
      <c r="P423">
        <v>19.242254674999998</v>
      </c>
      <c r="Q423" s="4">
        <v>0.17499999999999999</v>
      </c>
      <c r="R423" s="5">
        <v>19.242254674999998</v>
      </c>
      <c r="S423" s="5">
        <v>0.17499999999999999</v>
      </c>
      <c r="T423">
        <v>385</v>
      </c>
      <c r="U423">
        <v>0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0</v>
      </c>
      <c r="AC423">
        <v>0</v>
      </c>
      <c r="AD423">
        <f t="shared" si="8"/>
        <v>0</v>
      </c>
    </row>
    <row r="424" spans="1:30" x14ac:dyDescent="0.25">
      <c r="A424">
        <v>279</v>
      </c>
      <c r="B424">
        <v>5.7726764024999992</v>
      </c>
      <c r="C424" s="4">
        <v>0.17499999999999999</v>
      </c>
      <c r="E424" t="s">
        <v>229</v>
      </c>
      <c r="F424" s="4" t="s">
        <v>229</v>
      </c>
      <c r="H424" t="s">
        <v>229</v>
      </c>
      <c r="I424" s="4" t="s">
        <v>229</v>
      </c>
      <c r="K424" t="s">
        <v>229</v>
      </c>
      <c r="L424" s="4" t="s">
        <v>229</v>
      </c>
      <c r="M424" s="5">
        <v>0</v>
      </c>
      <c r="N424" s="5">
        <v>0</v>
      </c>
      <c r="O424">
        <v>104</v>
      </c>
      <c r="P424">
        <v>19.242254674999998</v>
      </c>
      <c r="Q424" s="4">
        <v>0.17499999999999999</v>
      </c>
      <c r="R424" s="5">
        <v>19.242254674999998</v>
      </c>
      <c r="S424" s="5">
        <v>0.17499999999999999</v>
      </c>
      <c r="T424">
        <v>279</v>
      </c>
      <c r="U424">
        <v>0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0</v>
      </c>
      <c r="AC424">
        <v>0</v>
      </c>
      <c r="AD424">
        <f t="shared" si="8"/>
        <v>0</v>
      </c>
    </row>
    <row r="425" spans="1:30" x14ac:dyDescent="0.25">
      <c r="A425">
        <v>240</v>
      </c>
      <c r="B425">
        <v>15.079644480000002</v>
      </c>
      <c r="C425" s="4">
        <v>0.2</v>
      </c>
      <c r="E425" t="s">
        <v>229</v>
      </c>
      <c r="F425" s="4" t="s">
        <v>229</v>
      </c>
      <c r="H425" t="s">
        <v>229</v>
      </c>
      <c r="I425" s="4" t="s">
        <v>229</v>
      </c>
      <c r="K425" t="s">
        <v>229</v>
      </c>
      <c r="L425" s="4" t="s">
        <v>229</v>
      </c>
      <c r="M425" s="5">
        <v>0</v>
      </c>
      <c r="N425" s="5">
        <v>0</v>
      </c>
      <c r="O425">
        <v>8</v>
      </c>
      <c r="P425">
        <v>9.4247778000000029</v>
      </c>
      <c r="Q425" s="4">
        <v>0.2</v>
      </c>
      <c r="R425" s="5">
        <v>9.4247778000000029</v>
      </c>
      <c r="S425" s="5">
        <v>0.2</v>
      </c>
      <c r="T425">
        <v>240</v>
      </c>
      <c r="U425">
        <v>0</v>
      </c>
      <c r="V425">
        <v>0</v>
      </c>
      <c r="W425">
        <v>1</v>
      </c>
      <c r="X425">
        <v>0</v>
      </c>
      <c r="Y425">
        <v>0</v>
      </c>
      <c r="Z425">
        <v>0</v>
      </c>
      <c r="AA425">
        <v>0</v>
      </c>
      <c r="AC425">
        <v>0</v>
      </c>
      <c r="AD425">
        <f t="shared" si="8"/>
        <v>0</v>
      </c>
    </row>
    <row r="426" spans="1:30" x14ac:dyDescent="0.25">
      <c r="A426">
        <v>353</v>
      </c>
      <c r="B426">
        <v>7.2158455031249993</v>
      </c>
      <c r="C426" s="4">
        <v>0.17499999999999999</v>
      </c>
      <c r="E426" t="s">
        <v>229</v>
      </c>
      <c r="F426" s="4" t="s">
        <v>229</v>
      </c>
      <c r="H426" t="s">
        <v>229</v>
      </c>
      <c r="I426" s="4" t="s">
        <v>229</v>
      </c>
      <c r="K426" t="s">
        <v>229</v>
      </c>
      <c r="L426" s="4" t="s">
        <v>229</v>
      </c>
      <c r="M426" s="5">
        <v>0</v>
      </c>
      <c r="N426" s="5">
        <v>0</v>
      </c>
      <c r="O426">
        <v>9</v>
      </c>
      <c r="P426">
        <v>14.431691006249999</v>
      </c>
      <c r="Q426" s="4">
        <v>0.17499999999999999</v>
      </c>
      <c r="R426" s="5">
        <v>14.431691006249999</v>
      </c>
      <c r="S426" s="5">
        <v>0.17499999999999999</v>
      </c>
      <c r="T426">
        <v>353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0</v>
      </c>
      <c r="AC426">
        <v>0</v>
      </c>
      <c r="AD426">
        <f t="shared" si="8"/>
        <v>0</v>
      </c>
    </row>
    <row r="427" spans="1:30" x14ac:dyDescent="0.25">
      <c r="A427">
        <v>239</v>
      </c>
      <c r="B427">
        <v>11.545352804999998</v>
      </c>
      <c r="C427" s="4">
        <v>0.17499999999999999</v>
      </c>
      <c r="E427" t="s">
        <v>229</v>
      </c>
      <c r="F427" s="4" t="s">
        <v>229</v>
      </c>
      <c r="H427" t="s">
        <v>229</v>
      </c>
      <c r="I427" s="4" t="s">
        <v>229</v>
      </c>
      <c r="K427" t="s">
        <v>229</v>
      </c>
      <c r="L427" s="4" t="s">
        <v>229</v>
      </c>
      <c r="M427" s="5">
        <v>0</v>
      </c>
      <c r="N427" s="5">
        <v>0</v>
      </c>
      <c r="O427">
        <v>9</v>
      </c>
      <c r="P427">
        <v>14.431691006249999</v>
      </c>
      <c r="Q427" s="4">
        <v>0.17499999999999999</v>
      </c>
      <c r="R427" s="5">
        <v>14.431691006249999</v>
      </c>
      <c r="S427" s="5">
        <v>0.17499999999999999</v>
      </c>
      <c r="T427">
        <v>239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C427">
        <v>0</v>
      </c>
      <c r="AD427">
        <f t="shared" si="8"/>
        <v>0</v>
      </c>
    </row>
    <row r="428" spans="1:30" x14ac:dyDescent="0.25">
      <c r="A428">
        <v>355</v>
      </c>
      <c r="B428">
        <v>9.621127337499999</v>
      </c>
      <c r="C428" s="4">
        <v>0.17499999999999999</v>
      </c>
      <c r="E428" t="s">
        <v>229</v>
      </c>
      <c r="F428" s="4" t="s">
        <v>229</v>
      </c>
      <c r="H428" t="s">
        <v>229</v>
      </c>
      <c r="I428" s="4" t="s">
        <v>229</v>
      </c>
      <c r="K428" t="s">
        <v>229</v>
      </c>
      <c r="L428" s="4" t="s">
        <v>229</v>
      </c>
      <c r="M428" s="5">
        <v>0</v>
      </c>
      <c r="N428" s="5">
        <v>0</v>
      </c>
      <c r="O428">
        <v>14</v>
      </c>
      <c r="P428">
        <v>25.014931077499998</v>
      </c>
      <c r="Q428" s="4">
        <v>0.17499999999999999</v>
      </c>
      <c r="R428" s="5">
        <v>25.014931077499998</v>
      </c>
      <c r="S428" s="5">
        <v>0.17499999999999999</v>
      </c>
      <c r="T428">
        <v>355</v>
      </c>
      <c r="U428">
        <v>0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0</v>
      </c>
      <c r="AC428">
        <v>0</v>
      </c>
      <c r="AD428">
        <f t="shared" si="8"/>
        <v>0</v>
      </c>
    </row>
    <row r="429" spans="1:30" x14ac:dyDescent="0.25">
      <c r="A429">
        <v>522</v>
      </c>
      <c r="B429">
        <v>13.950634639374998</v>
      </c>
      <c r="C429" s="4">
        <v>0.17499999999999999</v>
      </c>
      <c r="E429" t="s">
        <v>229</v>
      </c>
      <c r="F429" s="4" t="s">
        <v>229</v>
      </c>
      <c r="H429" t="s">
        <v>229</v>
      </c>
      <c r="I429" s="4" t="s">
        <v>229</v>
      </c>
      <c r="K429" t="s">
        <v>229</v>
      </c>
      <c r="L429" s="4" t="s">
        <v>229</v>
      </c>
      <c r="M429" s="5">
        <v>0</v>
      </c>
      <c r="N429" s="5">
        <v>0</v>
      </c>
      <c r="O429">
        <v>322</v>
      </c>
      <c r="P429">
        <v>75.398222400000023</v>
      </c>
      <c r="Q429" s="4">
        <v>0.4</v>
      </c>
      <c r="R429" s="5">
        <v>75.398222400000023</v>
      </c>
      <c r="S429" s="5">
        <v>0.4</v>
      </c>
      <c r="T429">
        <v>522</v>
      </c>
      <c r="U429">
        <v>0</v>
      </c>
      <c r="V429">
        <v>0</v>
      </c>
      <c r="W429">
        <v>1</v>
      </c>
      <c r="X429">
        <v>0</v>
      </c>
      <c r="Y429">
        <v>0</v>
      </c>
      <c r="Z429">
        <v>0</v>
      </c>
      <c r="AA429">
        <v>0</v>
      </c>
      <c r="AC429">
        <v>0</v>
      </c>
      <c r="AD429">
        <f t="shared" si="8"/>
        <v>0</v>
      </c>
    </row>
    <row r="430" spans="1:30" x14ac:dyDescent="0.25">
      <c r="A430">
        <v>256</v>
      </c>
      <c r="B430">
        <v>11.545352804999998</v>
      </c>
      <c r="C430" s="4">
        <v>0.17499999999999999</v>
      </c>
      <c r="E430" t="s">
        <v>229</v>
      </c>
      <c r="F430" s="4" t="s">
        <v>229</v>
      </c>
      <c r="H430" t="s">
        <v>229</v>
      </c>
      <c r="I430" s="4" t="s">
        <v>229</v>
      </c>
      <c r="K430" t="s">
        <v>229</v>
      </c>
      <c r="L430" s="4" t="s">
        <v>229</v>
      </c>
      <c r="M430" s="5">
        <v>0</v>
      </c>
      <c r="N430" s="5">
        <v>0</v>
      </c>
      <c r="O430">
        <v>315</v>
      </c>
      <c r="P430">
        <v>132.53593781250001</v>
      </c>
      <c r="Q430" s="4">
        <v>0.75</v>
      </c>
      <c r="R430" s="5">
        <v>132.53593781250001</v>
      </c>
      <c r="S430" s="5">
        <v>0.75</v>
      </c>
      <c r="T430">
        <v>256</v>
      </c>
      <c r="U430">
        <v>0</v>
      </c>
      <c r="V430">
        <v>0</v>
      </c>
      <c r="W430">
        <v>1</v>
      </c>
      <c r="X430">
        <v>0</v>
      </c>
      <c r="Y430">
        <v>0</v>
      </c>
      <c r="Z430">
        <v>0</v>
      </c>
      <c r="AA430">
        <v>0</v>
      </c>
      <c r="AC430">
        <v>0</v>
      </c>
      <c r="AD430">
        <f t="shared" si="8"/>
        <v>0</v>
      </c>
    </row>
    <row r="431" spans="1:30" x14ac:dyDescent="0.25">
      <c r="A431">
        <v>520</v>
      </c>
      <c r="B431">
        <v>22.128592876249996</v>
      </c>
      <c r="C431" s="4">
        <v>0.17499999999999999</v>
      </c>
      <c r="E431" t="s">
        <v>229</v>
      </c>
      <c r="F431" s="4" t="s">
        <v>229</v>
      </c>
      <c r="H431" t="s">
        <v>229</v>
      </c>
      <c r="I431" s="4" t="s">
        <v>229</v>
      </c>
      <c r="K431" t="s">
        <v>229</v>
      </c>
      <c r="L431" s="4" t="s">
        <v>229</v>
      </c>
      <c r="M431" s="5">
        <v>0</v>
      </c>
      <c r="N431" s="5">
        <v>0</v>
      </c>
      <c r="O431">
        <v>38</v>
      </c>
      <c r="P431">
        <v>17.649467226800002</v>
      </c>
      <c r="Q431" s="4">
        <v>0.26500000000000001</v>
      </c>
      <c r="R431" s="5">
        <v>17.649467226800002</v>
      </c>
      <c r="S431" s="5">
        <v>0.26500000000000001</v>
      </c>
      <c r="T431">
        <v>520</v>
      </c>
      <c r="U431">
        <v>0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0</v>
      </c>
      <c r="AC431">
        <v>0</v>
      </c>
      <c r="AD431">
        <f t="shared" si="8"/>
        <v>0</v>
      </c>
    </row>
    <row r="432" spans="1:30" x14ac:dyDescent="0.25">
      <c r="A432">
        <v>401</v>
      </c>
      <c r="B432">
        <v>21.647536509374998</v>
      </c>
      <c r="C432" s="4">
        <v>0.17499999999999999</v>
      </c>
      <c r="E432" t="s">
        <v>229</v>
      </c>
      <c r="F432" s="4" t="s">
        <v>229</v>
      </c>
      <c r="H432" t="s">
        <v>229</v>
      </c>
      <c r="I432" s="4" t="s">
        <v>229</v>
      </c>
      <c r="K432" t="s">
        <v>229</v>
      </c>
      <c r="L432" s="4" t="s">
        <v>229</v>
      </c>
      <c r="M432" s="5">
        <v>0</v>
      </c>
      <c r="N432" s="5">
        <v>0</v>
      </c>
      <c r="O432">
        <v>38</v>
      </c>
      <c r="P432">
        <v>17.649467226800002</v>
      </c>
      <c r="Q432" s="4">
        <v>0.26500000000000001</v>
      </c>
      <c r="R432" s="5">
        <v>17.649467226800002</v>
      </c>
      <c r="S432" s="5">
        <v>0.26500000000000001</v>
      </c>
      <c r="T432">
        <v>401</v>
      </c>
      <c r="U432">
        <v>0</v>
      </c>
      <c r="V432">
        <v>0</v>
      </c>
      <c r="W432">
        <v>1</v>
      </c>
      <c r="X432">
        <v>0</v>
      </c>
      <c r="Y432">
        <v>0</v>
      </c>
      <c r="Z432">
        <v>0</v>
      </c>
      <c r="AA432">
        <v>0</v>
      </c>
      <c r="AC432">
        <v>0</v>
      </c>
      <c r="AD432">
        <f t="shared" si="8"/>
        <v>0</v>
      </c>
    </row>
    <row r="433" spans="1:30" x14ac:dyDescent="0.25">
      <c r="A433">
        <v>398</v>
      </c>
      <c r="B433">
        <v>21.166480142499999</v>
      </c>
      <c r="C433" s="4">
        <v>0.17499999999999999</v>
      </c>
      <c r="E433" t="s">
        <v>229</v>
      </c>
      <c r="F433" s="4" t="s">
        <v>229</v>
      </c>
      <c r="H433" t="s">
        <v>229</v>
      </c>
      <c r="I433" s="4" t="s">
        <v>229</v>
      </c>
      <c r="K433" t="s">
        <v>229</v>
      </c>
      <c r="L433" s="4" t="s">
        <v>229</v>
      </c>
      <c r="M433" s="5">
        <v>0</v>
      </c>
      <c r="N433" s="5">
        <v>0</v>
      </c>
      <c r="O433">
        <v>198</v>
      </c>
      <c r="P433">
        <v>17.649467226800002</v>
      </c>
      <c r="Q433" s="4">
        <v>0.26500000000000001</v>
      </c>
      <c r="R433" s="5">
        <v>17.649467226800002</v>
      </c>
      <c r="S433" s="5">
        <v>0.26500000000000001</v>
      </c>
      <c r="T433">
        <v>398</v>
      </c>
      <c r="U433">
        <v>0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C433">
        <v>0</v>
      </c>
      <c r="AD433">
        <f t="shared" si="8"/>
        <v>0</v>
      </c>
    </row>
    <row r="434" spans="1:30" x14ac:dyDescent="0.25">
      <c r="A434">
        <v>221</v>
      </c>
      <c r="B434">
        <v>20.204367408749999</v>
      </c>
      <c r="C434" s="4">
        <v>0.17499999999999999</v>
      </c>
      <c r="E434" t="s">
        <v>229</v>
      </c>
      <c r="F434" s="4" t="s">
        <v>229</v>
      </c>
      <c r="H434" t="s">
        <v>229</v>
      </c>
      <c r="I434" s="4" t="s">
        <v>229</v>
      </c>
      <c r="K434" t="s">
        <v>229</v>
      </c>
      <c r="L434" s="4" t="s">
        <v>229</v>
      </c>
      <c r="M434" s="5">
        <v>0</v>
      </c>
      <c r="N434" s="5">
        <v>0</v>
      </c>
      <c r="O434">
        <v>220</v>
      </c>
      <c r="P434">
        <v>52.778755680000017</v>
      </c>
      <c r="Q434" s="4">
        <v>0.4</v>
      </c>
      <c r="R434" s="5">
        <v>52.778755680000017</v>
      </c>
      <c r="S434" s="5">
        <v>0.4</v>
      </c>
      <c r="T434">
        <v>221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C434">
        <v>0</v>
      </c>
      <c r="AD434">
        <f t="shared" si="8"/>
        <v>0</v>
      </c>
    </row>
    <row r="435" spans="1:30" x14ac:dyDescent="0.25">
      <c r="A435">
        <v>238</v>
      </c>
      <c r="B435">
        <v>11.545352804999998</v>
      </c>
      <c r="C435" s="4">
        <v>0.17499999999999999</v>
      </c>
      <c r="E435" t="s">
        <v>229</v>
      </c>
      <c r="F435" s="4" t="s">
        <v>229</v>
      </c>
      <c r="H435" t="s">
        <v>229</v>
      </c>
      <c r="I435" s="4" t="s">
        <v>229</v>
      </c>
      <c r="K435" t="s">
        <v>229</v>
      </c>
      <c r="L435" s="4" t="s">
        <v>229</v>
      </c>
      <c r="M435" s="5">
        <v>0</v>
      </c>
      <c r="N435" s="5">
        <v>0</v>
      </c>
      <c r="O435">
        <v>10</v>
      </c>
      <c r="P435">
        <v>7.2158455031249993</v>
      </c>
      <c r="Q435" s="4">
        <v>0.17499999999999999</v>
      </c>
      <c r="R435" s="5">
        <v>7.2158455031249993</v>
      </c>
      <c r="S435" s="5">
        <v>0.17499999999999999</v>
      </c>
      <c r="T435">
        <v>238</v>
      </c>
      <c r="U435">
        <v>0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0</v>
      </c>
      <c r="AC435">
        <v>0</v>
      </c>
      <c r="AD435">
        <f t="shared" si="8"/>
        <v>0</v>
      </c>
    </row>
    <row r="436" spans="1:30" x14ac:dyDescent="0.25">
      <c r="A436">
        <v>354</v>
      </c>
      <c r="B436">
        <v>8.1779582368749981</v>
      </c>
      <c r="C436" s="4">
        <v>0.17499999999999999</v>
      </c>
      <c r="E436" t="s">
        <v>229</v>
      </c>
      <c r="F436" s="4" t="s">
        <v>229</v>
      </c>
      <c r="H436" t="s">
        <v>229</v>
      </c>
      <c r="I436" s="4" t="s">
        <v>229</v>
      </c>
      <c r="K436" t="s">
        <v>229</v>
      </c>
      <c r="L436" s="4" t="s">
        <v>229</v>
      </c>
      <c r="M436" s="5">
        <v>0</v>
      </c>
      <c r="N436" s="5">
        <v>0</v>
      </c>
      <c r="O436">
        <v>11</v>
      </c>
      <c r="P436">
        <v>12.507465538749999</v>
      </c>
      <c r="Q436" s="4">
        <v>0.17499999999999999</v>
      </c>
      <c r="R436" s="5">
        <v>12.507465538749999</v>
      </c>
      <c r="S436" s="5">
        <v>0.17499999999999999</v>
      </c>
      <c r="T436">
        <v>354</v>
      </c>
      <c r="U436">
        <v>0</v>
      </c>
      <c r="V436">
        <v>0</v>
      </c>
      <c r="W436">
        <v>1</v>
      </c>
      <c r="X436">
        <v>0</v>
      </c>
      <c r="Y436">
        <v>0</v>
      </c>
      <c r="Z436">
        <v>0</v>
      </c>
      <c r="AA436">
        <v>0</v>
      </c>
      <c r="AC436">
        <v>0</v>
      </c>
      <c r="AD436">
        <f t="shared" si="8"/>
        <v>0</v>
      </c>
    </row>
    <row r="437" spans="1:30" x14ac:dyDescent="0.25">
      <c r="A437">
        <v>388</v>
      </c>
      <c r="B437">
        <v>25.977043811249995</v>
      </c>
      <c r="C437" s="4">
        <v>0.17499999999999999</v>
      </c>
      <c r="E437" t="s">
        <v>229</v>
      </c>
      <c r="F437" s="4" t="s">
        <v>229</v>
      </c>
      <c r="H437" t="s">
        <v>229</v>
      </c>
      <c r="I437" s="4" t="s">
        <v>229</v>
      </c>
      <c r="K437" t="s">
        <v>229</v>
      </c>
      <c r="L437" s="4" t="s">
        <v>229</v>
      </c>
      <c r="M437" s="5">
        <v>0</v>
      </c>
      <c r="N437" s="5">
        <v>0</v>
      </c>
      <c r="O437">
        <v>61</v>
      </c>
      <c r="P437">
        <v>7.6969018699999987</v>
      </c>
      <c r="Q437" s="4">
        <v>0.17499999999999999</v>
      </c>
      <c r="R437" s="5">
        <v>7.6969018699999987</v>
      </c>
      <c r="S437" s="5">
        <v>0.17499999999999999</v>
      </c>
      <c r="T437">
        <v>388</v>
      </c>
      <c r="U437">
        <v>0</v>
      </c>
      <c r="V437">
        <v>0</v>
      </c>
      <c r="W437">
        <v>1</v>
      </c>
      <c r="X437">
        <v>0</v>
      </c>
      <c r="Y437">
        <v>0</v>
      </c>
      <c r="Z437">
        <v>0</v>
      </c>
      <c r="AA437">
        <v>0</v>
      </c>
      <c r="AC437">
        <v>0</v>
      </c>
      <c r="AD437">
        <f t="shared" si="8"/>
        <v>0</v>
      </c>
    </row>
    <row r="438" spans="1:30" x14ac:dyDescent="0.25">
      <c r="A438">
        <v>384</v>
      </c>
      <c r="B438">
        <v>7.6969018699999987</v>
      </c>
      <c r="C438" s="4">
        <v>0.17499999999999999</v>
      </c>
      <c r="E438" t="s">
        <v>229</v>
      </c>
      <c r="F438" s="4" t="s">
        <v>229</v>
      </c>
      <c r="H438" t="s">
        <v>229</v>
      </c>
      <c r="I438" s="4" t="s">
        <v>229</v>
      </c>
      <c r="K438" t="s">
        <v>229</v>
      </c>
      <c r="L438" s="4" t="s">
        <v>229</v>
      </c>
      <c r="M438" s="5">
        <v>0</v>
      </c>
      <c r="N438" s="5">
        <v>0</v>
      </c>
      <c r="O438">
        <v>61</v>
      </c>
      <c r="P438">
        <v>7.6969018699999987</v>
      </c>
      <c r="Q438" s="4">
        <v>0.17499999999999999</v>
      </c>
      <c r="R438" s="5">
        <v>7.6969018699999987</v>
      </c>
      <c r="S438" s="5">
        <v>0.17499999999999999</v>
      </c>
      <c r="T438">
        <v>384</v>
      </c>
      <c r="U438">
        <v>0</v>
      </c>
      <c r="V438">
        <v>0</v>
      </c>
      <c r="W438">
        <v>1</v>
      </c>
      <c r="X438">
        <v>0</v>
      </c>
      <c r="Y438">
        <v>0</v>
      </c>
      <c r="Z438">
        <v>0</v>
      </c>
      <c r="AA438">
        <v>0</v>
      </c>
      <c r="AC438">
        <v>0</v>
      </c>
      <c r="AD438">
        <f t="shared" si="8"/>
        <v>0</v>
      </c>
    </row>
    <row r="439" spans="1:30" x14ac:dyDescent="0.25">
      <c r="A439">
        <v>356</v>
      </c>
      <c r="B439">
        <v>7.6969018699999987</v>
      </c>
      <c r="C439" s="4">
        <v>0.17499999999999999</v>
      </c>
      <c r="E439" t="s">
        <v>229</v>
      </c>
      <c r="F439" s="4" t="s">
        <v>229</v>
      </c>
      <c r="H439" t="s">
        <v>229</v>
      </c>
      <c r="I439" s="4" t="s">
        <v>229</v>
      </c>
      <c r="K439" t="s">
        <v>229</v>
      </c>
      <c r="L439" s="4" t="s">
        <v>229</v>
      </c>
      <c r="M439" s="5">
        <v>0</v>
      </c>
      <c r="N439" s="5">
        <v>0</v>
      </c>
      <c r="O439">
        <v>69</v>
      </c>
      <c r="P439">
        <v>59.566951890450007</v>
      </c>
      <c r="Q439" s="4">
        <v>0.26500000000000001</v>
      </c>
      <c r="R439" s="5">
        <v>59.566951890450007</v>
      </c>
      <c r="S439" s="5">
        <v>0.26500000000000001</v>
      </c>
      <c r="T439">
        <v>356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C439">
        <v>0</v>
      </c>
      <c r="AD439">
        <f t="shared" si="8"/>
        <v>0</v>
      </c>
    </row>
    <row r="440" spans="1:30" x14ac:dyDescent="0.25">
      <c r="A440">
        <v>237</v>
      </c>
      <c r="B440">
        <v>15.079644480000002</v>
      </c>
      <c r="C440" s="4">
        <v>0.2</v>
      </c>
      <c r="E440" t="s">
        <v>229</v>
      </c>
      <c r="F440" s="4" t="s">
        <v>229</v>
      </c>
      <c r="H440" t="s">
        <v>229</v>
      </c>
      <c r="I440" s="4" t="s">
        <v>229</v>
      </c>
      <c r="K440" t="s">
        <v>229</v>
      </c>
      <c r="L440" s="4" t="s">
        <v>229</v>
      </c>
      <c r="M440" s="5">
        <v>0</v>
      </c>
      <c r="N440" s="5">
        <v>0</v>
      </c>
      <c r="O440">
        <v>69</v>
      </c>
      <c r="P440">
        <v>59.566951890450007</v>
      </c>
      <c r="Q440" s="4">
        <v>0.26500000000000001</v>
      </c>
      <c r="R440" s="5">
        <v>59.566951890450007</v>
      </c>
      <c r="S440" s="5">
        <v>0.26500000000000001</v>
      </c>
      <c r="T440">
        <v>237</v>
      </c>
      <c r="U440">
        <v>0</v>
      </c>
      <c r="V440">
        <v>0</v>
      </c>
      <c r="W440">
        <v>1</v>
      </c>
      <c r="X440">
        <v>0</v>
      </c>
      <c r="Y440">
        <v>0</v>
      </c>
      <c r="Z440">
        <v>0</v>
      </c>
      <c r="AA440">
        <v>0</v>
      </c>
      <c r="AC440">
        <v>0</v>
      </c>
      <c r="AD440">
        <f t="shared" si="8"/>
        <v>0</v>
      </c>
    </row>
    <row r="441" spans="1:30" x14ac:dyDescent="0.25">
      <c r="A441">
        <v>431</v>
      </c>
      <c r="B441">
        <v>20.204367408749999</v>
      </c>
      <c r="C441" s="4">
        <v>0.17499999999999999</v>
      </c>
      <c r="E441" t="s">
        <v>229</v>
      </c>
      <c r="F441" s="4" t="s">
        <v>229</v>
      </c>
      <c r="H441" t="s">
        <v>229</v>
      </c>
      <c r="I441" s="4" t="s">
        <v>229</v>
      </c>
      <c r="K441" t="s">
        <v>229</v>
      </c>
      <c r="L441" s="4" t="s">
        <v>229</v>
      </c>
      <c r="M441" s="5">
        <v>0</v>
      </c>
      <c r="N441" s="5">
        <v>0</v>
      </c>
      <c r="O441">
        <v>103</v>
      </c>
      <c r="P441">
        <v>10.102183704374999</v>
      </c>
      <c r="Q441" s="4">
        <v>0.17499999999999999</v>
      </c>
      <c r="R441" s="5">
        <v>10.102183704374999</v>
      </c>
      <c r="S441" s="5">
        <v>0.17499999999999999</v>
      </c>
      <c r="T441">
        <v>431</v>
      </c>
      <c r="U441">
        <v>0</v>
      </c>
      <c r="V441">
        <v>0</v>
      </c>
      <c r="W441">
        <v>1</v>
      </c>
      <c r="X441">
        <v>0</v>
      </c>
      <c r="Y441">
        <v>0</v>
      </c>
      <c r="Z441">
        <v>0</v>
      </c>
      <c r="AA441">
        <v>0</v>
      </c>
      <c r="AC441">
        <v>0</v>
      </c>
      <c r="AD441">
        <f t="shared" si="8"/>
        <v>0</v>
      </c>
    </row>
    <row r="442" spans="1:30" x14ac:dyDescent="0.25">
      <c r="A442">
        <v>521</v>
      </c>
      <c r="B442">
        <v>13.950634639374998</v>
      </c>
      <c r="C442" s="4">
        <v>0.17499999999999999</v>
      </c>
      <c r="E442" t="s">
        <v>229</v>
      </c>
      <c r="F442" s="4" t="s">
        <v>229</v>
      </c>
      <c r="H442" t="s">
        <v>229</v>
      </c>
      <c r="I442" s="4" t="s">
        <v>229</v>
      </c>
      <c r="K442" t="s">
        <v>229</v>
      </c>
      <c r="L442" s="4" t="s">
        <v>229</v>
      </c>
      <c r="M442" s="5">
        <v>0</v>
      </c>
      <c r="N442" s="5">
        <v>0</v>
      </c>
      <c r="O442">
        <v>323</v>
      </c>
      <c r="P442">
        <v>40.212385280000007</v>
      </c>
      <c r="Q442" s="4">
        <v>0.4</v>
      </c>
      <c r="R442" s="5">
        <v>40.212385280000007</v>
      </c>
      <c r="S442" s="5">
        <v>0.4</v>
      </c>
      <c r="T442">
        <v>521</v>
      </c>
      <c r="U442">
        <v>0</v>
      </c>
      <c r="V442">
        <v>0</v>
      </c>
      <c r="W442">
        <v>1</v>
      </c>
      <c r="X442">
        <v>0</v>
      </c>
      <c r="Y442">
        <v>0</v>
      </c>
      <c r="Z442">
        <v>0</v>
      </c>
      <c r="AA442">
        <v>0</v>
      </c>
      <c r="AC442">
        <v>0</v>
      </c>
      <c r="AD442">
        <f t="shared" si="8"/>
        <v>0</v>
      </c>
    </row>
    <row r="443" spans="1:30" x14ac:dyDescent="0.25">
      <c r="A443">
        <v>503</v>
      </c>
      <c r="B443">
        <v>14.431691006249999</v>
      </c>
      <c r="C443" s="4">
        <v>0.17499999999999999</v>
      </c>
      <c r="E443" t="s">
        <v>229</v>
      </c>
      <c r="F443" s="4" t="s">
        <v>229</v>
      </c>
      <c r="H443" t="s">
        <v>229</v>
      </c>
      <c r="I443" s="4" t="s">
        <v>229</v>
      </c>
      <c r="K443" t="s">
        <v>229</v>
      </c>
      <c r="L443" s="4" t="s">
        <v>229</v>
      </c>
      <c r="M443" s="5">
        <v>0</v>
      </c>
      <c r="N443" s="5">
        <v>0</v>
      </c>
      <c r="O443">
        <v>323</v>
      </c>
      <c r="P443">
        <v>40.212385280000007</v>
      </c>
      <c r="Q443" s="4">
        <v>0.4</v>
      </c>
      <c r="R443" s="5">
        <v>40.212385280000007</v>
      </c>
      <c r="S443" s="5">
        <v>0.4</v>
      </c>
      <c r="T443">
        <v>503</v>
      </c>
      <c r="U443">
        <v>0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0</v>
      </c>
      <c r="AC443">
        <v>0</v>
      </c>
      <c r="AD443">
        <f t="shared" si="8"/>
        <v>0</v>
      </c>
    </row>
    <row r="444" spans="1:30" x14ac:dyDescent="0.25">
      <c r="A444">
        <v>523</v>
      </c>
      <c r="B444">
        <v>376.99111199999999</v>
      </c>
      <c r="C444" s="4">
        <v>1</v>
      </c>
      <c r="E444" t="s">
        <v>229</v>
      </c>
      <c r="F444" s="4" t="s">
        <v>229</v>
      </c>
      <c r="H444" t="s">
        <v>229</v>
      </c>
      <c r="I444" s="4" t="s">
        <v>229</v>
      </c>
      <c r="K444" t="s">
        <v>229</v>
      </c>
      <c r="L444" s="4" t="s">
        <v>229</v>
      </c>
      <c r="M444" s="5">
        <v>0</v>
      </c>
      <c r="N444" s="5">
        <v>0</v>
      </c>
      <c r="O444">
        <v>338</v>
      </c>
      <c r="P444">
        <v>5.0265481600000008</v>
      </c>
      <c r="Q444" s="4">
        <v>0.2</v>
      </c>
      <c r="R444" s="5">
        <v>5.0265481600000008</v>
      </c>
      <c r="S444" s="5">
        <v>0.2</v>
      </c>
      <c r="T444">
        <v>523</v>
      </c>
      <c r="U444">
        <v>0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0</v>
      </c>
      <c r="AC444">
        <v>0</v>
      </c>
      <c r="AD444">
        <f t="shared" si="8"/>
        <v>0</v>
      </c>
    </row>
    <row r="445" spans="1:30" x14ac:dyDescent="0.25">
      <c r="A445">
        <v>506</v>
      </c>
      <c r="B445">
        <v>14.431691006249999</v>
      </c>
      <c r="C445" s="4">
        <v>0.17499999999999999</v>
      </c>
      <c r="E445" t="s">
        <v>229</v>
      </c>
      <c r="F445" s="4" t="s">
        <v>229</v>
      </c>
      <c r="H445" t="s">
        <v>229</v>
      </c>
      <c r="I445" s="4" t="s">
        <v>229</v>
      </c>
      <c r="K445" t="s">
        <v>229</v>
      </c>
      <c r="L445" s="4" t="s">
        <v>229</v>
      </c>
      <c r="M445" s="5">
        <v>0</v>
      </c>
      <c r="N445" s="5">
        <v>0</v>
      </c>
      <c r="O445">
        <v>314</v>
      </c>
      <c r="P445">
        <v>132.53593781250001</v>
      </c>
      <c r="Q445" s="4">
        <v>0.75</v>
      </c>
      <c r="R445" s="5">
        <v>132.53593781250001</v>
      </c>
      <c r="S445" s="5">
        <v>0.75</v>
      </c>
      <c r="T445">
        <v>506</v>
      </c>
      <c r="U445">
        <v>0</v>
      </c>
      <c r="V445">
        <v>0</v>
      </c>
      <c r="W445">
        <v>1</v>
      </c>
      <c r="X445">
        <v>0</v>
      </c>
      <c r="Y445">
        <v>0</v>
      </c>
      <c r="Z445">
        <v>0</v>
      </c>
      <c r="AA445">
        <v>0</v>
      </c>
      <c r="AC445">
        <v>0</v>
      </c>
      <c r="AD445">
        <f t="shared" si="8"/>
        <v>0</v>
      </c>
    </row>
    <row r="446" spans="1:30" x14ac:dyDescent="0.25">
      <c r="A446">
        <v>258</v>
      </c>
      <c r="B446">
        <v>26.474200840200002</v>
      </c>
      <c r="C446" s="4">
        <v>0.26500000000000001</v>
      </c>
      <c r="E446" t="s">
        <v>229</v>
      </c>
      <c r="F446" s="4" t="s">
        <v>229</v>
      </c>
      <c r="H446" t="s">
        <v>229</v>
      </c>
      <c r="I446" s="4" t="s">
        <v>229</v>
      </c>
      <c r="K446" t="s">
        <v>229</v>
      </c>
      <c r="L446" s="4" t="s">
        <v>229</v>
      </c>
      <c r="M446" s="5">
        <v>0</v>
      </c>
      <c r="N446" s="5">
        <v>0</v>
      </c>
      <c r="O446">
        <v>314</v>
      </c>
      <c r="P446">
        <v>132.53593781250001</v>
      </c>
      <c r="Q446" s="4">
        <v>0.75</v>
      </c>
      <c r="R446" s="5">
        <v>132.53593781250001</v>
      </c>
      <c r="S446" s="5">
        <v>0.75</v>
      </c>
      <c r="T446">
        <v>258</v>
      </c>
      <c r="U446">
        <v>0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C446">
        <v>0</v>
      </c>
      <c r="AD446">
        <f t="shared" si="8"/>
        <v>0</v>
      </c>
    </row>
    <row r="447" spans="1:30" x14ac:dyDescent="0.25">
      <c r="A447">
        <v>518</v>
      </c>
      <c r="B447">
        <v>22.128592876249996</v>
      </c>
      <c r="C447" s="4">
        <v>0.17499999999999999</v>
      </c>
      <c r="E447" t="s">
        <v>229</v>
      </c>
      <c r="F447" s="4" t="s">
        <v>229</v>
      </c>
      <c r="H447" t="s">
        <v>229</v>
      </c>
      <c r="I447" s="4" t="s">
        <v>229</v>
      </c>
      <c r="K447" t="s">
        <v>229</v>
      </c>
      <c r="L447" s="4" t="s">
        <v>229</v>
      </c>
      <c r="M447" s="5">
        <v>0</v>
      </c>
      <c r="N447" s="5">
        <v>0</v>
      </c>
      <c r="O447">
        <v>37</v>
      </c>
      <c r="P447">
        <v>17.649467226800002</v>
      </c>
      <c r="Q447" s="4">
        <v>0.26500000000000001</v>
      </c>
      <c r="R447" s="5">
        <v>17.649467226800002</v>
      </c>
      <c r="S447" s="5">
        <v>0.26500000000000001</v>
      </c>
      <c r="T447">
        <v>518</v>
      </c>
      <c r="U447">
        <v>0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0</v>
      </c>
      <c r="AC447">
        <v>0</v>
      </c>
      <c r="AD447">
        <f t="shared" si="8"/>
        <v>0</v>
      </c>
    </row>
    <row r="448" spans="1:30" x14ac:dyDescent="0.25">
      <c r="A448">
        <v>399</v>
      </c>
      <c r="B448">
        <v>21.647536509374998</v>
      </c>
      <c r="C448" s="4">
        <v>0.17499999999999999</v>
      </c>
      <c r="E448" t="s">
        <v>229</v>
      </c>
      <c r="F448" s="4" t="s">
        <v>229</v>
      </c>
      <c r="H448" t="s">
        <v>229</v>
      </c>
      <c r="I448" s="4" t="s">
        <v>229</v>
      </c>
      <c r="K448" t="s">
        <v>229</v>
      </c>
      <c r="L448" s="4" t="s">
        <v>229</v>
      </c>
      <c r="M448" s="5">
        <v>0</v>
      </c>
      <c r="N448" s="5">
        <v>0</v>
      </c>
      <c r="O448">
        <v>37</v>
      </c>
      <c r="P448">
        <v>17.649467226800002</v>
      </c>
      <c r="Q448" s="4">
        <v>0.26500000000000001</v>
      </c>
      <c r="R448" s="5">
        <v>17.649467226800002</v>
      </c>
      <c r="S448" s="5">
        <v>0.26500000000000001</v>
      </c>
      <c r="T448">
        <v>399</v>
      </c>
      <c r="U448">
        <v>0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0</v>
      </c>
      <c r="AC448">
        <v>0</v>
      </c>
      <c r="AD448">
        <f t="shared" si="8"/>
        <v>0</v>
      </c>
    </row>
    <row r="449" spans="1:30" x14ac:dyDescent="0.25">
      <c r="A449">
        <v>396</v>
      </c>
      <c r="B449">
        <v>21.166480142499999</v>
      </c>
      <c r="C449" s="4">
        <v>0.17499999999999999</v>
      </c>
      <c r="E449" t="s">
        <v>229</v>
      </c>
      <c r="F449" s="4" t="s">
        <v>229</v>
      </c>
      <c r="H449" t="s">
        <v>229</v>
      </c>
      <c r="I449" s="4" t="s">
        <v>229</v>
      </c>
      <c r="K449" t="s">
        <v>229</v>
      </c>
      <c r="L449" s="4" t="s">
        <v>229</v>
      </c>
      <c r="M449" s="5">
        <v>0</v>
      </c>
      <c r="N449" s="5">
        <v>0</v>
      </c>
      <c r="O449">
        <v>199</v>
      </c>
      <c r="P449">
        <v>17.649467226800002</v>
      </c>
      <c r="Q449" s="4">
        <v>0.26500000000000001</v>
      </c>
      <c r="R449" s="5">
        <v>17.649467226800002</v>
      </c>
      <c r="S449" s="5">
        <v>0.26500000000000001</v>
      </c>
      <c r="T449">
        <v>396</v>
      </c>
      <c r="U449">
        <v>0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0</v>
      </c>
      <c r="AC449">
        <v>0</v>
      </c>
      <c r="AD449">
        <f t="shared" si="8"/>
        <v>0</v>
      </c>
    </row>
    <row r="450" spans="1:30" x14ac:dyDescent="0.25">
      <c r="A450">
        <v>236</v>
      </c>
      <c r="B450">
        <v>26.474200840200002</v>
      </c>
      <c r="C450" s="4">
        <v>0.26500000000000001</v>
      </c>
      <c r="E450" t="s">
        <v>229</v>
      </c>
      <c r="F450" s="4" t="s">
        <v>229</v>
      </c>
      <c r="H450" t="s">
        <v>229</v>
      </c>
      <c r="I450" s="4" t="s">
        <v>229</v>
      </c>
      <c r="K450" t="s">
        <v>229</v>
      </c>
      <c r="L450" s="4" t="s">
        <v>229</v>
      </c>
      <c r="M450" s="5">
        <v>0</v>
      </c>
      <c r="N450" s="5">
        <v>0</v>
      </c>
      <c r="O450">
        <v>67</v>
      </c>
      <c r="P450">
        <v>17.649467226800002</v>
      </c>
      <c r="Q450" s="4">
        <v>0.26500000000000001</v>
      </c>
      <c r="R450" s="5">
        <v>17.649467226800002</v>
      </c>
      <c r="S450" s="5">
        <v>0.26500000000000001</v>
      </c>
      <c r="T450">
        <v>236</v>
      </c>
      <c r="U450">
        <v>0</v>
      </c>
      <c r="V450">
        <v>0</v>
      </c>
      <c r="W450">
        <v>1</v>
      </c>
      <c r="X450">
        <v>0</v>
      </c>
      <c r="Y450">
        <v>0</v>
      </c>
      <c r="Z450">
        <v>0</v>
      </c>
      <c r="AA450">
        <v>0</v>
      </c>
      <c r="AC450">
        <v>0</v>
      </c>
      <c r="AD450">
        <f t="shared" ref="AD450:AD513" si="9">AC450*U450</f>
        <v>0</v>
      </c>
    </row>
    <row r="451" spans="1:30" x14ac:dyDescent="0.25">
      <c r="A451">
        <v>517</v>
      </c>
      <c r="B451">
        <v>15.393803739999997</v>
      </c>
      <c r="C451" s="4">
        <v>0.17499999999999999</v>
      </c>
      <c r="E451" t="s">
        <v>229</v>
      </c>
      <c r="F451" s="4" t="s">
        <v>229</v>
      </c>
      <c r="H451" t="s">
        <v>229</v>
      </c>
      <c r="I451" s="4" t="s">
        <v>229</v>
      </c>
      <c r="K451" t="s">
        <v>229</v>
      </c>
      <c r="L451" s="4" t="s">
        <v>229</v>
      </c>
      <c r="M451" s="5">
        <v>0</v>
      </c>
      <c r="N451" s="5">
        <v>0</v>
      </c>
      <c r="O451">
        <v>324</v>
      </c>
      <c r="P451">
        <v>75.398222400000023</v>
      </c>
      <c r="Q451" s="4">
        <v>0.4</v>
      </c>
      <c r="R451" s="5">
        <v>75.398222400000023</v>
      </c>
      <c r="S451" s="5">
        <v>0.4</v>
      </c>
      <c r="T451">
        <v>517</v>
      </c>
      <c r="U451">
        <v>0</v>
      </c>
      <c r="V451">
        <v>0</v>
      </c>
      <c r="W451">
        <v>1</v>
      </c>
      <c r="X451">
        <v>0</v>
      </c>
      <c r="Y451">
        <v>0</v>
      </c>
      <c r="Z451">
        <v>0</v>
      </c>
      <c r="AA451">
        <v>0</v>
      </c>
      <c r="AC451">
        <v>0</v>
      </c>
      <c r="AD451">
        <f t="shared" si="9"/>
        <v>0</v>
      </c>
    </row>
    <row r="452" spans="1:30" x14ac:dyDescent="0.25">
      <c r="A452">
        <v>259</v>
      </c>
      <c r="B452">
        <v>11.545352804999998</v>
      </c>
      <c r="C452" s="4">
        <v>0.17499999999999999</v>
      </c>
      <c r="E452" t="s">
        <v>229</v>
      </c>
      <c r="F452" s="4" t="s">
        <v>229</v>
      </c>
      <c r="H452" t="s">
        <v>229</v>
      </c>
      <c r="I452" s="4" t="s">
        <v>229</v>
      </c>
      <c r="K452" t="s">
        <v>229</v>
      </c>
      <c r="L452" s="4" t="s">
        <v>229</v>
      </c>
      <c r="M452" s="5">
        <v>0</v>
      </c>
      <c r="N452" s="5">
        <v>0</v>
      </c>
      <c r="O452">
        <v>312</v>
      </c>
      <c r="P452">
        <v>132.53593781250001</v>
      </c>
      <c r="Q452" s="4">
        <v>0.75</v>
      </c>
      <c r="R452" s="5">
        <v>132.53593781250001</v>
      </c>
      <c r="S452" s="5">
        <v>0.75</v>
      </c>
      <c r="T452">
        <v>259</v>
      </c>
      <c r="U452">
        <v>0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0</v>
      </c>
      <c r="AC452">
        <v>0</v>
      </c>
      <c r="AD452">
        <f t="shared" si="9"/>
        <v>0</v>
      </c>
    </row>
    <row r="453" spans="1:30" x14ac:dyDescent="0.25">
      <c r="A453">
        <v>516</v>
      </c>
      <c r="B453">
        <v>248.81413392000002</v>
      </c>
      <c r="C453" s="4">
        <v>0.6</v>
      </c>
      <c r="E453" t="s">
        <v>229</v>
      </c>
      <c r="F453" s="4" t="s">
        <v>229</v>
      </c>
      <c r="H453" t="s">
        <v>229</v>
      </c>
      <c r="I453" s="4" t="s">
        <v>229</v>
      </c>
      <c r="K453" t="s">
        <v>229</v>
      </c>
      <c r="L453" s="4" t="s">
        <v>229</v>
      </c>
      <c r="M453" s="5">
        <v>0</v>
      </c>
      <c r="N453" s="5">
        <v>0</v>
      </c>
      <c r="O453">
        <v>36</v>
      </c>
      <c r="P453">
        <v>17.649467226800002</v>
      </c>
      <c r="Q453" s="4">
        <v>0.26500000000000001</v>
      </c>
      <c r="R453" s="5">
        <v>17.649467226800002</v>
      </c>
      <c r="S453" s="5">
        <v>0.26500000000000001</v>
      </c>
      <c r="T453">
        <v>516</v>
      </c>
      <c r="U453">
        <v>0</v>
      </c>
      <c r="V453">
        <v>0</v>
      </c>
      <c r="W453">
        <v>1</v>
      </c>
      <c r="X453">
        <v>0</v>
      </c>
      <c r="Y453">
        <v>0</v>
      </c>
      <c r="Z453">
        <v>0</v>
      </c>
      <c r="AA453">
        <v>0</v>
      </c>
      <c r="AC453">
        <v>0</v>
      </c>
      <c r="AD453">
        <f t="shared" si="9"/>
        <v>0</v>
      </c>
    </row>
    <row r="454" spans="1:30" x14ac:dyDescent="0.25">
      <c r="A454">
        <v>397</v>
      </c>
      <c r="B454">
        <v>254.46900059999999</v>
      </c>
      <c r="C454" s="4">
        <v>0.6</v>
      </c>
      <c r="E454" t="s">
        <v>229</v>
      </c>
      <c r="F454" s="4" t="s">
        <v>229</v>
      </c>
      <c r="H454" t="s">
        <v>229</v>
      </c>
      <c r="I454" s="4" t="s">
        <v>229</v>
      </c>
      <c r="K454" t="s">
        <v>229</v>
      </c>
      <c r="L454" s="4" t="s">
        <v>229</v>
      </c>
      <c r="M454" s="5">
        <v>0</v>
      </c>
      <c r="N454" s="5">
        <v>0</v>
      </c>
      <c r="O454">
        <v>36</v>
      </c>
      <c r="P454">
        <v>17.649467226800002</v>
      </c>
      <c r="Q454" s="4">
        <v>0.26500000000000001</v>
      </c>
      <c r="R454" s="5">
        <v>17.649467226800002</v>
      </c>
      <c r="S454" s="5">
        <v>0.26500000000000001</v>
      </c>
      <c r="T454">
        <v>397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0</v>
      </c>
      <c r="AC454">
        <v>0</v>
      </c>
      <c r="AD454">
        <f t="shared" si="9"/>
        <v>0</v>
      </c>
    </row>
    <row r="455" spans="1:30" x14ac:dyDescent="0.25">
      <c r="A455">
        <v>394</v>
      </c>
      <c r="B455">
        <v>21.166480142499999</v>
      </c>
      <c r="C455" s="4">
        <v>0.17499999999999999</v>
      </c>
      <c r="E455" t="s">
        <v>229</v>
      </c>
      <c r="F455" s="4" t="s">
        <v>229</v>
      </c>
      <c r="H455" t="s">
        <v>229</v>
      </c>
      <c r="I455" s="4" t="s">
        <v>229</v>
      </c>
      <c r="K455" t="s">
        <v>229</v>
      </c>
      <c r="L455" s="4" t="s">
        <v>229</v>
      </c>
      <c r="M455" s="5">
        <v>0</v>
      </c>
      <c r="N455" s="5">
        <v>0</v>
      </c>
      <c r="O455">
        <v>222</v>
      </c>
      <c r="P455">
        <v>17.649467226800002</v>
      </c>
      <c r="Q455" s="4">
        <v>0.26500000000000001</v>
      </c>
      <c r="R455" s="5">
        <v>17.649467226800002</v>
      </c>
      <c r="S455" s="5">
        <v>0.26500000000000001</v>
      </c>
      <c r="T455">
        <v>394</v>
      </c>
      <c r="U455">
        <v>0</v>
      </c>
      <c r="V455">
        <v>0</v>
      </c>
      <c r="W455">
        <v>1</v>
      </c>
      <c r="X455">
        <v>0</v>
      </c>
      <c r="Y455">
        <v>0</v>
      </c>
      <c r="Z455">
        <v>0</v>
      </c>
      <c r="AA455">
        <v>0</v>
      </c>
      <c r="AC455">
        <v>0</v>
      </c>
      <c r="AD455">
        <f t="shared" si="9"/>
        <v>0</v>
      </c>
    </row>
    <row r="456" spans="1:30" x14ac:dyDescent="0.25">
      <c r="A456">
        <v>480</v>
      </c>
      <c r="B456">
        <v>16.836972840624998</v>
      </c>
      <c r="C456" s="4">
        <v>0.17499999999999999</v>
      </c>
      <c r="E456" t="s">
        <v>229</v>
      </c>
      <c r="F456" s="4" t="s">
        <v>229</v>
      </c>
      <c r="H456" t="s">
        <v>229</v>
      </c>
      <c r="I456" s="4" t="s">
        <v>229</v>
      </c>
      <c r="K456" t="s">
        <v>229</v>
      </c>
      <c r="L456" s="4" t="s">
        <v>229</v>
      </c>
      <c r="M456" s="5">
        <v>0</v>
      </c>
      <c r="N456" s="5">
        <v>0</v>
      </c>
      <c r="O456">
        <v>228</v>
      </c>
      <c r="P456">
        <v>16.836972840624998</v>
      </c>
      <c r="Q456" s="4">
        <v>0.17499999999999999</v>
      </c>
      <c r="R456" s="5">
        <v>16.836972840624998</v>
      </c>
      <c r="S456" s="5">
        <v>0.17499999999999999</v>
      </c>
      <c r="T456">
        <v>480</v>
      </c>
      <c r="U456">
        <v>0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0</v>
      </c>
      <c r="AC456">
        <v>0</v>
      </c>
      <c r="AD456">
        <f t="shared" si="9"/>
        <v>0</v>
      </c>
    </row>
    <row r="457" spans="1:30" x14ac:dyDescent="0.25">
      <c r="A457">
        <v>389</v>
      </c>
      <c r="B457">
        <v>7.6969018699999987</v>
      </c>
      <c r="C457" s="4">
        <v>0.17499999999999999</v>
      </c>
      <c r="E457" t="s">
        <v>229</v>
      </c>
      <c r="F457" s="4" t="s">
        <v>229</v>
      </c>
      <c r="H457" t="s">
        <v>229</v>
      </c>
      <c r="I457" s="4" t="s">
        <v>229</v>
      </c>
      <c r="K457" t="s">
        <v>229</v>
      </c>
      <c r="L457" s="4" t="s">
        <v>229</v>
      </c>
      <c r="M457" s="5">
        <v>0</v>
      </c>
      <c r="N457" s="5">
        <v>0</v>
      </c>
      <c r="O457">
        <v>66</v>
      </c>
      <c r="P457">
        <v>25.977043811249995</v>
      </c>
      <c r="Q457" s="4">
        <v>0.17499999999999999</v>
      </c>
      <c r="R457" s="5">
        <v>25.977043811249995</v>
      </c>
      <c r="S457" s="5">
        <v>0.17499999999999999</v>
      </c>
      <c r="T457">
        <v>389</v>
      </c>
      <c r="U457">
        <v>0</v>
      </c>
      <c r="V457">
        <v>0</v>
      </c>
      <c r="W457">
        <v>1</v>
      </c>
      <c r="X457">
        <v>0</v>
      </c>
      <c r="Y457">
        <v>0</v>
      </c>
      <c r="Z457">
        <v>0</v>
      </c>
      <c r="AA457">
        <v>0</v>
      </c>
      <c r="AC457">
        <v>0</v>
      </c>
      <c r="AD457">
        <f t="shared" si="9"/>
        <v>0</v>
      </c>
    </row>
    <row r="458" spans="1:30" x14ac:dyDescent="0.25">
      <c r="A458">
        <v>234</v>
      </c>
      <c r="B458">
        <v>11.545352804999998</v>
      </c>
      <c r="C458" s="4">
        <v>0.17499999999999999</v>
      </c>
      <c r="E458" t="s">
        <v>229</v>
      </c>
      <c r="F458" s="4" t="s">
        <v>229</v>
      </c>
      <c r="H458" t="s">
        <v>229</v>
      </c>
      <c r="I458" s="4" t="s">
        <v>229</v>
      </c>
      <c r="K458" t="s">
        <v>229</v>
      </c>
      <c r="L458" s="4" t="s">
        <v>229</v>
      </c>
      <c r="M458" s="5">
        <v>0</v>
      </c>
      <c r="N458" s="5">
        <v>0</v>
      </c>
      <c r="O458">
        <v>66</v>
      </c>
      <c r="P458">
        <v>25.977043811249995</v>
      </c>
      <c r="Q458" s="4">
        <v>0.17499999999999999</v>
      </c>
      <c r="R458" s="5">
        <v>25.977043811249995</v>
      </c>
      <c r="S458" s="5">
        <v>0.17499999999999999</v>
      </c>
      <c r="T458">
        <v>234</v>
      </c>
      <c r="U458">
        <v>0</v>
      </c>
      <c r="V458">
        <v>0</v>
      </c>
      <c r="W458">
        <v>1</v>
      </c>
      <c r="X458">
        <v>0</v>
      </c>
      <c r="Y458">
        <v>0</v>
      </c>
      <c r="Z458">
        <v>0</v>
      </c>
      <c r="AA458">
        <v>0</v>
      </c>
      <c r="AC458">
        <v>0</v>
      </c>
      <c r="AD458">
        <f t="shared" si="9"/>
        <v>0</v>
      </c>
    </row>
    <row r="459" spans="1:30" x14ac:dyDescent="0.25">
      <c r="A459">
        <v>386</v>
      </c>
      <c r="B459">
        <v>19.242254674999998</v>
      </c>
      <c r="C459" s="4">
        <v>0.17499999999999999</v>
      </c>
      <c r="E459" t="s">
        <v>229</v>
      </c>
      <c r="F459" s="4" t="s">
        <v>229</v>
      </c>
      <c r="H459" t="s">
        <v>229</v>
      </c>
      <c r="I459" s="4" t="s">
        <v>229</v>
      </c>
      <c r="K459" t="s">
        <v>229</v>
      </c>
      <c r="L459" s="4" t="s">
        <v>229</v>
      </c>
      <c r="M459" s="5">
        <v>0</v>
      </c>
      <c r="N459" s="5">
        <v>0</v>
      </c>
      <c r="O459">
        <v>64</v>
      </c>
      <c r="P459">
        <v>15.874860106874999</v>
      </c>
      <c r="Q459" s="4">
        <v>0.17499999999999999</v>
      </c>
      <c r="R459" s="5">
        <v>15.874860106874999</v>
      </c>
      <c r="S459" s="5">
        <v>0.17499999999999999</v>
      </c>
      <c r="T459">
        <v>386</v>
      </c>
      <c r="U459">
        <v>0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0</v>
      </c>
      <c r="AC459">
        <v>0</v>
      </c>
      <c r="AD459">
        <f t="shared" si="9"/>
        <v>0</v>
      </c>
    </row>
    <row r="460" spans="1:30" x14ac:dyDescent="0.25">
      <c r="A460">
        <v>1</v>
      </c>
      <c r="B460">
        <v>11.545352804999998</v>
      </c>
      <c r="C460" s="4">
        <v>0.17499999999999999</v>
      </c>
      <c r="E460" t="s">
        <v>229</v>
      </c>
      <c r="F460" s="4" t="s">
        <v>229</v>
      </c>
      <c r="H460" t="s">
        <v>229</v>
      </c>
      <c r="I460" s="4" t="s">
        <v>229</v>
      </c>
      <c r="K460" t="s">
        <v>229</v>
      </c>
      <c r="L460" s="4" t="s">
        <v>229</v>
      </c>
      <c r="M460" s="5">
        <v>0</v>
      </c>
      <c r="N460" s="5">
        <v>0</v>
      </c>
      <c r="O460">
        <v>64</v>
      </c>
      <c r="P460">
        <v>15.874860106874999</v>
      </c>
      <c r="Q460" s="4">
        <v>0.17499999999999999</v>
      </c>
      <c r="R460" s="5">
        <v>15.874860106874999</v>
      </c>
      <c r="S460" s="5">
        <v>0.17499999999999999</v>
      </c>
      <c r="T460">
        <v>1</v>
      </c>
      <c r="U460">
        <v>0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0</v>
      </c>
      <c r="AC460">
        <v>0</v>
      </c>
      <c r="AD460">
        <f t="shared" si="9"/>
        <v>0</v>
      </c>
    </row>
    <row r="461" spans="1:30" x14ac:dyDescent="0.25">
      <c r="A461">
        <v>387</v>
      </c>
      <c r="B461">
        <v>7.6969018699999987</v>
      </c>
      <c r="C461" s="4">
        <v>0.17499999999999999</v>
      </c>
      <c r="E461" t="s">
        <v>229</v>
      </c>
      <c r="F461" s="4" t="s">
        <v>229</v>
      </c>
      <c r="H461" t="s">
        <v>229</v>
      </c>
      <c r="I461" s="4" t="s">
        <v>229</v>
      </c>
      <c r="K461" t="s">
        <v>229</v>
      </c>
      <c r="L461" s="4" t="s">
        <v>229</v>
      </c>
      <c r="M461" s="5">
        <v>0</v>
      </c>
      <c r="N461" s="5">
        <v>0</v>
      </c>
      <c r="O461">
        <v>65</v>
      </c>
      <c r="P461">
        <v>24.052818343749998</v>
      </c>
      <c r="Q461" s="4">
        <v>0.17499999999999999</v>
      </c>
      <c r="R461" s="5">
        <v>24.052818343749998</v>
      </c>
      <c r="S461" s="5">
        <v>0.17499999999999999</v>
      </c>
      <c r="T461">
        <v>387</v>
      </c>
      <c r="U461">
        <v>0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C461">
        <v>0</v>
      </c>
      <c r="AD461">
        <f t="shared" si="9"/>
        <v>0</v>
      </c>
    </row>
    <row r="462" spans="1:30" x14ac:dyDescent="0.25">
      <c r="A462">
        <v>515</v>
      </c>
      <c r="B462">
        <v>16.355916473749996</v>
      </c>
      <c r="C462" s="4">
        <v>0.17499999999999999</v>
      </c>
      <c r="E462" t="s">
        <v>229</v>
      </c>
      <c r="F462" s="4" t="s">
        <v>229</v>
      </c>
      <c r="H462" t="s">
        <v>229</v>
      </c>
      <c r="I462" s="4" t="s">
        <v>229</v>
      </c>
      <c r="K462" t="s">
        <v>229</v>
      </c>
      <c r="L462" s="4" t="s">
        <v>229</v>
      </c>
      <c r="M462" s="5">
        <v>0</v>
      </c>
      <c r="N462" s="5">
        <v>0</v>
      </c>
      <c r="O462">
        <v>325</v>
      </c>
      <c r="P462">
        <v>37.699111200000011</v>
      </c>
      <c r="Q462" s="4">
        <v>0.4</v>
      </c>
      <c r="R462" s="5">
        <v>37.699111200000011</v>
      </c>
      <c r="S462" s="5">
        <v>0.4</v>
      </c>
      <c r="T462">
        <v>515</v>
      </c>
      <c r="U462">
        <v>0</v>
      </c>
      <c r="V462">
        <v>0</v>
      </c>
      <c r="W462">
        <v>1</v>
      </c>
      <c r="X462">
        <v>0</v>
      </c>
      <c r="Y462">
        <v>0</v>
      </c>
      <c r="Z462">
        <v>0</v>
      </c>
      <c r="AA462">
        <v>0</v>
      </c>
      <c r="AC462">
        <v>0</v>
      </c>
      <c r="AD462">
        <f t="shared" si="9"/>
        <v>0</v>
      </c>
    </row>
    <row r="463" spans="1:30" x14ac:dyDescent="0.25">
      <c r="A463">
        <v>502</v>
      </c>
      <c r="B463">
        <v>14.431691006249999</v>
      </c>
      <c r="C463" s="4">
        <v>0.17499999999999999</v>
      </c>
      <c r="E463" t="s">
        <v>229</v>
      </c>
      <c r="F463" s="4" t="s">
        <v>229</v>
      </c>
      <c r="H463" t="s">
        <v>229</v>
      </c>
      <c r="I463" s="4" t="s">
        <v>229</v>
      </c>
      <c r="K463" t="s">
        <v>229</v>
      </c>
      <c r="L463" s="4" t="s">
        <v>229</v>
      </c>
      <c r="M463" s="5">
        <v>0</v>
      </c>
      <c r="N463" s="5">
        <v>0</v>
      </c>
      <c r="O463">
        <v>325</v>
      </c>
      <c r="P463">
        <v>37.699111200000011</v>
      </c>
      <c r="Q463" s="4">
        <v>0.4</v>
      </c>
      <c r="R463" s="5">
        <v>37.699111200000011</v>
      </c>
      <c r="S463" s="5">
        <v>0.4</v>
      </c>
      <c r="T463">
        <v>502</v>
      </c>
      <c r="U463">
        <v>0</v>
      </c>
      <c r="V463">
        <v>0</v>
      </c>
      <c r="W463">
        <v>1</v>
      </c>
      <c r="X463">
        <v>0</v>
      </c>
      <c r="Y463">
        <v>0</v>
      </c>
      <c r="Z463">
        <v>0</v>
      </c>
      <c r="AA463">
        <v>0</v>
      </c>
      <c r="AC463">
        <v>0</v>
      </c>
      <c r="AD463">
        <f t="shared" si="9"/>
        <v>0</v>
      </c>
    </row>
    <row r="464" spans="1:30" x14ac:dyDescent="0.25">
      <c r="A464">
        <v>260</v>
      </c>
      <c r="B464">
        <v>15.079644480000002</v>
      </c>
      <c r="C464" s="4">
        <v>0.2</v>
      </c>
      <c r="E464" t="s">
        <v>229</v>
      </c>
      <c r="F464" s="4" t="s">
        <v>229</v>
      </c>
      <c r="H464" t="s">
        <v>229</v>
      </c>
      <c r="I464" s="4" t="s">
        <v>229</v>
      </c>
      <c r="K464" t="s">
        <v>229</v>
      </c>
      <c r="L464" s="4" t="s">
        <v>229</v>
      </c>
      <c r="M464" s="5">
        <v>0</v>
      </c>
      <c r="N464" s="5">
        <v>0</v>
      </c>
      <c r="O464">
        <v>313</v>
      </c>
      <c r="P464">
        <v>132.53593781250001</v>
      </c>
      <c r="Q464" s="4">
        <v>0.75</v>
      </c>
      <c r="R464" s="5">
        <v>132.53593781250001</v>
      </c>
      <c r="S464" s="5">
        <v>0.75</v>
      </c>
      <c r="T464">
        <v>260</v>
      </c>
      <c r="U464">
        <v>0</v>
      </c>
      <c r="V464">
        <v>0</v>
      </c>
      <c r="W464">
        <v>1</v>
      </c>
      <c r="X464">
        <v>0</v>
      </c>
      <c r="Y464">
        <v>0</v>
      </c>
      <c r="Z464">
        <v>0</v>
      </c>
      <c r="AA464">
        <v>0</v>
      </c>
      <c r="AC464">
        <v>0</v>
      </c>
      <c r="AD464">
        <f t="shared" si="9"/>
        <v>0</v>
      </c>
    </row>
    <row r="465" spans="1:30" x14ac:dyDescent="0.25">
      <c r="A465">
        <v>514</v>
      </c>
      <c r="B465">
        <v>248.81413392000002</v>
      </c>
      <c r="C465" s="4">
        <v>0.6</v>
      </c>
      <c r="E465" t="s">
        <v>229</v>
      </c>
      <c r="F465" s="4" t="s">
        <v>229</v>
      </c>
      <c r="H465" t="s">
        <v>229</v>
      </c>
      <c r="I465" s="4" t="s">
        <v>229</v>
      </c>
      <c r="K465" t="s">
        <v>229</v>
      </c>
      <c r="L465" s="4" t="s">
        <v>229</v>
      </c>
      <c r="M465" s="5">
        <v>0</v>
      </c>
      <c r="N465" s="5">
        <v>0</v>
      </c>
      <c r="O465">
        <v>34</v>
      </c>
      <c r="P465">
        <v>17.649467226800002</v>
      </c>
      <c r="Q465" s="4">
        <v>0.26500000000000001</v>
      </c>
      <c r="R465" s="5">
        <v>17.649467226800002</v>
      </c>
      <c r="S465" s="5">
        <v>0.26500000000000001</v>
      </c>
      <c r="T465">
        <v>514</v>
      </c>
      <c r="U465">
        <v>0</v>
      </c>
      <c r="V465">
        <v>0</v>
      </c>
      <c r="W465">
        <v>1</v>
      </c>
      <c r="X465">
        <v>0</v>
      </c>
      <c r="Y465">
        <v>0</v>
      </c>
      <c r="Z465">
        <v>0</v>
      </c>
      <c r="AA465">
        <v>0</v>
      </c>
      <c r="AC465">
        <v>0</v>
      </c>
      <c r="AD465">
        <f t="shared" si="9"/>
        <v>0</v>
      </c>
    </row>
    <row r="466" spans="1:30" x14ac:dyDescent="0.25">
      <c r="A466">
        <v>395</v>
      </c>
      <c r="B466">
        <v>254.46900059999999</v>
      </c>
      <c r="C466" s="4">
        <v>0.6</v>
      </c>
      <c r="E466" t="s">
        <v>229</v>
      </c>
      <c r="F466" s="4" t="s">
        <v>229</v>
      </c>
      <c r="H466" t="s">
        <v>229</v>
      </c>
      <c r="I466" s="4" t="s">
        <v>229</v>
      </c>
      <c r="K466" t="s">
        <v>229</v>
      </c>
      <c r="L466" s="4" t="s">
        <v>229</v>
      </c>
      <c r="M466" s="5">
        <v>0</v>
      </c>
      <c r="N466" s="5">
        <v>0</v>
      </c>
      <c r="O466">
        <v>34</v>
      </c>
      <c r="P466">
        <v>17.649467226800002</v>
      </c>
      <c r="Q466" s="4">
        <v>0.26500000000000001</v>
      </c>
      <c r="R466" s="5">
        <v>17.649467226800002</v>
      </c>
      <c r="S466" s="5">
        <v>0.26500000000000001</v>
      </c>
      <c r="T466">
        <v>395</v>
      </c>
      <c r="U466">
        <v>0</v>
      </c>
      <c r="V466">
        <v>0</v>
      </c>
      <c r="W466">
        <v>1</v>
      </c>
      <c r="X466">
        <v>0</v>
      </c>
      <c r="Y466">
        <v>0</v>
      </c>
      <c r="Z466">
        <v>0</v>
      </c>
      <c r="AA466">
        <v>0</v>
      </c>
      <c r="AC466">
        <v>0</v>
      </c>
      <c r="AD466">
        <f t="shared" si="9"/>
        <v>0</v>
      </c>
    </row>
    <row r="467" spans="1:30" x14ac:dyDescent="0.25">
      <c r="A467">
        <v>478</v>
      </c>
      <c r="B467">
        <v>20.204367408749999</v>
      </c>
      <c r="C467" s="4">
        <v>0.17499999999999999</v>
      </c>
      <c r="E467" t="s">
        <v>229</v>
      </c>
      <c r="F467" s="4" t="s">
        <v>229</v>
      </c>
      <c r="H467" t="s">
        <v>229</v>
      </c>
      <c r="I467" s="4" t="s">
        <v>229</v>
      </c>
      <c r="K467" t="s">
        <v>229</v>
      </c>
      <c r="L467" s="4" t="s">
        <v>229</v>
      </c>
      <c r="M467" s="5">
        <v>0</v>
      </c>
      <c r="N467" s="5">
        <v>0</v>
      </c>
      <c r="O467">
        <v>225</v>
      </c>
      <c r="P467">
        <v>17.649467226800002</v>
      </c>
      <c r="Q467" s="4">
        <v>0.26500000000000001</v>
      </c>
      <c r="R467" s="5">
        <v>17.649467226800002</v>
      </c>
      <c r="S467" s="5">
        <v>0.26500000000000001</v>
      </c>
      <c r="T467">
        <v>478</v>
      </c>
      <c r="U467">
        <v>0</v>
      </c>
      <c r="V467">
        <v>0</v>
      </c>
      <c r="W467">
        <v>1</v>
      </c>
      <c r="X467">
        <v>0</v>
      </c>
      <c r="Y467">
        <v>0</v>
      </c>
      <c r="Z467">
        <v>0</v>
      </c>
      <c r="AA467">
        <v>0</v>
      </c>
      <c r="AC467">
        <v>0</v>
      </c>
      <c r="AD467">
        <f t="shared" si="9"/>
        <v>0</v>
      </c>
    </row>
    <row r="468" spans="1:30" x14ac:dyDescent="0.25">
      <c r="A468">
        <v>392</v>
      </c>
      <c r="B468">
        <v>21.166480142499999</v>
      </c>
      <c r="C468" s="4">
        <v>0.17499999999999999</v>
      </c>
      <c r="E468" t="s">
        <v>229</v>
      </c>
      <c r="F468" s="4" t="s">
        <v>229</v>
      </c>
      <c r="H468" t="s">
        <v>229</v>
      </c>
      <c r="I468" s="4" t="s">
        <v>229</v>
      </c>
      <c r="K468" t="s">
        <v>229</v>
      </c>
      <c r="L468" s="4" t="s">
        <v>229</v>
      </c>
      <c r="M468" s="5">
        <v>0</v>
      </c>
      <c r="N468" s="5">
        <v>0</v>
      </c>
      <c r="O468">
        <v>225</v>
      </c>
      <c r="P468">
        <v>17.649467226800002</v>
      </c>
      <c r="Q468" s="4">
        <v>0.26500000000000001</v>
      </c>
      <c r="R468" s="5">
        <v>17.649467226800002</v>
      </c>
      <c r="S468" s="5">
        <v>0.26500000000000001</v>
      </c>
      <c r="T468">
        <v>392</v>
      </c>
      <c r="U468">
        <v>0</v>
      </c>
      <c r="V468">
        <v>0</v>
      </c>
      <c r="W468">
        <v>1</v>
      </c>
      <c r="X468">
        <v>0</v>
      </c>
      <c r="Y468">
        <v>0</v>
      </c>
      <c r="Z468">
        <v>0</v>
      </c>
      <c r="AA468">
        <v>0</v>
      </c>
      <c r="AC468">
        <v>0</v>
      </c>
      <c r="AD468">
        <f t="shared" si="9"/>
        <v>0</v>
      </c>
    </row>
    <row r="469" spans="1:30" x14ac:dyDescent="0.25">
      <c r="A469">
        <v>513</v>
      </c>
      <c r="B469">
        <v>17.318029207499997</v>
      </c>
      <c r="C469" s="4">
        <v>0.17499999999999999</v>
      </c>
      <c r="E469" t="s">
        <v>229</v>
      </c>
      <c r="F469" s="4" t="s">
        <v>229</v>
      </c>
      <c r="H469" t="s">
        <v>229</v>
      </c>
      <c r="I469" s="4" t="s">
        <v>229</v>
      </c>
      <c r="K469" t="s">
        <v>229</v>
      </c>
      <c r="L469" s="4" t="s">
        <v>229</v>
      </c>
      <c r="M469" s="5">
        <v>0</v>
      </c>
      <c r="N469" s="5">
        <v>0</v>
      </c>
      <c r="O469">
        <v>326</v>
      </c>
      <c r="P469">
        <v>37.699111200000011</v>
      </c>
      <c r="Q469" s="4">
        <v>0.4</v>
      </c>
      <c r="R469" s="5">
        <v>37.699111200000011</v>
      </c>
      <c r="S469" s="5">
        <v>0.4</v>
      </c>
      <c r="T469">
        <v>513</v>
      </c>
      <c r="U469">
        <v>0</v>
      </c>
      <c r="V469">
        <v>0</v>
      </c>
      <c r="W469">
        <v>1</v>
      </c>
      <c r="X469">
        <v>0</v>
      </c>
      <c r="Y469">
        <v>0</v>
      </c>
      <c r="Z469">
        <v>0</v>
      </c>
      <c r="AA469">
        <v>0</v>
      </c>
      <c r="AC469">
        <v>0</v>
      </c>
      <c r="AD469">
        <f t="shared" si="9"/>
        <v>0</v>
      </c>
    </row>
    <row r="470" spans="1:30" x14ac:dyDescent="0.25">
      <c r="A470">
        <v>507</v>
      </c>
      <c r="B470">
        <v>14.431691006249999</v>
      </c>
      <c r="C470" s="4">
        <v>0.17499999999999999</v>
      </c>
      <c r="E470" t="s">
        <v>229</v>
      </c>
      <c r="F470" s="4" t="s">
        <v>229</v>
      </c>
      <c r="H470" t="s">
        <v>229</v>
      </c>
      <c r="I470" s="4" t="s">
        <v>229</v>
      </c>
      <c r="K470" t="s">
        <v>229</v>
      </c>
      <c r="L470" s="4" t="s">
        <v>229</v>
      </c>
      <c r="M470" s="5">
        <v>0</v>
      </c>
      <c r="N470" s="5">
        <v>0</v>
      </c>
      <c r="O470">
        <v>311</v>
      </c>
      <c r="P470">
        <v>132.53593781250001</v>
      </c>
      <c r="Q470" s="4">
        <v>0.75</v>
      </c>
      <c r="R470" s="5">
        <v>132.53593781250001</v>
      </c>
      <c r="S470" s="5">
        <v>0.75</v>
      </c>
      <c r="T470">
        <v>507</v>
      </c>
      <c r="U470">
        <v>0</v>
      </c>
      <c r="V470">
        <v>0</v>
      </c>
      <c r="W470">
        <v>1</v>
      </c>
      <c r="X470">
        <v>0</v>
      </c>
      <c r="Y470">
        <v>0</v>
      </c>
      <c r="Z470">
        <v>0</v>
      </c>
      <c r="AA470">
        <v>0</v>
      </c>
      <c r="AC470">
        <v>0</v>
      </c>
      <c r="AD470">
        <f t="shared" si="9"/>
        <v>0</v>
      </c>
    </row>
    <row r="471" spans="1:30" x14ac:dyDescent="0.25">
      <c r="A471">
        <v>261</v>
      </c>
      <c r="B471">
        <v>11.545352804999998</v>
      </c>
      <c r="C471" s="4">
        <v>0.17499999999999999</v>
      </c>
      <c r="E471" t="s">
        <v>229</v>
      </c>
      <c r="F471" s="4" t="s">
        <v>229</v>
      </c>
      <c r="H471" t="s">
        <v>229</v>
      </c>
      <c r="I471" s="4" t="s">
        <v>229</v>
      </c>
      <c r="K471" t="s">
        <v>229</v>
      </c>
      <c r="L471" s="4" t="s">
        <v>229</v>
      </c>
      <c r="M471" s="5">
        <v>0</v>
      </c>
      <c r="N471" s="5">
        <v>0</v>
      </c>
      <c r="O471">
        <v>311</v>
      </c>
      <c r="P471">
        <v>132.53593781250001</v>
      </c>
      <c r="Q471" s="4">
        <v>0.75</v>
      </c>
      <c r="R471" s="5">
        <v>132.53593781250001</v>
      </c>
      <c r="S471" s="5">
        <v>0.75</v>
      </c>
      <c r="T471">
        <v>261</v>
      </c>
      <c r="U471">
        <v>0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0</v>
      </c>
      <c r="AC471">
        <v>0</v>
      </c>
      <c r="AD471">
        <f t="shared" si="9"/>
        <v>0</v>
      </c>
    </row>
    <row r="472" spans="1:30" x14ac:dyDescent="0.25">
      <c r="A472">
        <v>512</v>
      </c>
      <c r="B472">
        <v>21.166480142499999</v>
      </c>
      <c r="C472" s="4">
        <v>0.17499999999999999</v>
      </c>
      <c r="E472" t="s">
        <v>229</v>
      </c>
      <c r="F472" s="4" t="s">
        <v>229</v>
      </c>
      <c r="H472" t="s">
        <v>229</v>
      </c>
      <c r="I472" s="4" t="s">
        <v>229</v>
      </c>
      <c r="K472" t="s">
        <v>229</v>
      </c>
      <c r="L472" s="4" t="s">
        <v>229</v>
      </c>
      <c r="M472" s="5">
        <v>0</v>
      </c>
      <c r="N472" s="5">
        <v>0</v>
      </c>
      <c r="O472">
        <v>33</v>
      </c>
      <c r="P472">
        <v>17.649467226800002</v>
      </c>
      <c r="Q472" s="4">
        <v>0.26500000000000001</v>
      </c>
      <c r="R472" s="5">
        <v>17.649467226800002</v>
      </c>
      <c r="S472" s="5">
        <v>0.26500000000000001</v>
      </c>
      <c r="T472">
        <v>512</v>
      </c>
      <c r="U472">
        <v>0</v>
      </c>
      <c r="V472">
        <v>0</v>
      </c>
      <c r="W472">
        <v>1</v>
      </c>
      <c r="X472">
        <v>0</v>
      </c>
      <c r="Y472">
        <v>0</v>
      </c>
      <c r="Z472">
        <v>0</v>
      </c>
      <c r="AA472">
        <v>0</v>
      </c>
      <c r="AC472">
        <v>0</v>
      </c>
      <c r="AD472">
        <f t="shared" si="9"/>
        <v>0</v>
      </c>
    </row>
    <row r="473" spans="1:30" x14ac:dyDescent="0.25">
      <c r="A473">
        <v>393</v>
      </c>
      <c r="B473">
        <v>21.647536509374998</v>
      </c>
      <c r="C473" s="4">
        <v>0.17499999999999999</v>
      </c>
      <c r="E473" t="s">
        <v>229</v>
      </c>
      <c r="F473" s="4" t="s">
        <v>229</v>
      </c>
      <c r="H473" t="s">
        <v>229</v>
      </c>
      <c r="I473" s="4" t="s">
        <v>229</v>
      </c>
      <c r="K473" t="s">
        <v>229</v>
      </c>
      <c r="L473" s="4" t="s">
        <v>229</v>
      </c>
      <c r="M473" s="5">
        <v>0</v>
      </c>
      <c r="N473" s="5">
        <v>0</v>
      </c>
      <c r="O473">
        <v>33</v>
      </c>
      <c r="P473">
        <v>17.649467226800002</v>
      </c>
      <c r="Q473" s="4">
        <v>0.26500000000000001</v>
      </c>
      <c r="R473" s="5">
        <v>17.649467226800002</v>
      </c>
      <c r="S473" s="5">
        <v>0.26500000000000001</v>
      </c>
      <c r="T473">
        <v>393</v>
      </c>
      <c r="U473">
        <v>0</v>
      </c>
      <c r="V473">
        <v>0</v>
      </c>
      <c r="W473">
        <v>1</v>
      </c>
      <c r="X473">
        <v>0</v>
      </c>
      <c r="Y473">
        <v>0</v>
      </c>
      <c r="Z473">
        <v>0</v>
      </c>
      <c r="AA473">
        <v>0</v>
      </c>
      <c r="AC473">
        <v>0</v>
      </c>
      <c r="AD473">
        <f t="shared" si="9"/>
        <v>0</v>
      </c>
    </row>
    <row r="474" spans="1:30" x14ac:dyDescent="0.25">
      <c r="A474">
        <v>511</v>
      </c>
      <c r="B474">
        <v>18.280141941249997</v>
      </c>
      <c r="C474" s="4">
        <v>0.17499999999999999</v>
      </c>
      <c r="E474" t="s">
        <v>229</v>
      </c>
      <c r="F474" s="4" t="s">
        <v>229</v>
      </c>
      <c r="H474" t="s">
        <v>229</v>
      </c>
      <c r="I474" s="4" t="s">
        <v>229</v>
      </c>
      <c r="K474" t="s">
        <v>229</v>
      </c>
      <c r="L474" s="4" t="s">
        <v>229</v>
      </c>
      <c r="M474" s="5">
        <v>0</v>
      </c>
      <c r="N474" s="5">
        <v>0</v>
      </c>
      <c r="O474">
        <v>327</v>
      </c>
      <c r="P474">
        <v>37.699111200000011</v>
      </c>
      <c r="Q474" s="4">
        <v>0.4</v>
      </c>
      <c r="R474" s="5">
        <v>37.699111200000011</v>
      </c>
      <c r="S474" s="5">
        <v>0.4</v>
      </c>
      <c r="T474">
        <v>511</v>
      </c>
      <c r="U474">
        <v>0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0</v>
      </c>
      <c r="AC474">
        <v>0</v>
      </c>
      <c r="AD474">
        <f t="shared" si="9"/>
        <v>0</v>
      </c>
    </row>
    <row r="475" spans="1:30" x14ac:dyDescent="0.25">
      <c r="A475">
        <v>501</v>
      </c>
      <c r="B475">
        <v>14.431691006249999</v>
      </c>
      <c r="C475" s="4">
        <v>0.17499999999999999</v>
      </c>
      <c r="E475" t="s">
        <v>229</v>
      </c>
      <c r="F475" s="4" t="s">
        <v>229</v>
      </c>
      <c r="H475" t="s">
        <v>229</v>
      </c>
      <c r="I475" s="4" t="s">
        <v>229</v>
      </c>
      <c r="K475" t="s">
        <v>229</v>
      </c>
      <c r="L475" s="4" t="s">
        <v>229</v>
      </c>
      <c r="M475" s="5">
        <v>0</v>
      </c>
      <c r="N475" s="5">
        <v>0</v>
      </c>
      <c r="O475">
        <v>327</v>
      </c>
      <c r="P475">
        <v>37.699111200000011</v>
      </c>
      <c r="Q475" s="4">
        <v>0.4</v>
      </c>
      <c r="R475" s="5">
        <v>37.699111200000011</v>
      </c>
      <c r="S475" s="5">
        <v>0.4</v>
      </c>
      <c r="T475">
        <v>501</v>
      </c>
      <c r="U475">
        <v>0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0</v>
      </c>
      <c r="AC475">
        <v>0</v>
      </c>
      <c r="AD475">
        <f t="shared" si="9"/>
        <v>0</v>
      </c>
    </row>
    <row r="476" spans="1:30" x14ac:dyDescent="0.25">
      <c r="A476">
        <v>262</v>
      </c>
      <c r="B476">
        <v>11.545352804999998</v>
      </c>
      <c r="C476" s="4">
        <v>0.17499999999999999</v>
      </c>
      <c r="E476" t="s">
        <v>229</v>
      </c>
      <c r="F476" s="4" t="s">
        <v>229</v>
      </c>
      <c r="H476" t="s">
        <v>229</v>
      </c>
      <c r="I476" s="4" t="s">
        <v>229</v>
      </c>
      <c r="K476" t="s">
        <v>229</v>
      </c>
      <c r="L476" s="4" t="s">
        <v>229</v>
      </c>
      <c r="M476" s="5">
        <v>0</v>
      </c>
      <c r="N476" s="5">
        <v>0</v>
      </c>
      <c r="O476">
        <v>310</v>
      </c>
      <c r="P476">
        <v>132.53593781250001</v>
      </c>
      <c r="Q476" s="4">
        <v>0.75</v>
      </c>
      <c r="R476" s="5">
        <v>132.53593781250001</v>
      </c>
      <c r="S476" s="5">
        <v>0.75</v>
      </c>
      <c r="T476">
        <v>262</v>
      </c>
      <c r="U476">
        <v>0</v>
      </c>
      <c r="V476">
        <v>0</v>
      </c>
      <c r="W476">
        <v>1</v>
      </c>
      <c r="X476">
        <v>0</v>
      </c>
      <c r="Y476">
        <v>0</v>
      </c>
      <c r="Z476">
        <v>0</v>
      </c>
      <c r="AA476">
        <v>0</v>
      </c>
      <c r="AC476">
        <v>0</v>
      </c>
      <c r="AD476">
        <f t="shared" si="9"/>
        <v>0</v>
      </c>
    </row>
    <row r="477" spans="1:30" x14ac:dyDescent="0.25">
      <c r="A477">
        <v>510</v>
      </c>
      <c r="B477">
        <v>21.166480142499999</v>
      </c>
      <c r="C477" s="4">
        <v>0.17499999999999999</v>
      </c>
      <c r="E477" t="s">
        <v>229</v>
      </c>
      <c r="F477" s="4" t="s">
        <v>229</v>
      </c>
      <c r="H477" t="s">
        <v>229</v>
      </c>
      <c r="I477" s="4" t="s">
        <v>229</v>
      </c>
      <c r="K477" t="s">
        <v>229</v>
      </c>
      <c r="L477" s="4" t="s">
        <v>229</v>
      </c>
      <c r="M477" s="5">
        <v>0</v>
      </c>
      <c r="N477" s="5">
        <v>0</v>
      </c>
      <c r="O477">
        <v>32</v>
      </c>
      <c r="P477">
        <v>26.474200840200002</v>
      </c>
      <c r="Q477" s="4">
        <v>0.26500000000000001</v>
      </c>
      <c r="R477" s="5">
        <v>26.474200840200002</v>
      </c>
      <c r="S477" s="5">
        <v>0.26500000000000001</v>
      </c>
      <c r="T477">
        <v>510</v>
      </c>
      <c r="U477">
        <v>0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0</v>
      </c>
      <c r="AC477">
        <v>0</v>
      </c>
      <c r="AD477">
        <f t="shared" si="9"/>
        <v>0</v>
      </c>
    </row>
    <row r="478" spans="1:30" x14ac:dyDescent="0.25">
      <c r="A478">
        <v>479</v>
      </c>
      <c r="B478">
        <v>21.647536509374998</v>
      </c>
      <c r="C478" s="4">
        <v>0.17499999999999999</v>
      </c>
      <c r="E478" t="s">
        <v>229</v>
      </c>
      <c r="F478" s="4" t="s">
        <v>229</v>
      </c>
      <c r="H478" t="s">
        <v>229</v>
      </c>
      <c r="I478" s="4" t="s">
        <v>229</v>
      </c>
      <c r="K478" t="s">
        <v>229</v>
      </c>
      <c r="L478" s="4" t="s">
        <v>229</v>
      </c>
      <c r="M478" s="5">
        <v>0</v>
      </c>
      <c r="N478" s="5">
        <v>0</v>
      </c>
      <c r="O478">
        <v>71</v>
      </c>
      <c r="P478">
        <v>90.477866879999993</v>
      </c>
      <c r="Q478" s="4">
        <v>0.6</v>
      </c>
      <c r="R478" s="5">
        <v>90.477866879999993</v>
      </c>
      <c r="S478" s="5">
        <v>0.6</v>
      </c>
      <c r="T478">
        <v>479</v>
      </c>
      <c r="U478">
        <v>0</v>
      </c>
      <c r="V478">
        <v>0</v>
      </c>
      <c r="W478">
        <v>1</v>
      </c>
      <c r="X478">
        <v>0</v>
      </c>
      <c r="Y478">
        <v>0</v>
      </c>
      <c r="Z478">
        <v>0</v>
      </c>
      <c r="AA478">
        <v>0</v>
      </c>
      <c r="AC478">
        <v>0</v>
      </c>
      <c r="AD478">
        <f t="shared" si="9"/>
        <v>0</v>
      </c>
    </row>
    <row r="479" spans="1:30" x14ac:dyDescent="0.25">
      <c r="A479">
        <v>390</v>
      </c>
      <c r="B479">
        <v>26.939156544999996</v>
      </c>
      <c r="C479" s="4">
        <v>0.17499999999999999</v>
      </c>
      <c r="E479" t="s">
        <v>229</v>
      </c>
      <c r="F479" s="4" t="s">
        <v>229</v>
      </c>
      <c r="H479" t="s">
        <v>229</v>
      </c>
      <c r="I479" s="4" t="s">
        <v>229</v>
      </c>
      <c r="K479" t="s">
        <v>229</v>
      </c>
      <c r="L479" s="4" t="s">
        <v>229</v>
      </c>
      <c r="M479" s="5">
        <v>0</v>
      </c>
      <c r="N479" s="5">
        <v>0</v>
      </c>
      <c r="O479">
        <v>227</v>
      </c>
      <c r="P479">
        <v>33.092751050250008</v>
      </c>
      <c r="Q479" s="4">
        <v>0.26500000000000001</v>
      </c>
      <c r="R479" s="5">
        <v>33.092751050250008</v>
      </c>
      <c r="S479" s="5">
        <v>0.26500000000000001</v>
      </c>
      <c r="T479">
        <v>390</v>
      </c>
      <c r="U479">
        <v>0</v>
      </c>
      <c r="V479">
        <v>0</v>
      </c>
      <c r="W479">
        <v>1</v>
      </c>
      <c r="X479">
        <v>0</v>
      </c>
      <c r="Y479">
        <v>0</v>
      </c>
      <c r="Z479">
        <v>0</v>
      </c>
      <c r="AA479">
        <v>0</v>
      </c>
      <c r="AC479">
        <v>0</v>
      </c>
      <c r="AD479">
        <f t="shared" si="9"/>
        <v>0</v>
      </c>
    </row>
    <row r="480" spans="1:30" x14ac:dyDescent="0.25">
      <c r="A480">
        <v>273</v>
      </c>
      <c r="B480">
        <v>76.969018699999992</v>
      </c>
      <c r="C480" s="4">
        <v>0.17499999999999999</v>
      </c>
      <c r="E480" t="s">
        <v>229</v>
      </c>
      <c r="F480" s="4" t="s">
        <v>229</v>
      </c>
      <c r="H480" t="s">
        <v>229</v>
      </c>
      <c r="I480" s="4" t="s">
        <v>229</v>
      </c>
      <c r="K480" t="s">
        <v>229</v>
      </c>
      <c r="L480" s="4" t="s">
        <v>229</v>
      </c>
      <c r="M480" s="5">
        <v>0</v>
      </c>
      <c r="N480" s="5">
        <v>0</v>
      </c>
      <c r="O480">
        <v>227</v>
      </c>
      <c r="P480">
        <v>33.092751050250008</v>
      </c>
      <c r="Q480" s="4">
        <v>0.26500000000000001</v>
      </c>
      <c r="R480" s="5">
        <v>33.092751050250008</v>
      </c>
      <c r="S480" s="5">
        <v>0.26500000000000001</v>
      </c>
      <c r="T480">
        <v>273</v>
      </c>
      <c r="U480">
        <v>0</v>
      </c>
      <c r="V480">
        <v>0</v>
      </c>
      <c r="W480">
        <v>1</v>
      </c>
      <c r="X480">
        <v>0</v>
      </c>
      <c r="Y480">
        <v>0</v>
      </c>
      <c r="Z480">
        <v>0</v>
      </c>
      <c r="AA480">
        <v>0</v>
      </c>
      <c r="AC480">
        <v>0</v>
      </c>
      <c r="AD480">
        <f t="shared" si="9"/>
        <v>0</v>
      </c>
    </row>
    <row r="481" spans="1:30" x14ac:dyDescent="0.25">
      <c r="A481">
        <v>509</v>
      </c>
      <c r="B481">
        <v>18.761198308124996</v>
      </c>
      <c r="C481" s="4">
        <v>0.17499999999999999</v>
      </c>
      <c r="E481" t="s">
        <v>229</v>
      </c>
      <c r="F481" s="4" t="s">
        <v>229</v>
      </c>
      <c r="H481" t="s">
        <v>229</v>
      </c>
      <c r="I481" s="4" t="s">
        <v>229</v>
      </c>
      <c r="K481" t="s">
        <v>229</v>
      </c>
      <c r="L481" s="4" t="s">
        <v>229</v>
      </c>
      <c r="M481" s="5">
        <v>0</v>
      </c>
      <c r="N481" s="5">
        <v>0</v>
      </c>
      <c r="O481">
        <v>329</v>
      </c>
      <c r="P481">
        <v>37.699111200000011</v>
      </c>
      <c r="Q481" s="4">
        <v>0.4</v>
      </c>
      <c r="R481" s="5">
        <v>37.699111200000011</v>
      </c>
      <c r="S481" s="5">
        <v>0.4</v>
      </c>
      <c r="T481">
        <v>509</v>
      </c>
      <c r="U481">
        <v>0</v>
      </c>
      <c r="V481">
        <v>0</v>
      </c>
      <c r="W481">
        <v>1</v>
      </c>
      <c r="X481">
        <v>0</v>
      </c>
      <c r="Y481">
        <v>0</v>
      </c>
      <c r="Z481">
        <v>0</v>
      </c>
      <c r="AA481">
        <v>0</v>
      </c>
      <c r="AC481">
        <v>0</v>
      </c>
      <c r="AD481">
        <f t="shared" si="9"/>
        <v>0</v>
      </c>
    </row>
    <row r="482" spans="1:30" x14ac:dyDescent="0.25">
      <c r="A482">
        <v>500</v>
      </c>
      <c r="B482">
        <v>14.431691006249999</v>
      </c>
      <c r="C482" s="4">
        <v>0.17499999999999999</v>
      </c>
      <c r="E482" t="s">
        <v>229</v>
      </c>
      <c r="F482" s="4" t="s">
        <v>229</v>
      </c>
      <c r="H482" t="s">
        <v>229</v>
      </c>
      <c r="I482" s="4" t="s">
        <v>229</v>
      </c>
      <c r="K482" t="s">
        <v>229</v>
      </c>
      <c r="L482" s="4" t="s">
        <v>229</v>
      </c>
      <c r="M482" s="5">
        <v>0</v>
      </c>
      <c r="N482" s="5">
        <v>0</v>
      </c>
      <c r="O482">
        <v>329</v>
      </c>
      <c r="P482">
        <v>37.699111200000011</v>
      </c>
      <c r="Q482" s="4">
        <v>0.4</v>
      </c>
      <c r="R482" s="5">
        <v>37.699111200000011</v>
      </c>
      <c r="S482" s="5">
        <v>0.4</v>
      </c>
      <c r="T482">
        <v>500</v>
      </c>
      <c r="U482">
        <v>0</v>
      </c>
      <c r="V482">
        <v>0</v>
      </c>
      <c r="W482">
        <v>1</v>
      </c>
      <c r="X482">
        <v>0</v>
      </c>
      <c r="Y482">
        <v>0</v>
      </c>
      <c r="Z482">
        <v>0</v>
      </c>
      <c r="AA482">
        <v>0</v>
      </c>
      <c r="AC482">
        <v>0</v>
      </c>
      <c r="AD482">
        <f t="shared" si="9"/>
        <v>0</v>
      </c>
    </row>
    <row r="483" spans="1:30" x14ac:dyDescent="0.25">
      <c r="A483">
        <v>508</v>
      </c>
      <c r="B483">
        <v>14.431691006249999</v>
      </c>
      <c r="C483" s="4">
        <v>0.17499999999999999</v>
      </c>
      <c r="E483" t="s">
        <v>229</v>
      </c>
      <c r="F483" s="4" t="s">
        <v>229</v>
      </c>
      <c r="H483" t="s">
        <v>229</v>
      </c>
      <c r="I483" s="4" t="s">
        <v>229</v>
      </c>
      <c r="K483" t="s">
        <v>229</v>
      </c>
      <c r="L483" s="4" t="s">
        <v>229</v>
      </c>
      <c r="M483" s="5">
        <v>0</v>
      </c>
      <c r="N483" s="5">
        <v>0</v>
      </c>
      <c r="O483">
        <v>309</v>
      </c>
      <c r="P483">
        <v>84.823000199999996</v>
      </c>
      <c r="Q483" s="4">
        <v>0.6</v>
      </c>
      <c r="R483" s="5">
        <v>84.823000199999996</v>
      </c>
      <c r="S483" s="5">
        <v>0.6</v>
      </c>
      <c r="T483">
        <v>508</v>
      </c>
      <c r="U483">
        <v>0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0</v>
      </c>
      <c r="AC483">
        <v>0</v>
      </c>
      <c r="AD483">
        <f t="shared" si="9"/>
        <v>0</v>
      </c>
    </row>
    <row r="484" spans="1:30" x14ac:dyDescent="0.25">
      <c r="A484">
        <v>263</v>
      </c>
      <c r="B484">
        <v>15.079644480000002</v>
      </c>
      <c r="C484" s="4">
        <v>0.2</v>
      </c>
      <c r="E484" t="s">
        <v>229</v>
      </c>
      <c r="F484" s="4" t="s">
        <v>229</v>
      </c>
      <c r="H484" t="s">
        <v>229</v>
      </c>
      <c r="I484" s="4" t="s">
        <v>229</v>
      </c>
      <c r="K484" t="s">
        <v>229</v>
      </c>
      <c r="L484" s="4" t="s">
        <v>229</v>
      </c>
      <c r="M484" s="5">
        <v>0</v>
      </c>
      <c r="N484" s="5">
        <v>0</v>
      </c>
      <c r="O484">
        <v>309</v>
      </c>
      <c r="P484">
        <v>84.823000199999996</v>
      </c>
      <c r="Q484" s="4">
        <v>0.6</v>
      </c>
      <c r="R484" s="5">
        <v>84.823000199999996</v>
      </c>
      <c r="S484" s="5">
        <v>0.6</v>
      </c>
      <c r="T484">
        <v>263</v>
      </c>
      <c r="U484">
        <v>0</v>
      </c>
      <c r="V484">
        <v>0</v>
      </c>
      <c r="W484">
        <v>1</v>
      </c>
      <c r="X484">
        <v>0</v>
      </c>
      <c r="Y484">
        <v>0</v>
      </c>
      <c r="Z484">
        <v>0</v>
      </c>
      <c r="AA484">
        <v>0</v>
      </c>
      <c r="AC484">
        <v>0</v>
      </c>
      <c r="AD484">
        <f t="shared" si="9"/>
        <v>0</v>
      </c>
    </row>
    <row r="485" spans="1:30" x14ac:dyDescent="0.25">
      <c r="A485">
        <v>391</v>
      </c>
      <c r="B485">
        <v>21.647536509374998</v>
      </c>
      <c r="C485" s="4">
        <v>0.17499999999999999</v>
      </c>
      <c r="E485" t="s">
        <v>229</v>
      </c>
      <c r="F485" s="4" t="s">
        <v>229</v>
      </c>
      <c r="H485" t="s">
        <v>229</v>
      </c>
      <c r="I485" s="4" t="s">
        <v>229</v>
      </c>
      <c r="K485" t="s">
        <v>229</v>
      </c>
      <c r="L485" s="4" t="s">
        <v>229</v>
      </c>
      <c r="M485" s="5">
        <v>0</v>
      </c>
      <c r="N485" s="5">
        <v>0</v>
      </c>
      <c r="O485">
        <v>31</v>
      </c>
      <c r="P485">
        <v>8.8247336134000012</v>
      </c>
      <c r="Q485" s="4">
        <v>0.26500000000000001</v>
      </c>
      <c r="R485" s="5">
        <v>8.8247336134000012</v>
      </c>
      <c r="S485" s="5">
        <v>0.26500000000000001</v>
      </c>
      <c r="T485">
        <v>391</v>
      </c>
      <c r="U485">
        <v>0</v>
      </c>
      <c r="V485">
        <v>0</v>
      </c>
      <c r="W485">
        <v>1</v>
      </c>
      <c r="X485">
        <v>0</v>
      </c>
      <c r="Y485">
        <v>0</v>
      </c>
      <c r="Z485">
        <v>0</v>
      </c>
      <c r="AA485">
        <v>0</v>
      </c>
      <c r="AC485">
        <v>0</v>
      </c>
      <c r="AD485">
        <f t="shared" si="9"/>
        <v>0</v>
      </c>
    </row>
    <row r="486" spans="1:30" x14ac:dyDescent="0.25">
      <c r="A486">
        <v>495</v>
      </c>
      <c r="B486">
        <v>19.242254674999998</v>
      </c>
      <c r="C486" s="4">
        <v>0.17499999999999999</v>
      </c>
      <c r="E486" t="s">
        <v>229</v>
      </c>
      <c r="F486" s="4" t="s">
        <v>229</v>
      </c>
      <c r="H486" t="s">
        <v>229</v>
      </c>
      <c r="I486" s="4" t="s">
        <v>229</v>
      </c>
      <c r="K486" t="s">
        <v>229</v>
      </c>
      <c r="L486" s="4" t="s">
        <v>229</v>
      </c>
      <c r="M486" s="5">
        <v>0</v>
      </c>
      <c r="N486" s="5">
        <v>0</v>
      </c>
      <c r="O486">
        <v>299</v>
      </c>
      <c r="P486">
        <v>40.212385280000007</v>
      </c>
      <c r="Q486" s="4">
        <v>0.4</v>
      </c>
      <c r="R486" s="5">
        <v>40.212385280000007</v>
      </c>
      <c r="S486" s="5">
        <v>0.4</v>
      </c>
      <c r="T486">
        <v>495</v>
      </c>
      <c r="U486">
        <v>0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0</v>
      </c>
      <c r="AC486">
        <v>0</v>
      </c>
      <c r="AD486">
        <f t="shared" si="9"/>
        <v>0</v>
      </c>
    </row>
    <row r="487" spans="1:30" x14ac:dyDescent="0.25">
      <c r="A487">
        <v>486</v>
      </c>
      <c r="B487">
        <v>14.431691006249999</v>
      </c>
      <c r="C487" s="4">
        <v>0.17499999999999999</v>
      </c>
      <c r="E487" t="s">
        <v>229</v>
      </c>
      <c r="F487" s="4" t="s">
        <v>229</v>
      </c>
      <c r="H487" t="s">
        <v>229</v>
      </c>
      <c r="I487" s="4" t="s">
        <v>229</v>
      </c>
      <c r="K487" t="s">
        <v>229</v>
      </c>
      <c r="L487" s="4" t="s">
        <v>229</v>
      </c>
      <c r="M487" s="5">
        <v>0</v>
      </c>
      <c r="N487" s="5">
        <v>0</v>
      </c>
      <c r="O487">
        <v>299</v>
      </c>
      <c r="P487">
        <v>40.212385280000007</v>
      </c>
      <c r="Q487" s="4">
        <v>0.4</v>
      </c>
      <c r="R487" s="5">
        <v>40.212385280000007</v>
      </c>
      <c r="S487" s="5">
        <v>0.4</v>
      </c>
      <c r="T487">
        <v>486</v>
      </c>
      <c r="U487">
        <v>0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0</v>
      </c>
      <c r="AC487">
        <v>0</v>
      </c>
      <c r="AD487">
        <f t="shared" si="9"/>
        <v>0</v>
      </c>
    </row>
    <row r="488" spans="1:30" x14ac:dyDescent="0.25">
      <c r="A488">
        <v>264</v>
      </c>
      <c r="B488">
        <v>11.545352804999998</v>
      </c>
      <c r="C488" s="4">
        <v>0.17499999999999999</v>
      </c>
      <c r="E488" t="s">
        <v>229</v>
      </c>
      <c r="F488" s="4" t="s">
        <v>229</v>
      </c>
      <c r="H488" t="s">
        <v>229</v>
      </c>
      <c r="I488" s="4" t="s">
        <v>229</v>
      </c>
      <c r="K488" t="s">
        <v>229</v>
      </c>
      <c r="L488" s="4" t="s">
        <v>229</v>
      </c>
      <c r="M488" s="5">
        <v>0</v>
      </c>
      <c r="N488" s="5">
        <v>0</v>
      </c>
      <c r="O488">
        <v>308</v>
      </c>
      <c r="P488">
        <v>84.823000199999996</v>
      </c>
      <c r="Q488" s="4">
        <v>0.6</v>
      </c>
      <c r="R488" s="5">
        <v>84.823000199999996</v>
      </c>
      <c r="S488" s="5">
        <v>0.6</v>
      </c>
      <c r="T488">
        <v>264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0</v>
      </c>
      <c r="AC488">
        <v>0</v>
      </c>
      <c r="AD488">
        <f t="shared" si="9"/>
        <v>0</v>
      </c>
    </row>
    <row r="489" spans="1:30" x14ac:dyDescent="0.25">
      <c r="A489">
        <v>496</v>
      </c>
      <c r="B489">
        <v>7.6969018699999987</v>
      </c>
      <c r="C489" s="4">
        <v>0.17499999999999999</v>
      </c>
      <c r="E489" t="s">
        <v>229</v>
      </c>
      <c r="F489" s="4" t="s">
        <v>229</v>
      </c>
      <c r="H489" t="s">
        <v>229</v>
      </c>
      <c r="I489" s="4" t="s">
        <v>229</v>
      </c>
      <c r="K489" t="s">
        <v>229</v>
      </c>
      <c r="L489" s="4" t="s">
        <v>229</v>
      </c>
      <c r="M489" s="5">
        <v>0</v>
      </c>
      <c r="N489" s="5">
        <v>0</v>
      </c>
      <c r="O489">
        <v>330</v>
      </c>
      <c r="P489">
        <v>7.6969018699999987</v>
      </c>
      <c r="Q489" s="4">
        <v>0.17499999999999999</v>
      </c>
      <c r="R489" s="5">
        <v>7.6969018699999987</v>
      </c>
      <c r="S489" s="5">
        <v>0.17499999999999999</v>
      </c>
      <c r="T489">
        <v>496</v>
      </c>
      <c r="U489">
        <v>0</v>
      </c>
      <c r="V489">
        <v>0</v>
      </c>
      <c r="W489">
        <v>1</v>
      </c>
      <c r="X489">
        <v>0</v>
      </c>
      <c r="Y489">
        <v>0</v>
      </c>
      <c r="Z489">
        <v>0</v>
      </c>
      <c r="AA489">
        <v>0</v>
      </c>
      <c r="AC489">
        <v>0</v>
      </c>
      <c r="AD489">
        <f t="shared" si="9"/>
        <v>0</v>
      </c>
    </row>
    <row r="490" spans="1:30" x14ac:dyDescent="0.25">
      <c r="A490">
        <v>372</v>
      </c>
      <c r="B490">
        <v>7.6969018699999987</v>
      </c>
      <c r="C490" s="4">
        <v>0.17499999999999999</v>
      </c>
      <c r="E490" t="s">
        <v>229</v>
      </c>
      <c r="F490" s="4" t="s">
        <v>229</v>
      </c>
      <c r="H490" t="s">
        <v>229</v>
      </c>
      <c r="I490" s="4" t="s">
        <v>229</v>
      </c>
      <c r="K490" t="s">
        <v>229</v>
      </c>
      <c r="L490" s="4" t="s">
        <v>229</v>
      </c>
      <c r="M490" s="5">
        <v>0</v>
      </c>
      <c r="N490" s="5">
        <v>0</v>
      </c>
      <c r="O490">
        <v>29</v>
      </c>
      <c r="P490">
        <v>260.12386727999996</v>
      </c>
      <c r="Q490" s="4">
        <v>0.6</v>
      </c>
      <c r="R490" s="5">
        <v>260.12386727999996</v>
      </c>
      <c r="S490" s="5">
        <v>0.6</v>
      </c>
      <c r="T490">
        <v>372</v>
      </c>
      <c r="U490">
        <v>0</v>
      </c>
      <c r="V490">
        <v>0</v>
      </c>
      <c r="W490">
        <v>1</v>
      </c>
      <c r="X490">
        <v>0</v>
      </c>
      <c r="Y490">
        <v>0</v>
      </c>
      <c r="Z490">
        <v>0</v>
      </c>
      <c r="AA490">
        <v>0</v>
      </c>
      <c r="AC490">
        <v>0</v>
      </c>
      <c r="AD490">
        <f t="shared" si="9"/>
        <v>0</v>
      </c>
    </row>
    <row r="491" spans="1:30" x14ac:dyDescent="0.25">
      <c r="A491">
        <v>497</v>
      </c>
      <c r="B491">
        <v>20.204367408749999</v>
      </c>
      <c r="C491" s="4">
        <v>0.17499999999999999</v>
      </c>
      <c r="E491" t="s">
        <v>229</v>
      </c>
      <c r="F491" s="4" t="s">
        <v>229</v>
      </c>
      <c r="H491" t="s">
        <v>229</v>
      </c>
      <c r="I491" s="4" t="s">
        <v>229</v>
      </c>
      <c r="K491" t="s">
        <v>229</v>
      </c>
      <c r="L491" s="4" t="s">
        <v>229</v>
      </c>
      <c r="M491" s="5">
        <v>0</v>
      </c>
      <c r="N491" s="5">
        <v>0</v>
      </c>
      <c r="O491">
        <v>298</v>
      </c>
      <c r="P491">
        <v>15.707962999999999</v>
      </c>
      <c r="Q491" s="4">
        <v>0.25</v>
      </c>
      <c r="R491" s="5">
        <v>15.707962999999999</v>
      </c>
      <c r="S491" s="5">
        <v>0.25</v>
      </c>
      <c r="T491">
        <v>497</v>
      </c>
      <c r="U491">
        <v>0</v>
      </c>
      <c r="V491">
        <v>0</v>
      </c>
      <c r="W491">
        <v>1</v>
      </c>
      <c r="X491">
        <v>0</v>
      </c>
      <c r="Y491">
        <v>0</v>
      </c>
      <c r="Z491">
        <v>0</v>
      </c>
      <c r="AA491">
        <v>0</v>
      </c>
      <c r="AC491">
        <v>0</v>
      </c>
      <c r="AD491">
        <f t="shared" si="9"/>
        <v>0</v>
      </c>
    </row>
    <row r="492" spans="1:30" x14ac:dyDescent="0.25">
      <c r="A492">
        <v>487</v>
      </c>
      <c r="B492">
        <v>14.431691006249999</v>
      </c>
      <c r="C492" s="4">
        <v>0.17499999999999999</v>
      </c>
      <c r="E492" t="s">
        <v>229</v>
      </c>
      <c r="F492" s="4" t="s">
        <v>229</v>
      </c>
      <c r="H492" t="s">
        <v>229</v>
      </c>
      <c r="I492" s="4" t="s">
        <v>229</v>
      </c>
      <c r="K492" t="s">
        <v>229</v>
      </c>
      <c r="L492" s="4" t="s">
        <v>229</v>
      </c>
      <c r="M492" s="5">
        <v>0</v>
      </c>
      <c r="N492" s="5">
        <v>0</v>
      </c>
      <c r="O492">
        <v>298</v>
      </c>
      <c r="P492">
        <v>15.707962999999999</v>
      </c>
      <c r="Q492" s="4">
        <v>0.25</v>
      </c>
      <c r="R492" s="5">
        <v>15.707962999999999</v>
      </c>
      <c r="S492" s="5">
        <v>0.25</v>
      </c>
      <c r="T492">
        <v>487</v>
      </c>
      <c r="U492">
        <v>0</v>
      </c>
      <c r="V492">
        <v>0</v>
      </c>
      <c r="W492">
        <v>1</v>
      </c>
      <c r="X492">
        <v>0</v>
      </c>
      <c r="Y492">
        <v>0</v>
      </c>
      <c r="Z492">
        <v>0</v>
      </c>
      <c r="AA492">
        <v>0</v>
      </c>
      <c r="AC492">
        <v>0</v>
      </c>
      <c r="AD492">
        <f t="shared" si="9"/>
        <v>0</v>
      </c>
    </row>
    <row r="493" spans="1:30" x14ac:dyDescent="0.25">
      <c r="A493">
        <v>265</v>
      </c>
      <c r="B493">
        <v>26.474200840200002</v>
      </c>
      <c r="C493" s="4">
        <v>0.26500000000000001</v>
      </c>
      <c r="E493" t="s">
        <v>229</v>
      </c>
      <c r="F493" s="4" t="s">
        <v>229</v>
      </c>
      <c r="H493" t="s">
        <v>229</v>
      </c>
      <c r="I493" s="4" t="s">
        <v>229</v>
      </c>
      <c r="K493" t="s">
        <v>229</v>
      </c>
      <c r="L493" s="4" t="s">
        <v>229</v>
      </c>
      <c r="M493" s="5">
        <v>0</v>
      </c>
      <c r="N493" s="5">
        <v>0</v>
      </c>
      <c r="O493">
        <v>307</v>
      </c>
      <c r="P493">
        <v>84.823000199999996</v>
      </c>
      <c r="Q493" s="4">
        <v>0.6</v>
      </c>
      <c r="R493" s="5">
        <v>84.823000199999996</v>
      </c>
      <c r="S493" s="5">
        <v>0.6</v>
      </c>
      <c r="T493">
        <v>265</v>
      </c>
      <c r="U493">
        <v>0</v>
      </c>
      <c r="V493">
        <v>0</v>
      </c>
      <c r="W493">
        <v>1</v>
      </c>
      <c r="X493">
        <v>0</v>
      </c>
      <c r="Y493">
        <v>0</v>
      </c>
      <c r="Z493">
        <v>0</v>
      </c>
      <c r="AA493">
        <v>0</v>
      </c>
      <c r="AC493">
        <v>0</v>
      </c>
      <c r="AD493">
        <f t="shared" si="9"/>
        <v>0</v>
      </c>
    </row>
    <row r="494" spans="1:30" x14ac:dyDescent="0.25">
      <c r="A494">
        <v>302</v>
      </c>
      <c r="B494">
        <v>6.2831852000000019</v>
      </c>
      <c r="C494" s="4">
        <v>0.2</v>
      </c>
      <c r="E494" t="s">
        <v>229</v>
      </c>
      <c r="F494" s="4" t="s">
        <v>229</v>
      </c>
      <c r="H494" t="s">
        <v>229</v>
      </c>
      <c r="I494" s="4" t="s">
        <v>229</v>
      </c>
      <c r="K494" t="s">
        <v>229</v>
      </c>
      <c r="L494" s="4" t="s">
        <v>229</v>
      </c>
      <c r="M494" s="5">
        <v>0</v>
      </c>
      <c r="N494" s="5">
        <v>0</v>
      </c>
      <c r="O494">
        <v>303</v>
      </c>
      <c r="P494">
        <v>226.1946672</v>
      </c>
      <c r="Q494" s="4">
        <v>0.6</v>
      </c>
      <c r="R494" s="5">
        <v>226.1946672</v>
      </c>
      <c r="S494" s="5">
        <v>0.6</v>
      </c>
      <c r="T494">
        <v>302</v>
      </c>
      <c r="U494">
        <v>0</v>
      </c>
      <c r="V494">
        <v>0</v>
      </c>
      <c r="W494">
        <v>1</v>
      </c>
      <c r="X494">
        <v>0</v>
      </c>
      <c r="Y494">
        <v>0</v>
      </c>
      <c r="Z494">
        <v>0</v>
      </c>
      <c r="AA494">
        <v>0</v>
      </c>
      <c r="AC494">
        <v>0</v>
      </c>
      <c r="AD494">
        <f t="shared" si="9"/>
        <v>0</v>
      </c>
    </row>
    <row r="495" spans="1:30" x14ac:dyDescent="0.25">
      <c r="A495">
        <v>272</v>
      </c>
      <c r="B495">
        <v>52.916200356249988</v>
      </c>
      <c r="C495" s="4">
        <v>0.17499999999999999</v>
      </c>
      <c r="E495" t="s">
        <v>229</v>
      </c>
      <c r="F495" s="4" t="s">
        <v>229</v>
      </c>
      <c r="H495" t="s">
        <v>229</v>
      </c>
      <c r="I495" s="4" t="s">
        <v>229</v>
      </c>
      <c r="K495" t="s">
        <v>229</v>
      </c>
      <c r="L495" s="4" t="s">
        <v>229</v>
      </c>
      <c r="M495" s="5">
        <v>0</v>
      </c>
      <c r="N495" s="5">
        <v>0</v>
      </c>
      <c r="O495">
        <v>303</v>
      </c>
      <c r="P495">
        <v>226.1946672</v>
      </c>
      <c r="Q495" s="4">
        <v>0.6</v>
      </c>
      <c r="R495" s="5">
        <v>226.1946672</v>
      </c>
      <c r="S495" s="5">
        <v>0.6</v>
      </c>
      <c r="T495">
        <v>272</v>
      </c>
      <c r="U495">
        <v>0</v>
      </c>
      <c r="V495">
        <v>0</v>
      </c>
      <c r="W495">
        <v>1</v>
      </c>
      <c r="X495">
        <v>0</v>
      </c>
      <c r="Y495">
        <v>0</v>
      </c>
      <c r="Z495">
        <v>0</v>
      </c>
      <c r="AA495">
        <v>0</v>
      </c>
      <c r="AC495">
        <v>0</v>
      </c>
      <c r="AD495">
        <f t="shared" si="9"/>
        <v>0</v>
      </c>
    </row>
    <row r="496" spans="1:30" x14ac:dyDescent="0.25">
      <c r="A496">
        <v>498</v>
      </c>
      <c r="B496">
        <v>110.58405952000003</v>
      </c>
      <c r="C496" s="4">
        <v>0.4</v>
      </c>
      <c r="E496" t="s">
        <v>229</v>
      </c>
      <c r="F496" s="4" t="s">
        <v>229</v>
      </c>
      <c r="H496" t="s">
        <v>229</v>
      </c>
      <c r="I496" s="4" t="s">
        <v>229</v>
      </c>
      <c r="K496" t="s">
        <v>229</v>
      </c>
      <c r="L496" s="4" t="s">
        <v>229</v>
      </c>
      <c r="M496" s="5">
        <v>0</v>
      </c>
      <c r="N496" s="5">
        <v>0</v>
      </c>
      <c r="O496">
        <v>297</v>
      </c>
      <c r="P496">
        <v>10.053096320000002</v>
      </c>
      <c r="Q496" s="4">
        <v>0.2</v>
      </c>
      <c r="R496" s="5">
        <v>10.053096320000002</v>
      </c>
      <c r="S496" s="5">
        <v>0.2</v>
      </c>
      <c r="T496">
        <v>498</v>
      </c>
      <c r="U496">
        <v>0</v>
      </c>
      <c r="V496">
        <v>0</v>
      </c>
      <c r="W496">
        <v>1</v>
      </c>
      <c r="X496">
        <v>0</v>
      </c>
      <c r="Y496">
        <v>0</v>
      </c>
      <c r="Z496">
        <v>0</v>
      </c>
      <c r="AA496">
        <v>0</v>
      </c>
      <c r="AC496">
        <v>0</v>
      </c>
      <c r="AD496">
        <f t="shared" si="9"/>
        <v>0</v>
      </c>
    </row>
    <row r="497" spans="1:30" x14ac:dyDescent="0.25">
      <c r="A497">
        <v>488</v>
      </c>
      <c r="B497">
        <v>42.411500099999998</v>
      </c>
      <c r="C497" s="4">
        <v>0.3</v>
      </c>
      <c r="E497" t="s">
        <v>229</v>
      </c>
      <c r="F497" s="4" t="s">
        <v>229</v>
      </c>
      <c r="H497" t="s">
        <v>229</v>
      </c>
      <c r="I497" s="4" t="s">
        <v>229</v>
      </c>
      <c r="K497" t="s">
        <v>229</v>
      </c>
      <c r="L497" s="4" t="s">
        <v>229</v>
      </c>
      <c r="M497" s="5">
        <v>0</v>
      </c>
      <c r="N497" s="5">
        <v>0</v>
      </c>
      <c r="O497">
        <v>297</v>
      </c>
      <c r="P497">
        <v>10.053096320000002</v>
      </c>
      <c r="Q497" s="4">
        <v>0.2</v>
      </c>
      <c r="R497" s="5">
        <v>10.053096320000002</v>
      </c>
      <c r="S497" s="5">
        <v>0.2</v>
      </c>
      <c r="T497">
        <v>488</v>
      </c>
      <c r="U497">
        <v>0</v>
      </c>
      <c r="V497">
        <v>0</v>
      </c>
      <c r="W497">
        <v>1</v>
      </c>
      <c r="X497">
        <v>0</v>
      </c>
      <c r="Y497">
        <v>0</v>
      </c>
      <c r="Z497">
        <v>0</v>
      </c>
      <c r="AA497">
        <v>0</v>
      </c>
      <c r="AC497">
        <v>0</v>
      </c>
      <c r="AD497">
        <f t="shared" si="9"/>
        <v>0</v>
      </c>
    </row>
    <row r="498" spans="1:30" x14ac:dyDescent="0.25">
      <c r="A498">
        <v>499</v>
      </c>
      <c r="B498">
        <v>7.6969018699999987</v>
      </c>
      <c r="C498" s="4">
        <v>0.17499999999999999</v>
      </c>
      <c r="E498" t="s">
        <v>229</v>
      </c>
      <c r="F498" s="4" t="s">
        <v>229</v>
      </c>
      <c r="H498" t="s">
        <v>229</v>
      </c>
      <c r="I498" s="4" t="s">
        <v>229</v>
      </c>
      <c r="K498" t="s">
        <v>229</v>
      </c>
      <c r="L498" s="4" t="s">
        <v>229</v>
      </c>
      <c r="M498" s="5">
        <v>0</v>
      </c>
      <c r="N498" s="5">
        <v>0</v>
      </c>
      <c r="O498">
        <v>301</v>
      </c>
      <c r="P498">
        <v>7.6969018699999987</v>
      </c>
      <c r="Q498" s="4">
        <v>0.17499999999999999</v>
      </c>
      <c r="R498" s="5">
        <v>7.6969018699999987</v>
      </c>
      <c r="S498" s="5">
        <v>0.17499999999999999</v>
      </c>
      <c r="T498">
        <v>499</v>
      </c>
      <c r="U498">
        <v>0</v>
      </c>
      <c r="V498">
        <v>0</v>
      </c>
      <c r="W498">
        <v>1</v>
      </c>
      <c r="X498">
        <v>0</v>
      </c>
      <c r="Y498">
        <v>0</v>
      </c>
      <c r="Z498">
        <v>0</v>
      </c>
      <c r="AA498">
        <v>0</v>
      </c>
      <c r="AC498">
        <v>0</v>
      </c>
      <c r="AD498">
        <f t="shared" si="9"/>
        <v>0</v>
      </c>
    </row>
    <row r="499" spans="1:30" x14ac:dyDescent="0.25">
      <c r="A499">
        <v>494</v>
      </c>
      <c r="B499">
        <v>15.393803739999997</v>
      </c>
      <c r="C499" s="4">
        <v>0.17499999999999999</v>
      </c>
      <c r="E499" t="s">
        <v>229</v>
      </c>
      <c r="F499" s="4" t="s">
        <v>229</v>
      </c>
      <c r="H499" t="s">
        <v>229</v>
      </c>
      <c r="I499" s="4" t="s">
        <v>229</v>
      </c>
      <c r="K499" t="s">
        <v>229</v>
      </c>
      <c r="L499" s="4" t="s">
        <v>229</v>
      </c>
      <c r="M499" s="5">
        <v>0</v>
      </c>
      <c r="N499" s="5">
        <v>0</v>
      </c>
      <c r="O499">
        <v>296</v>
      </c>
      <c r="P499">
        <v>22.619466720000005</v>
      </c>
      <c r="Q499" s="4">
        <v>0.2</v>
      </c>
      <c r="R499" s="5">
        <v>22.619466720000005</v>
      </c>
      <c r="S499" s="5">
        <v>0.2</v>
      </c>
      <c r="T499">
        <v>494</v>
      </c>
      <c r="U499">
        <v>0</v>
      </c>
      <c r="V499">
        <v>0</v>
      </c>
      <c r="W499">
        <v>1</v>
      </c>
      <c r="X499">
        <v>0</v>
      </c>
      <c r="Y499">
        <v>0</v>
      </c>
      <c r="Z499">
        <v>0</v>
      </c>
      <c r="AA499">
        <v>0</v>
      </c>
      <c r="AC499">
        <v>0</v>
      </c>
      <c r="AD499">
        <f t="shared" si="9"/>
        <v>0</v>
      </c>
    </row>
    <row r="500" spans="1:30" x14ac:dyDescent="0.25">
      <c r="A500">
        <v>489</v>
      </c>
      <c r="B500">
        <v>14.431691006249999</v>
      </c>
      <c r="C500" s="4">
        <v>0.17499999999999999</v>
      </c>
      <c r="E500" t="s">
        <v>229</v>
      </c>
      <c r="F500" s="4" t="s">
        <v>229</v>
      </c>
      <c r="H500" t="s">
        <v>229</v>
      </c>
      <c r="I500" s="4" t="s">
        <v>229</v>
      </c>
      <c r="K500" t="s">
        <v>229</v>
      </c>
      <c r="L500" s="4" t="s">
        <v>229</v>
      </c>
      <c r="M500" s="5">
        <v>0</v>
      </c>
      <c r="N500" s="5">
        <v>0</v>
      </c>
      <c r="O500">
        <v>296</v>
      </c>
      <c r="P500">
        <v>22.619466720000005</v>
      </c>
      <c r="Q500" s="4">
        <v>0.2</v>
      </c>
      <c r="R500" s="5">
        <v>22.619466720000005</v>
      </c>
      <c r="S500" s="5">
        <v>0.2</v>
      </c>
      <c r="T500">
        <v>489</v>
      </c>
      <c r="U500">
        <v>0</v>
      </c>
      <c r="V500">
        <v>0</v>
      </c>
      <c r="W500">
        <v>1</v>
      </c>
      <c r="X500">
        <v>0</v>
      </c>
      <c r="Y500">
        <v>0</v>
      </c>
      <c r="Z500">
        <v>0</v>
      </c>
      <c r="AA500">
        <v>0</v>
      </c>
      <c r="AC500">
        <v>0</v>
      </c>
      <c r="AD500">
        <f t="shared" si="9"/>
        <v>0</v>
      </c>
    </row>
    <row r="501" spans="1:30" x14ac:dyDescent="0.25">
      <c r="A501">
        <v>493</v>
      </c>
      <c r="B501">
        <v>14.431691006249999</v>
      </c>
      <c r="C501" s="4">
        <v>0.17499999999999999</v>
      </c>
      <c r="E501" t="s">
        <v>229</v>
      </c>
      <c r="F501" s="4" t="s">
        <v>229</v>
      </c>
      <c r="H501" t="s">
        <v>229</v>
      </c>
      <c r="I501" s="4" t="s">
        <v>229</v>
      </c>
      <c r="K501" t="s">
        <v>229</v>
      </c>
      <c r="L501" s="4" t="s">
        <v>229</v>
      </c>
      <c r="M501" s="5">
        <v>0</v>
      </c>
      <c r="N501" s="5">
        <v>0</v>
      </c>
      <c r="O501">
        <v>294</v>
      </c>
      <c r="P501">
        <v>7.6969018699999987</v>
      </c>
      <c r="Q501" s="4">
        <v>0.17499999999999999</v>
      </c>
      <c r="R501" s="5">
        <v>7.6969018699999987</v>
      </c>
      <c r="S501" s="5">
        <v>0.17499999999999999</v>
      </c>
      <c r="T501">
        <v>493</v>
      </c>
      <c r="U501">
        <v>0</v>
      </c>
      <c r="V501">
        <v>0</v>
      </c>
      <c r="W501">
        <v>1</v>
      </c>
      <c r="X501">
        <v>0</v>
      </c>
      <c r="Y501">
        <v>0</v>
      </c>
      <c r="Z501">
        <v>0</v>
      </c>
      <c r="AA501">
        <v>0</v>
      </c>
      <c r="AC501">
        <v>0</v>
      </c>
      <c r="AD501">
        <f t="shared" si="9"/>
        <v>0</v>
      </c>
    </row>
    <row r="502" spans="1:30" x14ac:dyDescent="0.25">
      <c r="A502">
        <v>485</v>
      </c>
      <c r="B502">
        <v>15.393803739999997</v>
      </c>
      <c r="C502" s="4">
        <v>0.17499999999999999</v>
      </c>
      <c r="E502" t="s">
        <v>229</v>
      </c>
      <c r="F502" s="4" t="s">
        <v>229</v>
      </c>
      <c r="H502" t="s">
        <v>229</v>
      </c>
      <c r="I502" s="4" t="s">
        <v>229</v>
      </c>
      <c r="K502" t="s">
        <v>229</v>
      </c>
      <c r="L502" s="4" t="s">
        <v>229</v>
      </c>
      <c r="M502" s="5">
        <v>0</v>
      </c>
      <c r="N502" s="5">
        <v>0</v>
      </c>
      <c r="O502">
        <v>280</v>
      </c>
      <c r="P502">
        <v>14.431691006249999</v>
      </c>
      <c r="Q502" s="4">
        <v>0.17499999999999999</v>
      </c>
      <c r="R502" s="5">
        <v>14.431691006249999</v>
      </c>
      <c r="S502" s="5">
        <v>0.17499999999999999</v>
      </c>
      <c r="T502">
        <v>485</v>
      </c>
      <c r="U502">
        <v>0</v>
      </c>
      <c r="V502">
        <v>0</v>
      </c>
      <c r="W502">
        <v>1</v>
      </c>
      <c r="X502">
        <v>0</v>
      </c>
      <c r="Y502">
        <v>0</v>
      </c>
      <c r="Z502">
        <v>0</v>
      </c>
      <c r="AA502">
        <v>0</v>
      </c>
      <c r="AC502">
        <v>0</v>
      </c>
      <c r="AD502">
        <f t="shared" si="9"/>
        <v>0</v>
      </c>
    </row>
    <row r="503" spans="1:30" x14ac:dyDescent="0.25">
      <c r="A503">
        <v>484</v>
      </c>
      <c r="B503">
        <v>15.393803739999997</v>
      </c>
      <c r="C503" s="4">
        <v>0.17499999999999999</v>
      </c>
      <c r="E503" t="s">
        <v>229</v>
      </c>
      <c r="F503" s="4" t="s">
        <v>229</v>
      </c>
      <c r="H503" t="s">
        <v>229</v>
      </c>
      <c r="I503" s="4" t="s">
        <v>229</v>
      </c>
      <c r="K503" t="s">
        <v>229</v>
      </c>
      <c r="L503" s="4" t="s">
        <v>229</v>
      </c>
      <c r="M503" s="5">
        <v>0</v>
      </c>
      <c r="N503" s="5">
        <v>0</v>
      </c>
      <c r="O503">
        <v>280</v>
      </c>
      <c r="P503">
        <v>14.431691006249999</v>
      </c>
      <c r="Q503" s="4">
        <v>0.17499999999999999</v>
      </c>
      <c r="R503" s="5">
        <v>14.431691006249999</v>
      </c>
      <c r="S503" s="5">
        <v>0.17499999999999999</v>
      </c>
      <c r="T503">
        <v>484</v>
      </c>
      <c r="U503">
        <v>0</v>
      </c>
      <c r="V503">
        <v>0</v>
      </c>
      <c r="W503">
        <v>1</v>
      </c>
      <c r="X503">
        <v>0</v>
      </c>
      <c r="Y503">
        <v>0</v>
      </c>
      <c r="Z503">
        <v>0</v>
      </c>
      <c r="AA503">
        <v>0</v>
      </c>
      <c r="AC503">
        <v>0</v>
      </c>
      <c r="AD503">
        <f t="shared" si="9"/>
        <v>0</v>
      </c>
    </row>
    <row r="504" spans="1:30" x14ac:dyDescent="0.25">
      <c r="A504">
        <v>124</v>
      </c>
      <c r="B504">
        <v>9.1400709706249987</v>
      </c>
      <c r="C504" s="4">
        <v>0.17499999999999999</v>
      </c>
      <c r="E504" t="s">
        <v>229</v>
      </c>
      <c r="F504" s="4" t="s">
        <v>229</v>
      </c>
      <c r="H504" t="s">
        <v>229</v>
      </c>
      <c r="I504" s="4" t="s">
        <v>229</v>
      </c>
      <c r="K504" t="s">
        <v>229</v>
      </c>
      <c r="L504" s="4" t="s">
        <v>229</v>
      </c>
      <c r="M504" s="5">
        <v>0</v>
      </c>
      <c r="N504" s="5">
        <v>0</v>
      </c>
      <c r="O504">
        <v>280</v>
      </c>
      <c r="P504">
        <v>14.431691006249999</v>
      </c>
      <c r="Q504" s="4">
        <v>0.17499999999999999</v>
      </c>
      <c r="R504" s="5">
        <v>14.431691006249999</v>
      </c>
      <c r="S504" s="5">
        <v>0.17499999999999999</v>
      </c>
      <c r="T504">
        <v>124</v>
      </c>
      <c r="U504">
        <v>0</v>
      </c>
      <c r="V504">
        <v>0</v>
      </c>
      <c r="W504">
        <v>1</v>
      </c>
      <c r="X504">
        <v>0</v>
      </c>
      <c r="Y504">
        <v>0</v>
      </c>
      <c r="Z504">
        <v>0</v>
      </c>
      <c r="AA504">
        <v>0</v>
      </c>
      <c r="AC504">
        <v>0</v>
      </c>
      <c r="AD504">
        <f t="shared" si="9"/>
        <v>0</v>
      </c>
    </row>
    <row r="505" spans="1:30" x14ac:dyDescent="0.25">
      <c r="A505">
        <v>490</v>
      </c>
      <c r="B505">
        <v>14.912747373124999</v>
      </c>
      <c r="C505" s="4">
        <v>0.17499999999999999</v>
      </c>
      <c r="E505" t="s">
        <v>229</v>
      </c>
      <c r="F505" s="4" t="s">
        <v>229</v>
      </c>
      <c r="H505" t="s">
        <v>229</v>
      </c>
      <c r="I505" s="4" t="s">
        <v>229</v>
      </c>
      <c r="K505" t="s">
        <v>229</v>
      </c>
      <c r="L505" s="4" t="s">
        <v>229</v>
      </c>
      <c r="M505" s="5">
        <v>0</v>
      </c>
      <c r="N505" s="5">
        <v>0</v>
      </c>
      <c r="O505">
        <v>286</v>
      </c>
      <c r="P505">
        <v>77.911496480000025</v>
      </c>
      <c r="Q505" s="4">
        <v>0.4</v>
      </c>
      <c r="R505" s="5">
        <v>77.911496480000025</v>
      </c>
      <c r="S505" s="5">
        <v>0.4</v>
      </c>
      <c r="T505">
        <v>490</v>
      </c>
      <c r="U505">
        <v>0</v>
      </c>
      <c r="V505">
        <v>0</v>
      </c>
      <c r="W505">
        <v>1</v>
      </c>
      <c r="X505">
        <v>0</v>
      </c>
      <c r="Y505">
        <v>0</v>
      </c>
      <c r="Z505">
        <v>0</v>
      </c>
      <c r="AA505">
        <v>0</v>
      </c>
      <c r="AC505">
        <v>0</v>
      </c>
      <c r="AD505">
        <f t="shared" si="9"/>
        <v>0</v>
      </c>
    </row>
    <row r="506" spans="1:30" x14ac:dyDescent="0.25">
      <c r="A506">
        <v>491</v>
      </c>
      <c r="B506">
        <v>7.2158455031249993</v>
      </c>
      <c r="C506" s="4">
        <v>0.17499999999999999</v>
      </c>
      <c r="E506" t="s">
        <v>229</v>
      </c>
      <c r="F506" s="4" t="s">
        <v>229</v>
      </c>
      <c r="H506" t="s">
        <v>229</v>
      </c>
      <c r="I506" s="4" t="s">
        <v>229</v>
      </c>
      <c r="K506" t="s">
        <v>229</v>
      </c>
      <c r="L506" s="4" t="s">
        <v>229</v>
      </c>
      <c r="M506" s="5">
        <v>0</v>
      </c>
      <c r="N506" s="5">
        <v>0</v>
      </c>
      <c r="O506">
        <v>287</v>
      </c>
      <c r="P506">
        <v>14.431691006249999</v>
      </c>
      <c r="Q506" s="4">
        <v>0.17499999999999999</v>
      </c>
      <c r="R506" s="5">
        <v>14.431691006249999</v>
      </c>
      <c r="S506" s="5">
        <v>0.17499999999999999</v>
      </c>
      <c r="T506">
        <v>491</v>
      </c>
      <c r="U506">
        <v>0</v>
      </c>
      <c r="V506">
        <v>0</v>
      </c>
      <c r="W506">
        <v>1</v>
      </c>
      <c r="X506">
        <v>0</v>
      </c>
      <c r="Y506">
        <v>0</v>
      </c>
      <c r="Z506">
        <v>0</v>
      </c>
      <c r="AA506">
        <v>0</v>
      </c>
      <c r="AC506">
        <v>0</v>
      </c>
      <c r="AD506">
        <f t="shared" si="9"/>
        <v>0</v>
      </c>
    </row>
    <row r="507" spans="1:30" x14ac:dyDescent="0.25">
      <c r="A507">
        <v>271</v>
      </c>
      <c r="B507">
        <v>24.052818343749998</v>
      </c>
      <c r="C507" s="4">
        <v>0.17499999999999999</v>
      </c>
      <c r="E507" t="s">
        <v>229</v>
      </c>
      <c r="F507" s="4" t="s">
        <v>229</v>
      </c>
      <c r="H507" t="s">
        <v>229</v>
      </c>
      <c r="I507" s="4" t="s">
        <v>229</v>
      </c>
      <c r="K507" t="s">
        <v>229</v>
      </c>
      <c r="L507" s="4" t="s">
        <v>229</v>
      </c>
      <c r="M507" s="5">
        <v>0</v>
      </c>
      <c r="N507" s="5">
        <v>0</v>
      </c>
      <c r="O507">
        <v>292</v>
      </c>
      <c r="P507">
        <v>121.73671325000001</v>
      </c>
      <c r="Q507" s="4">
        <v>0.5</v>
      </c>
      <c r="R507" s="5">
        <v>121.73671325000001</v>
      </c>
      <c r="S507" s="5">
        <v>0.5</v>
      </c>
      <c r="T507">
        <v>271</v>
      </c>
      <c r="U507">
        <v>0</v>
      </c>
      <c r="V507">
        <v>0</v>
      </c>
      <c r="W507">
        <v>1</v>
      </c>
      <c r="X507">
        <v>0</v>
      </c>
      <c r="Y507">
        <v>0</v>
      </c>
      <c r="Z507">
        <v>0</v>
      </c>
      <c r="AA507">
        <v>0</v>
      </c>
      <c r="AC507">
        <v>0</v>
      </c>
      <c r="AD507">
        <f t="shared" si="9"/>
        <v>0</v>
      </c>
    </row>
    <row r="508" spans="1:30" x14ac:dyDescent="0.25">
      <c r="A508">
        <v>492</v>
      </c>
      <c r="B508">
        <v>14.912747373124999</v>
      </c>
      <c r="C508" s="4">
        <v>0.17499999999999999</v>
      </c>
      <c r="E508" t="s">
        <v>229</v>
      </c>
      <c r="F508" s="4" t="s">
        <v>229</v>
      </c>
      <c r="H508" t="s">
        <v>229</v>
      </c>
      <c r="I508" s="4" t="s">
        <v>229</v>
      </c>
      <c r="K508" t="s">
        <v>229</v>
      </c>
      <c r="L508" s="4" t="s">
        <v>229</v>
      </c>
      <c r="M508" s="5">
        <v>0</v>
      </c>
      <c r="N508" s="5">
        <v>0</v>
      </c>
      <c r="O508">
        <v>288</v>
      </c>
      <c r="P508">
        <v>22.619466720000005</v>
      </c>
      <c r="Q508" s="4">
        <v>0.2</v>
      </c>
      <c r="R508" s="5">
        <v>22.619466720000005</v>
      </c>
      <c r="S508" s="5">
        <v>0.2</v>
      </c>
      <c r="T508">
        <v>492</v>
      </c>
      <c r="U508">
        <v>0</v>
      </c>
      <c r="V508">
        <v>0</v>
      </c>
      <c r="W508">
        <v>1</v>
      </c>
      <c r="X508">
        <v>0</v>
      </c>
      <c r="Y508">
        <v>0</v>
      </c>
      <c r="Z508">
        <v>0</v>
      </c>
      <c r="AA508">
        <v>0</v>
      </c>
      <c r="AC508">
        <v>0</v>
      </c>
      <c r="AD508">
        <f t="shared" si="9"/>
        <v>0</v>
      </c>
    </row>
    <row r="509" spans="1:30" x14ac:dyDescent="0.25">
      <c r="A509">
        <v>440</v>
      </c>
      <c r="B509">
        <v>10.58324007125</v>
      </c>
      <c r="C509" s="4">
        <v>0.17499999999999999</v>
      </c>
      <c r="E509" t="s">
        <v>229</v>
      </c>
      <c r="F509" s="4" t="s">
        <v>229</v>
      </c>
      <c r="H509" t="s">
        <v>229</v>
      </c>
      <c r="I509" s="4" t="s">
        <v>229</v>
      </c>
      <c r="K509" t="s">
        <v>229</v>
      </c>
      <c r="L509" s="4" t="s">
        <v>229</v>
      </c>
      <c r="M509" s="5">
        <v>0</v>
      </c>
      <c r="N509" s="5">
        <v>0</v>
      </c>
      <c r="O509">
        <v>90</v>
      </c>
      <c r="P509">
        <v>35.298934453600005</v>
      </c>
      <c r="Q509" s="4">
        <v>0.26500000000000001</v>
      </c>
      <c r="R509" s="5">
        <v>35.298934453600005</v>
      </c>
      <c r="S509" s="5">
        <v>0.26500000000000001</v>
      </c>
      <c r="T509">
        <v>440</v>
      </c>
      <c r="U509">
        <v>0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0</v>
      </c>
      <c r="AC509">
        <v>0</v>
      </c>
      <c r="AD509">
        <f t="shared" si="9"/>
        <v>0</v>
      </c>
    </row>
    <row r="510" spans="1:30" x14ac:dyDescent="0.25">
      <c r="A510">
        <v>410</v>
      </c>
      <c r="B510">
        <v>9.621127337499999</v>
      </c>
      <c r="C510" s="4">
        <v>0.17499999999999999</v>
      </c>
      <c r="E510" t="s">
        <v>229</v>
      </c>
      <c r="F510" s="4" t="s">
        <v>229</v>
      </c>
      <c r="H510" t="s">
        <v>229</v>
      </c>
      <c r="I510" s="4" t="s">
        <v>229</v>
      </c>
      <c r="K510" t="s">
        <v>229</v>
      </c>
      <c r="L510" s="4" t="s">
        <v>229</v>
      </c>
      <c r="M510" s="5">
        <v>0</v>
      </c>
      <c r="N510" s="5">
        <v>0</v>
      </c>
      <c r="O510">
        <v>135</v>
      </c>
      <c r="P510">
        <v>11.545352804999998</v>
      </c>
      <c r="Q510" s="4">
        <v>0.17499999999999999</v>
      </c>
      <c r="R510" s="5">
        <v>11.545352804999998</v>
      </c>
      <c r="S510" s="5">
        <v>0.17499999999999999</v>
      </c>
      <c r="T510">
        <v>410</v>
      </c>
      <c r="U510">
        <v>0</v>
      </c>
      <c r="V510">
        <v>0</v>
      </c>
      <c r="W510">
        <v>1</v>
      </c>
      <c r="X510">
        <v>0</v>
      </c>
      <c r="Y510">
        <v>0</v>
      </c>
      <c r="Z510">
        <v>0</v>
      </c>
      <c r="AA510">
        <v>0</v>
      </c>
      <c r="AC510">
        <v>0</v>
      </c>
      <c r="AD510">
        <f t="shared" si="9"/>
        <v>0</v>
      </c>
    </row>
    <row r="511" spans="1:30" x14ac:dyDescent="0.25">
      <c r="A511">
        <v>146</v>
      </c>
      <c r="B511">
        <v>12.026409171874999</v>
      </c>
      <c r="C511" s="4">
        <v>0.17499999999999999</v>
      </c>
      <c r="E511" t="s">
        <v>229</v>
      </c>
      <c r="F511" s="4" t="s">
        <v>229</v>
      </c>
      <c r="H511" t="s">
        <v>229</v>
      </c>
      <c r="I511" s="4" t="s">
        <v>229</v>
      </c>
      <c r="K511" t="s">
        <v>229</v>
      </c>
      <c r="L511" s="4" t="s">
        <v>229</v>
      </c>
      <c r="M511" s="5">
        <v>0</v>
      </c>
      <c r="N511" s="5">
        <v>0</v>
      </c>
      <c r="O511">
        <v>268</v>
      </c>
      <c r="P511">
        <v>40.212385280000007</v>
      </c>
      <c r="Q511" s="4">
        <v>0.4</v>
      </c>
      <c r="R511" s="5">
        <v>40.212385280000007</v>
      </c>
      <c r="S511" s="5">
        <v>0.4</v>
      </c>
      <c r="T511">
        <v>146</v>
      </c>
      <c r="U511">
        <v>0</v>
      </c>
      <c r="V511">
        <v>0</v>
      </c>
      <c r="W511">
        <v>1</v>
      </c>
      <c r="X511">
        <v>0</v>
      </c>
      <c r="Y511">
        <v>0</v>
      </c>
      <c r="Z511">
        <v>0</v>
      </c>
      <c r="AA511">
        <v>0</v>
      </c>
      <c r="AC511">
        <v>0</v>
      </c>
      <c r="AD511">
        <f t="shared" si="9"/>
        <v>0</v>
      </c>
    </row>
    <row r="512" spans="1:30" x14ac:dyDescent="0.25">
      <c r="A512">
        <v>482</v>
      </c>
      <c r="B512">
        <v>7.6969018699999987</v>
      </c>
      <c r="C512" s="4">
        <v>0.17499999999999999</v>
      </c>
      <c r="E512" t="s">
        <v>229</v>
      </c>
      <c r="F512" s="4" t="s">
        <v>229</v>
      </c>
      <c r="H512" t="s">
        <v>229</v>
      </c>
      <c r="I512" s="4" t="s">
        <v>229</v>
      </c>
      <c r="K512" t="s">
        <v>229</v>
      </c>
      <c r="L512" s="4" t="s">
        <v>229</v>
      </c>
      <c r="M512" s="5">
        <v>0</v>
      </c>
      <c r="N512" s="5">
        <v>0</v>
      </c>
      <c r="O512">
        <v>224</v>
      </c>
      <c r="P512">
        <v>33.092751050250008</v>
      </c>
      <c r="Q512" s="4">
        <v>0.26500000000000001</v>
      </c>
      <c r="R512" s="5">
        <v>33.092751050250008</v>
      </c>
      <c r="S512" s="5">
        <v>0.26500000000000001</v>
      </c>
      <c r="T512">
        <v>482</v>
      </c>
      <c r="U512">
        <v>0</v>
      </c>
      <c r="V512">
        <v>0</v>
      </c>
      <c r="W512">
        <v>1</v>
      </c>
      <c r="X512">
        <v>0</v>
      </c>
      <c r="Y512">
        <v>0</v>
      </c>
      <c r="Z512">
        <v>0</v>
      </c>
      <c r="AA512">
        <v>0</v>
      </c>
      <c r="AC512">
        <v>0</v>
      </c>
      <c r="AD512">
        <f t="shared" si="9"/>
        <v>0</v>
      </c>
    </row>
    <row r="513" spans="1:30" x14ac:dyDescent="0.25">
      <c r="A513">
        <v>519</v>
      </c>
      <c r="B513">
        <v>10.679451344624999</v>
      </c>
      <c r="C513" s="4">
        <v>0.17499999999999999</v>
      </c>
      <c r="E513" t="s">
        <v>229</v>
      </c>
      <c r="F513" s="4" t="s">
        <v>229</v>
      </c>
      <c r="H513" t="s">
        <v>229</v>
      </c>
      <c r="I513" s="4" t="s">
        <v>229</v>
      </c>
      <c r="K513" t="s">
        <v>229</v>
      </c>
      <c r="L513" s="4" t="s">
        <v>229</v>
      </c>
      <c r="M513" s="5">
        <v>0</v>
      </c>
      <c r="N513" s="5">
        <v>0</v>
      </c>
      <c r="O513">
        <v>317</v>
      </c>
      <c r="P513">
        <v>85.451318720000017</v>
      </c>
      <c r="Q513" s="4">
        <v>0.4</v>
      </c>
      <c r="R513" s="5">
        <v>85.451318720000017</v>
      </c>
      <c r="S513" s="5">
        <v>0.4</v>
      </c>
      <c r="T513">
        <v>519</v>
      </c>
      <c r="U513">
        <v>0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C513">
        <v>0</v>
      </c>
      <c r="AD513">
        <f t="shared" si="9"/>
        <v>0</v>
      </c>
    </row>
    <row r="514" spans="1:30" x14ac:dyDescent="0.25">
      <c r="A514">
        <v>477</v>
      </c>
      <c r="B514">
        <v>5.2916200356249998</v>
      </c>
      <c r="C514" s="4">
        <v>0.17499999999999999</v>
      </c>
      <c r="E514" t="s">
        <v>229</v>
      </c>
      <c r="F514" s="4" t="s">
        <v>229</v>
      </c>
      <c r="H514" t="s">
        <v>229</v>
      </c>
      <c r="I514" s="4" t="s">
        <v>229</v>
      </c>
      <c r="K514" t="s">
        <v>229</v>
      </c>
      <c r="L514" s="4" t="s">
        <v>229</v>
      </c>
      <c r="M514" s="5">
        <v>0</v>
      </c>
      <c r="N514" s="5">
        <v>0</v>
      </c>
      <c r="O514">
        <v>317</v>
      </c>
      <c r="P514">
        <v>85.451318720000017</v>
      </c>
      <c r="Q514" s="4">
        <v>0.4</v>
      </c>
      <c r="R514" s="5">
        <v>85.451318720000017</v>
      </c>
      <c r="S514" s="5">
        <v>0.4</v>
      </c>
      <c r="T514">
        <v>477</v>
      </c>
      <c r="U514">
        <v>0</v>
      </c>
      <c r="V514">
        <v>0</v>
      </c>
      <c r="W514">
        <v>1</v>
      </c>
      <c r="X514">
        <v>0</v>
      </c>
      <c r="Y514">
        <v>0</v>
      </c>
      <c r="Z514">
        <v>0</v>
      </c>
      <c r="AA514">
        <v>0</v>
      </c>
      <c r="AC514">
        <v>0</v>
      </c>
      <c r="AD514">
        <f t="shared" ref="AD514:AD530" si="10">AC514*U514</f>
        <v>0</v>
      </c>
    </row>
    <row r="515" spans="1:30" x14ac:dyDescent="0.25">
      <c r="A515">
        <v>447</v>
      </c>
      <c r="B515">
        <v>9.621127337499999</v>
      </c>
      <c r="C515" s="4">
        <v>0.17499999999999999</v>
      </c>
      <c r="E515" t="s">
        <v>229</v>
      </c>
      <c r="F515" s="4" t="s">
        <v>229</v>
      </c>
      <c r="H515" t="s">
        <v>229</v>
      </c>
      <c r="I515" s="4" t="s">
        <v>229</v>
      </c>
      <c r="K515" t="s">
        <v>229</v>
      </c>
      <c r="L515" s="4" t="s">
        <v>229</v>
      </c>
      <c r="M515" s="5">
        <v>0</v>
      </c>
      <c r="N515" s="5">
        <v>0</v>
      </c>
      <c r="O515">
        <v>68</v>
      </c>
      <c r="P515">
        <v>17.649467226800002</v>
      </c>
      <c r="Q515" s="4">
        <v>0.26500000000000001</v>
      </c>
      <c r="R515" s="5">
        <v>17.649467226800002</v>
      </c>
      <c r="S515" s="5">
        <v>0.26500000000000001</v>
      </c>
      <c r="T515">
        <v>447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0</v>
      </c>
      <c r="AC515">
        <v>0</v>
      </c>
      <c r="AD515">
        <f t="shared" si="10"/>
        <v>0</v>
      </c>
    </row>
    <row r="516" spans="1:30" x14ac:dyDescent="0.25">
      <c r="A516">
        <v>24</v>
      </c>
      <c r="B516">
        <v>9.621127337499999</v>
      </c>
      <c r="C516" s="4">
        <v>0.17499999999999999</v>
      </c>
      <c r="E516" t="s">
        <v>229</v>
      </c>
      <c r="F516" s="4" t="s">
        <v>229</v>
      </c>
      <c r="H516" t="s">
        <v>229</v>
      </c>
      <c r="I516" s="4" t="s">
        <v>229</v>
      </c>
      <c r="K516" t="s">
        <v>229</v>
      </c>
      <c r="L516" s="4" t="s">
        <v>229</v>
      </c>
      <c r="M516" s="5">
        <v>0</v>
      </c>
      <c r="N516" s="5">
        <v>0</v>
      </c>
      <c r="O516">
        <v>190</v>
      </c>
      <c r="P516">
        <v>35.298934453600005</v>
      </c>
      <c r="Q516" s="4">
        <v>0.26500000000000001</v>
      </c>
      <c r="R516" s="5">
        <v>35.298934453600005</v>
      </c>
      <c r="S516" s="5">
        <v>0.26500000000000001</v>
      </c>
      <c r="T516">
        <v>24</v>
      </c>
      <c r="U516">
        <v>0</v>
      </c>
      <c r="V516">
        <v>0</v>
      </c>
      <c r="W516">
        <v>1</v>
      </c>
      <c r="X516">
        <v>0</v>
      </c>
      <c r="Y516">
        <v>0</v>
      </c>
      <c r="Z516">
        <v>0</v>
      </c>
      <c r="AA516">
        <v>0</v>
      </c>
      <c r="AC516">
        <v>0</v>
      </c>
      <c r="AD516">
        <f t="shared" si="10"/>
        <v>0</v>
      </c>
    </row>
    <row r="517" spans="1:30" x14ac:dyDescent="0.25">
      <c r="A517">
        <v>2</v>
      </c>
      <c r="B517">
        <v>11.545352804999998</v>
      </c>
      <c r="C517" s="4">
        <v>0.17499999999999999</v>
      </c>
      <c r="E517" t="s">
        <v>229</v>
      </c>
      <c r="F517" s="4" t="s">
        <v>229</v>
      </c>
      <c r="H517" t="s">
        <v>229</v>
      </c>
      <c r="I517" s="4" t="s">
        <v>229</v>
      </c>
      <c r="K517" t="s">
        <v>229</v>
      </c>
      <c r="L517" s="4" t="s">
        <v>229</v>
      </c>
      <c r="M517" s="5">
        <v>0</v>
      </c>
      <c r="N517" s="5">
        <v>0</v>
      </c>
      <c r="O517">
        <v>306</v>
      </c>
      <c r="P517">
        <v>75.398222400000023</v>
      </c>
      <c r="Q517" s="4">
        <v>0.4</v>
      </c>
      <c r="R517" s="5">
        <v>75.398222400000023</v>
      </c>
      <c r="S517" s="5">
        <v>0.4</v>
      </c>
      <c r="T517">
        <v>2</v>
      </c>
      <c r="U517">
        <v>0</v>
      </c>
      <c r="V517">
        <v>0</v>
      </c>
      <c r="W517">
        <v>1</v>
      </c>
      <c r="X517">
        <v>0</v>
      </c>
      <c r="Y517">
        <v>0</v>
      </c>
      <c r="Z517">
        <v>0</v>
      </c>
      <c r="AA517">
        <v>0</v>
      </c>
      <c r="AC517">
        <v>0</v>
      </c>
      <c r="AD517">
        <f t="shared" si="10"/>
        <v>0</v>
      </c>
    </row>
    <row r="518" spans="1:30" x14ac:dyDescent="0.25">
      <c r="A518">
        <v>383</v>
      </c>
      <c r="B518">
        <v>9.621127337499999</v>
      </c>
      <c r="C518" s="4">
        <v>0.17499999999999999</v>
      </c>
      <c r="E518" t="s">
        <v>229</v>
      </c>
      <c r="F518" s="4" t="s">
        <v>229</v>
      </c>
      <c r="H518" t="s">
        <v>229</v>
      </c>
      <c r="I518" s="4" t="s">
        <v>229</v>
      </c>
      <c r="K518" t="s">
        <v>229</v>
      </c>
      <c r="L518" s="4" t="s">
        <v>229</v>
      </c>
      <c r="M518" s="5">
        <v>0</v>
      </c>
      <c r="N518" s="5">
        <v>0</v>
      </c>
      <c r="O518">
        <v>157</v>
      </c>
      <c r="P518">
        <v>12.988521905624998</v>
      </c>
      <c r="Q518" s="4">
        <v>0.17499999999999999</v>
      </c>
      <c r="R518" s="5">
        <v>12.988521905624998</v>
      </c>
      <c r="S518" s="5">
        <v>0.17499999999999999</v>
      </c>
      <c r="T518">
        <v>383</v>
      </c>
      <c r="U518">
        <v>0</v>
      </c>
      <c r="V518">
        <v>0</v>
      </c>
      <c r="W518">
        <v>1</v>
      </c>
      <c r="X518">
        <v>0</v>
      </c>
      <c r="Y518">
        <v>0</v>
      </c>
      <c r="Z518">
        <v>0</v>
      </c>
      <c r="AA518">
        <v>0</v>
      </c>
      <c r="AC518">
        <v>0</v>
      </c>
      <c r="AD518">
        <f t="shared" si="10"/>
        <v>0</v>
      </c>
    </row>
    <row r="519" spans="1:30" x14ac:dyDescent="0.25">
      <c r="A519">
        <v>168</v>
      </c>
      <c r="B519">
        <v>13.950634639374998</v>
      </c>
      <c r="C519" s="4">
        <v>0.17499999999999999</v>
      </c>
      <c r="E519" t="s">
        <v>229</v>
      </c>
      <c r="F519" s="4" t="s">
        <v>229</v>
      </c>
      <c r="H519" t="s">
        <v>229</v>
      </c>
      <c r="I519" s="4" t="s">
        <v>229</v>
      </c>
      <c r="K519" t="s">
        <v>229</v>
      </c>
      <c r="L519" s="4" t="s">
        <v>229</v>
      </c>
      <c r="M519" s="5">
        <v>0</v>
      </c>
      <c r="N519" s="5">
        <v>0</v>
      </c>
      <c r="O519">
        <v>246</v>
      </c>
      <c r="P519">
        <v>10.053096320000002</v>
      </c>
      <c r="Q519" s="4">
        <v>0.2</v>
      </c>
      <c r="R519" s="5">
        <v>10.053096320000002</v>
      </c>
      <c r="S519" s="5">
        <v>0.2</v>
      </c>
      <c r="T519">
        <v>168</v>
      </c>
      <c r="U519">
        <v>0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0</v>
      </c>
      <c r="AC519">
        <v>0</v>
      </c>
      <c r="AD519">
        <f t="shared" si="10"/>
        <v>0</v>
      </c>
    </row>
    <row r="520" spans="1:30" x14ac:dyDescent="0.25">
      <c r="A520">
        <v>266</v>
      </c>
      <c r="B520">
        <v>11.545352804999998</v>
      </c>
      <c r="C520" s="4">
        <v>0.17499999999999999</v>
      </c>
      <c r="E520" t="s">
        <v>229</v>
      </c>
      <c r="F520" s="4" t="s">
        <v>229</v>
      </c>
      <c r="H520" t="s">
        <v>229</v>
      </c>
      <c r="I520" s="4" t="s">
        <v>229</v>
      </c>
      <c r="K520" t="s">
        <v>229</v>
      </c>
      <c r="L520" s="4" t="s">
        <v>229</v>
      </c>
      <c r="M520" s="5">
        <v>0</v>
      </c>
      <c r="N520" s="5">
        <v>0</v>
      </c>
      <c r="O520">
        <v>295</v>
      </c>
      <c r="P520">
        <v>16.964600040000001</v>
      </c>
      <c r="Q520" s="4">
        <v>0.3</v>
      </c>
      <c r="R520" s="5">
        <v>16.964600040000001</v>
      </c>
      <c r="S520" s="5">
        <v>0.3</v>
      </c>
      <c r="T520">
        <v>266</v>
      </c>
      <c r="U520">
        <v>0</v>
      </c>
      <c r="V520">
        <v>0</v>
      </c>
      <c r="W520">
        <v>1</v>
      </c>
      <c r="X520">
        <v>0</v>
      </c>
      <c r="Y520">
        <v>0</v>
      </c>
      <c r="Z520">
        <v>0</v>
      </c>
      <c r="AA520">
        <v>0</v>
      </c>
      <c r="AC520">
        <v>0</v>
      </c>
      <c r="AD520">
        <f t="shared" si="10"/>
        <v>0</v>
      </c>
    </row>
    <row r="521" spans="1:30" x14ac:dyDescent="0.25">
      <c r="A521">
        <v>454</v>
      </c>
      <c r="B521">
        <v>9.621127337499999</v>
      </c>
      <c r="C521" s="4">
        <v>0.17499999999999999</v>
      </c>
      <c r="E521" t="s">
        <v>229</v>
      </c>
      <c r="F521" s="4" t="s">
        <v>229</v>
      </c>
      <c r="H521" t="s">
        <v>229</v>
      </c>
      <c r="I521" s="4" t="s">
        <v>229</v>
      </c>
      <c r="K521" t="s">
        <v>229</v>
      </c>
      <c r="L521" s="4" t="s">
        <v>229</v>
      </c>
      <c r="M521" s="5">
        <v>0</v>
      </c>
      <c r="N521" s="5">
        <v>0</v>
      </c>
      <c r="O521">
        <v>46</v>
      </c>
      <c r="P521">
        <v>10.053096320000002</v>
      </c>
      <c r="Q521" s="4">
        <v>0.2</v>
      </c>
      <c r="R521" s="5">
        <v>10.053096320000002</v>
      </c>
      <c r="S521" s="5">
        <v>0.2</v>
      </c>
      <c r="T521">
        <v>454</v>
      </c>
      <c r="U521">
        <v>0</v>
      </c>
      <c r="V521">
        <v>0</v>
      </c>
      <c r="W521">
        <v>1</v>
      </c>
      <c r="X521">
        <v>0</v>
      </c>
      <c r="Y521">
        <v>0</v>
      </c>
      <c r="Z521">
        <v>0</v>
      </c>
      <c r="AA521">
        <v>0</v>
      </c>
      <c r="AC521">
        <v>0</v>
      </c>
      <c r="AD521">
        <f t="shared" si="10"/>
        <v>0</v>
      </c>
    </row>
    <row r="522" spans="1:30" x14ac:dyDescent="0.25">
      <c r="A522">
        <v>367</v>
      </c>
      <c r="B522">
        <v>7.6969018699999987</v>
      </c>
      <c r="C522" s="4">
        <v>0.17499999999999999</v>
      </c>
      <c r="E522" t="s">
        <v>229</v>
      </c>
      <c r="F522" s="4" t="s">
        <v>229</v>
      </c>
      <c r="H522" t="s">
        <v>229</v>
      </c>
      <c r="I522" s="4" t="s">
        <v>229</v>
      </c>
      <c r="K522" t="s">
        <v>229</v>
      </c>
      <c r="L522" s="4" t="s">
        <v>229</v>
      </c>
      <c r="M522" s="5">
        <v>0</v>
      </c>
      <c r="N522" s="5">
        <v>0</v>
      </c>
      <c r="O522">
        <v>13</v>
      </c>
      <c r="P522">
        <v>9.621127337499999</v>
      </c>
      <c r="Q522" s="4">
        <v>0.17499999999999999</v>
      </c>
      <c r="R522" s="5">
        <v>9.621127337499999</v>
      </c>
      <c r="S522" s="5">
        <v>0.17499999999999999</v>
      </c>
      <c r="T522">
        <v>367</v>
      </c>
      <c r="U522">
        <v>0</v>
      </c>
      <c r="V522">
        <v>0</v>
      </c>
      <c r="W522">
        <v>1</v>
      </c>
      <c r="X522">
        <v>0</v>
      </c>
      <c r="Y522">
        <v>0</v>
      </c>
      <c r="Z522">
        <v>0</v>
      </c>
      <c r="AA522">
        <v>0</v>
      </c>
      <c r="AC522">
        <v>0</v>
      </c>
      <c r="AD522">
        <f t="shared" si="10"/>
        <v>0</v>
      </c>
    </row>
    <row r="523" spans="1:30" x14ac:dyDescent="0.25">
      <c r="A523">
        <v>350</v>
      </c>
      <c r="B523">
        <v>7.6969018699999987</v>
      </c>
      <c r="C523" s="4">
        <v>0.17499999999999999</v>
      </c>
      <c r="E523" t="s">
        <v>229</v>
      </c>
      <c r="F523" s="4" t="s">
        <v>229</v>
      </c>
      <c r="H523" t="s">
        <v>229</v>
      </c>
      <c r="I523" s="4" t="s">
        <v>229</v>
      </c>
      <c r="K523" t="s">
        <v>229</v>
      </c>
      <c r="L523" s="4" t="s">
        <v>229</v>
      </c>
      <c r="M523" s="5">
        <v>0</v>
      </c>
      <c r="N523" s="5">
        <v>0</v>
      </c>
      <c r="O523">
        <v>13</v>
      </c>
      <c r="P523">
        <v>9.621127337499999</v>
      </c>
      <c r="Q523" s="4">
        <v>0.17499999999999999</v>
      </c>
      <c r="R523" s="5">
        <v>9.621127337499999</v>
      </c>
      <c r="S523" s="5">
        <v>0.17499999999999999</v>
      </c>
      <c r="T523">
        <v>350</v>
      </c>
      <c r="U523">
        <v>0</v>
      </c>
      <c r="V523">
        <v>0</v>
      </c>
      <c r="W523">
        <v>1</v>
      </c>
      <c r="X523">
        <v>0</v>
      </c>
      <c r="Y523">
        <v>0</v>
      </c>
      <c r="Z523">
        <v>0</v>
      </c>
      <c r="AA523">
        <v>0</v>
      </c>
      <c r="AC523">
        <v>0</v>
      </c>
      <c r="AD523">
        <f t="shared" si="10"/>
        <v>0</v>
      </c>
    </row>
    <row r="524" spans="1:30" x14ac:dyDescent="0.25">
      <c r="A524">
        <v>483</v>
      </c>
      <c r="B524">
        <v>5.7726764024999992</v>
      </c>
      <c r="C524" s="4">
        <v>0.17499999999999999</v>
      </c>
      <c r="E524" t="s">
        <v>229</v>
      </c>
      <c r="F524" s="4" t="s">
        <v>229</v>
      </c>
      <c r="H524" t="s">
        <v>229</v>
      </c>
      <c r="I524" s="4" t="s">
        <v>229</v>
      </c>
      <c r="K524" t="s">
        <v>229</v>
      </c>
      <c r="L524" s="4" t="s">
        <v>229</v>
      </c>
      <c r="M524" s="5">
        <v>0</v>
      </c>
      <c r="N524" s="5">
        <v>0</v>
      </c>
      <c r="O524">
        <v>112</v>
      </c>
      <c r="P524">
        <v>31.989659348575007</v>
      </c>
      <c r="Q524" s="4">
        <v>0.26500000000000001</v>
      </c>
      <c r="R524" s="5">
        <v>31.989659348575007</v>
      </c>
      <c r="S524" s="5">
        <v>0.26500000000000001</v>
      </c>
      <c r="T524">
        <v>483</v>
      </c>
      <c r="U524">
        <v>0</v>
      </c>
      <c r="V524">
        <v>0</v>
      </c>
      <c r="W524">
        <v>1</v>
      </c>
      <c r="X524">
        <v>0</v>
      </c>
      <c r="Y524">
        <v>0</v>
      </c>
      <c r="Z524">
        <v>0</v>
      </c>
      <c r="AA524">
        <v>0</v>
      </c>
      <c r="AC524">
        <v>0</v>
      </c>
      <c r="AD524">
        <f t="shared" si="10"/>
        <v>0</v>
      </c>
    </row>
    <row r="525" spans="1:30" x14ac:dyDescent="0.25">
      <c r="A525">
        <v>232</v>
      </c>
      <c r="B525">
        <v>26.474200840200002</v>
      </c>
      <c r="C525" s="4">
        <v>0.26500000000000001</v>
      </c>
      <c r="E525" t="s">
        <v>229</v>
      </c>
      <c r="F525" s="4" t="s">
        <v>229</v>
      </c>
      <c r="H525" t="s">
        <v>229</v>
      </c>
      <c r="I525" s="4" t="s">
        <v>229</v>
      </c>
      <c r="K525" t="s">
        <v>229</v>
      </c>
      <c r="L525" s="4" t="s">
        <v>229</v>
      </c>
      <c r="M525" s="5">
        <v>0</v>
      </c>
      <c r="N525" s="5">
        <v>0</v>
      </c>
      <c r="O525">
        <v>112</v>
      </c>
      <c r="P525">
        <v>31.989659348575007</v>
      </c>
      <c r="Q525" s="4">
        <v>0.26500000000000001</v>
      </c>
      <c r="R525" s="5">
        <v>31.989659348575007</v>
      </c>
      <c r="S525" s="5">
        <v>0.26500000000000001</v>
      </c>
      <c r="T525">
        <v>232</v>
      </c>
      <c r="U525">
        <v>0</v>
      </c>
      <c r="V525">
        <v>0</v>
      </c>
      <c r="W525">
        <v>1</v>
      </c>
      <c r="X525">
        <v>0</v>
      </c>
      <c r="Y525">
        <v>0</v>
      </c>
      <c r="Z525">
        <v>0</v>
      </c>
      <c r="AA525">
        <v>0</v>
      </c>
      <c r="AC525">
        <v>0</v>
      </c>
      <c r="AD525">
        <f t="shared" si="10"/>
        <v>0</v>
      </c>
    </row>
    <row r="526" spans="1:30" x14ac:dyDescent="0.25">
      <c r="A526">
        <v>267</v>
      </c>
      <c r="B526">
        <v>11.545352804999998</v>
      </c>
      <c r="C526" s="4">
        <v>0.17499999999999999</v>
      </c>
      <c r="E526" t="s">
        <v>229</v>
      </c>
      <c r="F526" s="4" t="s">
        <v>229</v>
      </c>
      <c r="H526" t="s">
        <v>229</v>
      </c>
      <c r="I526" s="4" t="s">
        <v>229</v>
      </c>
      <c r="K526" t="s">
        <v>229</v>
      </c>
      <c r="L526" s="4" t="s">
        <v>229</v>
      </c>
      <c r="M526" s="5">
        <v>0</v>
      </c>
      <c r="N526" s="5">
        <v>0</v>
      </c>
      <c r="O526">
        <v>284</v>
      </c>
      <c r="P526">
        <v>3.7699111200000006</v>
      </c>
      <c r="Q526" s="4">
        <v>0.2</v>
      </c>
      <c r="R526" s="5">
        <v>3.7699111200000006</v>
      </c>
      <c r="S526" s="5">
        <v>0.2</v>
      </c>
      <c r="T526">
        <v>267</v>
      </c>
      <c r="U526">
        <v>0</v>
      </c>
      <c r="V526">
        <v>0</v>
      </c>
      <c r="W526">
        <v>1</v>
      </c>
      <c r="X526">
        <v>0</v>
      </c>
      <c r="Y526">
        <v>0</v>
      </c>
      <c r="Z526">
        <v>0</v>
      </c>
      <c r="AA526">
        <v>0</v>
      </c>
      <c r="AC526">
        <v>0</v>
      </c>
      <c r="AD526">
        <f t="shared" si="10"/>
        <v>0</v>
      </c>
    </row>
    <row r="527" spans="1:30" x14ac:dyDescent="0.25">
      <c r="A527">
        <v>369</v>
      </c>
      <c r="B527">
        <v>7.6969018699999987</v>
      </c>
      <c r="C527" s="4">
        <v>0.17499999999999999</v>
      </c>
      <c r="E527" t="s">
        <v>229</v>
      </c>
      <c r="F527" s="4" t="s">
        <v>229</v>
      </c>
      <c r="H527" t="s">
        <v>229</v>
      </c>
      <c r="I527" s="4" t="s">
        <v>229</v>
      </c>
      <c r="K527" t="s">
        <v>229</v>
      </c>
      <c r="L527" s="4" t="s">
        <v>229</v>
      </c>
      <c r="M527" s="5">
        <v>0</v>
      </c>
      <c r="N527" s="5">
        <v>0</v>
      </c>
      <c r="O527">
        <v>35</v>
      </c>
      <c r="P527">
        <v>10.053096320000002</v>
      </c>
      <c r="Q527" s="4">
        <v>0.2</v>
      </c>
      <c r="R527" s="5">
        <v>10.053096320000002</v>
      </c>
      <c r="S527" s="5">
        <v>0.2</v>
      </c>
      <c r="T527">
        <v>369</v>
      </c>
      <c r="U527">
        <v>0</v>
      </c>
      <c r="V527">
        <v>0</v>
      </c>
      <c r="W527">
        <v>1</v>
      </c>
      <c r="X527">
        <v>0</v>
      </c>
      <c r="Y527">
        <v>0</v>
      </c>
      <c r="Z527">
        <v>0</v>
      </c>
      <c r="AA527">
        <v>0</v>
      </c>
      <c r="AC527">
        <v>0</v>
      </c>
      <c r="AD527">
        <f t="shared" si="10"/>
        <v>0</v>
      </c>
    </row>
    <row r="528" spans="1:30" x14ac:dyDescent="0.25">
      <c r="A528">
        <v>373</v>
      </c>
      <c r="B528">
        <v>9.621127337499999</v>
      </c>
      <c r="C528" s="4">
        <v>0.17499999999999999</v>
      </c>
      <c r="E528" t="s">
        <v>229</v>
      </c>
      <c r="F528" s="4" t="s">
        <v>229</v>
      </c>
      <c r="H528" t="s">
        <v>229</v>
      </c>
      <c r="I528" s="4" t="s">
        <v>229</v>
      </c>
      <c r="K528" t="s">
        <v>229</v>
      </c>
      <c r="L528" s="4" t="s">
        <v>229</v>
      </c>
      <c r="M528" s="5">
        <v>0</v>
      </c>
      <c r="N528" s="5">
        <v>0</v>
      </c>
      <c r="O528">
        <v>179</v>
      </c>
      <c r="P528">
        <v>486.94685300000003</v>
      </c>
      <c r="Q528" s="4">
        <v>1</v>
      </c>
      <c r="R528" s="5">
        <v>486.94685300000003</v>
      </c>
      <c r="S528" s="5">
        <v>1</v>
      </c>
      <c r="T528">
        <v>373</v>
      </c>
      <c r="U528">
        <v>0</v>
      </c>
      <c r="V528">
        <v>0</v>
      </c>
      <c r="W528">
        <v>1</v>
      </c>
      <c r="X528">
        <v>0</v>
      </c>
      <c r="Y528">
        <v>0</v>
      </c>
      <c r="Z528">
        <v>0</v>
      </c>
      <c r="AA528">
        <v>0</v>
      </c>
      <c r="AC528">
        <v>0</v>
      </c>
      <c r="AD528">
        <f t="shared" si="10"/>
        <v>0</v>
      </c>
    </row>
    <row r="529" spans="1:30" x14ac:dyDescent="0.25">
      <c r="A529">
        <v>270</v>
      </c>
      <c r="B529">
        <v>28.863382012499997</v>
      </c>
      <c r="C529" s="4">
        <v>0.17499999999999999</v>
      </c>
      <c r="E529" t="s">
        <v>229</v>
      </c>
      <c r="F529" s="4" t="s">
        <v>229</v>
      </c>
      <c r="H529" t="s">
        <v>229</v>
      </c>
      <c r="I529" s="4" t="s">
        <v>229</v>
      </c>
      <c r="K529" t="s">
        <v>229</v>
      </c>
      <c r="L529" s="4" t="s">
        <v>229</v>
      </c>
      <c r="M529" s="5">
        <v>0</v>
      </c>
      <c r="N529" s="5">
        <v>0</v>
      </c>
      <c r="O529">
        <v>233</v>
      </c>
      <c r="P529">
        <v>24.838687732640004</v>
      </c>
      <c r="Q529" s="4">
        <v>0.2</v>
      </c>
      <c r="R529" s="5">
        <v>24.838687732640004</v>
      </c>
      <c r="S529" s="5">
        <v>0.2</v>
      </c>
      <c r="T529">
        <v>270</v>
      </c>
      <c r="U529">
        <v>0</v>
      </c>
      <c r="V529">
        <v>0</v>
      </c>
      <c r="W529">
        <v>1</v>
      </c>
      <c r="X529">
        <v>0</v>
      </c>
      <c r="Y529">
        <v>0</v>
      </c>
      <c r="Z529">
        <v>0</v>
      </c>
      <c r="AA529">
        <v>0</v>
      </c>
      <c r="AC529">
        <v>0</v>
      </c>
      <c r="AD529">
        <f t="shared" si="10"/>
        <v>0</v>
      </c>
    </row>
    <row r="530" spans="1:30" x14ac:dyDescent="0.25">
      <c r="A530">
        <v>269</v>
      </c>
      <c r="B530">
        <v>26.474200840200002</v>
      </c>
      <c r="C530" s="4">
        <v>0.26500000000000001</v>
      </c>
      <c r="E530" t="s">
        <v>229</v>
      </c>
      <c r="F530" s="4" t="s">
        <v>229</v>
      </c>
      <c r="H530" t="s">
        <v>229</v>
      </c>
      <c r="I530" s="4" t="s">
        <v>229</v>
      </c>
      <c r="K530" t="s">
        <v>229</v>
      </c>
      <c r="L530" s="4" t="s">
        <v>229</v>
      </c>
      <c r="M530" s="5">
        <v>0</v>
      </c>
      <c r="N530" s="5">
        <v>0</v>
      </c>
      <c r="O530">
        <v>223</v>
      </c>
      <c r="P530">
        <v>2.8863382012499996</v>
      </c>
      <c r="Q530" s="4">
        <v>0.17499999999999999</v>
      </c>
      <c r="R530" s="5">
        <v>2.8863382012499996</v>
      </c>
      <c r="S530" s="5">
        <v>0.17499999999999999</v>
      </c>
      <c r="T530">
        <v>269</v>
      </c>
      <c r="U530">
        <v>0</v>
      </c>
      <c r="V530">
        <v>0</v>
      </c>
      <c r="W530">
        <v>1</v>
      </c>
      <c r="X530">
        <v>0</v>
      </c>
      <c r="Y530">
        <v>0</v>
      </c>
      <c r="Z530">
        <v>0</v>
      </c>
      <c r="AA530">
        <v>0</v>
      </c>
      <c r="AC530">
        <v>0</v>
      </c>
      <c r="AD530">
        <f t="shared" si="10"/>
        <v>0</v>
      </c>
    </row>
    <row r="531" spans="1:30" x14ac:dyDescent="0.25">
      <c r="A531">
        <v>158</v>
      </c>
      <c r="B531">
        <v>785.39814999999999</v>
      </c>
      <c r="C531" s="4">
        <v>1</v>
      </c>
      <c r="D531">
        <v>156</v>
      </c>
      <c r="E531">
        <v>388.77208425000003</v>
      </c>
      <c r="F531" s="4">
        <v>0.75</v>
      </c>
      <c r="G531">
        <v>163</v>
      </c>
      <c r="H531">
        <v>42.725659360000009</v>
      </c>
      <c r="I531" s="4">
        <v>0.4</v>
      </c>
      <c r="J531">
        <v>153</v>
      </c>
      <c r="K531">
        <v>267.035371</v>
      </c>
      <c r="L531" s="4">
        <v>1</v>
      </c>
      <c r="M531" s="5">
        <v>698.53311460999998</v>
      </c>
      <c r="N531" s="5">
        <v>2.15</v>
      </c>
      <c r="P531" t="s">
        <v>229</v>
      </c>
      <c r="Q531" s="4" t="s">
        <v>229</v>
      </c>
      <c r="R531" s="5" t="s">
        <v>229</v>
      </c>
      <c r="S531" s="5">
        <v>0</v>
      </c>
      <c r="T531">
        <v>158</v>
      </c>
      <c r="V531">
        <v>3</v>
      </c>
      <c r="W531">
        <v>0</v>
      </c>
      <c r="X531" t="e">
        <v>#DIV/0!</v>
      </c>
      <c r="Y531">
        <v>0.88939999999999997</v>
      </c>
      <c r="Z531" t="e">
        <v>#DIV/0!</v>
      </c>
    </row>
  </sheetData>
  <sortState xmlns:xlrd2="http://schemas.microsoft.com/office/spreadsheetml/2017/richdata2" ref="A2:AD531">
    <sortCondition descending="1" ref="AD2:AD531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04EF3-990A-439B-8E77-63E24C0D7E3A}">
  <dimension ref="A1:AH45"/>
  <sheetViews>
    <sheetView workbookViewId="0">
      <selection activeCell="A28" sqref="A28"/>
    </sheetView>
  </sheetViews>
  <sheetFormatPr defaultRowHeight="15" x14ac:dyDescent="0.25"/>
  <sheetData>
    <row r="1" spans="1:34" x14ac:dyDescent="0.25">
      <c r="A1" t="s">
        <v>2</v>
      </c>
      <c r="B1" t="s">
        <v>212</v>
      </c>
      <c r="C1" s="4" t="s">
        <v>213</v>
      </c>
      <c r="D1" t="s">
        <v>214</v>
      </c>
      <c r="F1" s="4" t="s">
        <v>211</v>
      </c>
      <c r="I1" s="4" t="s">
        <v>211</v>
      </c>
      <c r="L1" s="4" t="s">
        <v>211</v>
      </c>
      <c r="M1" s="5" t="s">
        <v>215</v>
      </c>
      <c r="N1" s="5" t="s">
        <v>218</v>
      </c>
      <c r="O1" t="s">
        <v>216</v>
      </c>
      <c r="Q1" s="4" t="s">
        <v>211</v>
      </c>
      <c r="R1" s="5" t="s">
        <v>217</v>
      </c>
      <c r="S1" s="5" t="s">
        <v>219</v>
      </c>
      <c r="U1" t="s">
        <v>220</v>
      </c>
      <c r="V1" t="s">
        <v>221</v>
      </c>
      <c r="W1" t="s">
        <v>222</v>
      </c>
      <c r="X1" t="s">
        <v>223</v>
      </c>
      <c r="AB1" t="s">
        <v>224</v>
      </c>
      <c r="AC1" t="s">
        <v>225</v>
      </c>
      <c r="AD1" t="s">
        <v>226</v>
      </c>
      <c r="AE1" t="s">
        <v>227</v>
      </c>
      <c r="AG1" t="s">
        <v>228</v>
      </c>
      <c r="AH1" t="s">
        <v>230</v>
      </c>
    </row>
    <row r="2" spans="1:34" x14ac:dyDescent="0.25">
      <c r="A2">
        <v>36</v>
      </c>
      <c r="B2">
        <v>17.649467226800002</v>
      </c>
      <c r="C2">
        <v>0.26500000000000001</v>
      </c>
      <c r="D2">
        <v>516</v>
      </c>
      <c r="E2">
        <v>248.81413392000002</v>
      </c>
      <c r="F2">
        <v>0.6</v>
      </c>
      <c r="G2">
        <v>397</v>
      </c>
      <c r="H2">
        <v>254.46900059999999</v>
      </c>
      <c r="I2">
        <v>0.6</v>
      </c>
      <c r="J2">
        <v>34</v>
      </c>
      <c r="K2">
        <v>17.649467226800002</v>
      </c>
      <c r="L2">
        <v>0.26500000000000001</v>
      </c>
      <c r="M2">
        <v>520.93260174679995</v>
      </c>
      <c r="N2">
        <v>1.4649999999999999</v>
      </c>
      <c r="O2">
        <v>37</v>
      </c>
      <c r="P2">
        <v>17.649467226800002</v>
      </c>
      <c r="Q2">
        <v>0.26500000000000001</v>
      </c>
      <c r="R2">
        <v>17.649467226800002</v>
      </c>
      <c r="S2">
        <v>0.26500000000000001</v>
      </c>
      <c r="U2">
        <v>36</v>
      </c>
      <c r="V2">
        <v>3</v>
      </c>
      <c r="W2">
        <v>3</v>
      </c>
      <c r="X2">
        <v>1</v>
      </c>
      <c r="AB2">
        <v>29.515485938056241</v>
      </c>
      <c r="AC2">
        <v>29.515485938056241</v>
      </c>
      <c r="AD2">
        <v>5.5283018867924518</v>
      </c>
      <c r="AE2">
        <v>5.5283018867924518</v>
      </c>
      <c r="AG2">
        <v>14.75774296902812</v>
      </c>
      <c r="AH2">
        <f>AG2*V2</f>
        <v>44.273228907084359</v>
      </c>
    </row>
    <row r="3" spans="1:34" x14ac:dyDescent="0.25">
      <c r="A3">
        <v>34</v>
      </c>
      <c r="B3">
        <v>17.649467226800002</v>
      </c>
      <c r="C3">
        <v>0.26500000000000001</v>
      </c>
      <c r="D3">
        <v>514</v>
      </c>
      <c r="E3">
        <v>248.81413392000002</v>
      </c>
      <c r="F3">
        <v>0.6</v>
      </c>
      <c r="G3">
        <v>395</v>
      </c>
      <c r="H3">
        <v>254.46900059999999</v>
      </c>
      <c r="I3">
        <v>0.6</v>
      </c>
      <c r="J3">
        <v>33</v>
      </c>
      <c r="K3">
        <v>17.649467226800002</v>
      </c>
      <c r="L3">
        <v>0.26500000000000001</v>
      </c>
      <c r="M3">
        <v>520.93260174679995</v>
      </c>
      <c r="N3">
        <v>1.4649999999999999</v>
      </c>
      <c r="O3">
        <v>36</v>
      </c>
      <c r="P3">
        <v>17.649467226800002</v>
      </c>
      <c r="Q3">
        <v>0.26500000000000001</v>
      </c>
      <c r="R3">
        <v>17.649467226800002</v>
      </c>
      <c r="S3">
        <v>0.26500000000000001</v>
      </c>
      <c r="U3">
        <v>34</v>
      </c>
      <c r="V3">
        <v>3</v>
      </c>
      <c r="W3">
        <v>3</v>
      </c>
      <c r="X3">
        <v>1</v>
      </c>
      <c r="AB3">
        <v>29.515485938056241</v>
      </c>
      <c r="AC3">
        <v>29.515485938056241</v>
      </c>
      <c r="AD3">
        <v>5.5283018867924518</v>
      </c>
      <c r="AE3">
        <v>5.5283018867924518</v>
      </c>
      <c r="AG3">
        <v>14.75774296902812</v>
      </c>
      <c r="AH3">
        <f>AG3*V3</f>
        <v>44.273228907084359</v>
      </c>
    </row>
    <row r="4" spans="1:34" x14ac:dyDescent="0.25">
      <c r="A4">
        <v>338</v>
      </c>
      <c r="B4">
        <v>29.688050070000003</v>
      </c>
      <c r="C4">
        <v>0.3</v>
      </c>
      <c r="D4">
        <v>434</v>
      </c>
      <c r="E4">
        <v>197.92033380000001</v>
      </c>
      <c r="F4">
        <v>0.6</v>
      </c>
      <c r="G4">
        <v>100</v>
      </c>
      <c r="H4">
        <v>36.75663342</v>
      </c>
      <c r="I4">
        <v>0.3</v>
      </c>
      <c r="J4">
        <v>59</v>
      </c>
      <c r="K4">
        <v>294.05306736</v>
      </c>
      <c r="L4">
        <v>0.6</v>
      </c>
      <c r="M4">
        <v>528.73003457999994</v>
      </c>
      <c r="N4">
        <v>1.5</v>
      </c>
      <c r="O4">
        <v>98</v>
      </c>
      <c r="P4">
        <v>25.446900060000001</v>
      </c>
      <c r="Q4">
        <v>0.3</v>
      </c>
      <c r="R4">
        <v>25.446900060000001</v>
      </c>
      <c r="S4">
        <v>0.3</v>
      </c>
      <c r="U4">
        <v>99</v>
      </c>
      <c r="V4">
        <v>1</v>
      </c>
      <c r="W4">
        <v>1</v>
      </c>
      <c r="X4">
        <v>1</v>
      </c>
      <c r="AB4">
        <v>20.777777777777775</v>
      </c>
      <c r="AC4">
        <v>17.809523809523807</v>
      </c>
      <c r="AD4">
        <v>5</v>
      </c>
      <c r="AE4">
        <v>5</v>
      </c>
      <c r="AG4">
        <v>37.499999999999993</v>
      </c>
      <c r="AH4">
        <f>AG4*V4</f>
        <v>37.499999999999993</v>
      </c>
    </row>
    <row r="5" spans="1:34" x14ac:dyDescent="0.25">
      <c r="A5">
        <v>99</v>
      </c>
      <c r="B5">
        <v>5.0265481600000008</v>
      </c>
      <c r="C5">
        <v>0.2</v>
      </c>
      <c r="D5">
        <v>523</v>
      </c>
      <c r="E5">
        <v>376.99111199999999</v>
      </c>
      <c r="F5">
        <v>1</v>
      </c>
      <c r="H5" t="s">
        <v>229</v>
      </c>
      <c r="I5" t="s">
        <v>229</v>
      </c>
      <c r="K5" t="s">
        <v>229</v>
      </c>
      <c r="L5" t="s">
        <v>229</v>
      </c>
      <c r="M5">
        <v>376.99111199999999</v>
      </c>
      <c r="N5">
        <v>1</v>
      </c>
      <c r="O5">
        <v>340</v>
      </c>
      <c r="P5">
        <v>5.0265481600000008</v>
      </c>
      <c r="Q5">
        <v>0.2</v>
      </c>
      <c r="R5">
        <v>5.0265481600000008</v>
      </c>
      <c r="S5">
        <v>0.2</v>
      </c>
      <c r="U5">
        <v>338</v>
      </c>
      <c r="V5">
        <v>3</v>
      </c>
      <c r="W5">
        <v>3</v>
      </c>
      <c r="X5">
        <v>1</v>
      </c>
      <c r="AB5">
        <v>74.999999999999986</v>
      </c>
      <c r="AC5">
        <v>74.999999999999986</v>
      </c>
      <c r="AD5">
        <v>5</v>
      </c>
      <c r="AE5">
        <v>5</v>
      </c>
      <c r="AG5">
        <v>9.5897435897435876</v>
      </c>
      <c r="AH5">
        <f>AG5*V5</f>
        <v>28.769230769230763</v>
      </c>
    </row>
    <row r="6" spans="1:34" x14ac:dyDescent="0.25">
      <c r="A6">
        <v>186</v>
      </c>
      <c r="B6">
        <v>5.0265481600000008</v>
      </c>
      <c r="C6">
        <v>0.2</v>
      </c>
      <c r="D6">
        <v>334</v>
      </c>
      <c r="E6">
        <v>345.57518600000003</v>
      </c>
      <c r="F6">
        <v>1</v>
      </c>
      <c r="H6" t="s">
        <v>229</v>
      </c>
      <c r="I6" t="s">
        <v>229</v>
      </c>
      <c r="K6" t="s">
        <v>229</v>
      </c>
      <c r="L6" t="s">
        <v>229</v>
      </c>
      <c r="M6">
        <v>345.57518600000003</v>
      </c>
      <c r="N6">
        <v>1</v>
      </c>
      <c r="O6">
        <v>336</v>
      </c>
      <c r="P6">
        <v>22.619466719999998</v>
      </c>
      <c r="Q6">
        <v>0.3</v>
      </c>
      <c r="R6">
        <v>22.619466719999998</v>
      </c>
      <c r="S6">
        <v>0.3</v>
      </c>
      <c r="U6">
        <v>335</v>
      </c>
      <c r="V6">
        <v>1</v>
      </c>
      <c r="W6">
        <v>1</v>
      </c>
      <c r="X6">
        <v>1</v>
      </c>
      <c r="AB6">
        <v>15.27777777777778</v>
      </c>
      <c r="AC6">
        <v>68.75</v>
      </c>
      <c r="AD6">
        <v>3.3333333333333335</v>
      </c>
      <c r="AE6">
        <v>5</v>
      </c>
      <c r="AG6">
        <v>24.789291026276651</v>
      </c>
      <c r="AH6">
        <f t="shared" ref="AH6:AH21" si="0">AG6*V6</f>
        <v>24.789291026276651</v>
      </c>
    </row>
    <row r="7" spans="1:34" x14ac:dyDescent="0.25">
      <c r="A7">
        <v>235</v>
      </c>
      <c r="B7">
        <v>17.649467226800002</v>
      </c>
      <c r="C7">
        <v>0.26500000000000001</v>
      </c>
      <c r="D7">
        <v>185</v>
      </c>
      <c r="E7">
        <v>628.31852000000003</v>
      </c>
      <c r="F7">
        <v>1</v>
      </c>
      <c r="H7" t="s">
        <v>229</v>
      </c>
      <c r="I7" t="s">
        <v>229</v>
      </c>
      <c r="K7" t="s">
        <v>229</v>
      </c>
      <c r="L7" t="s">
        <v>229</v>
      </c>
      <c r="M7">
        <v>628.31852000000003</v>
      </c>
      <c r="N7">
        <v>1</v>
      </c>
      <c r="O7">
        <v>181</v>
      </c>
      <c r="P7">
        <v>7.6969018699999987</v>
      </c>
      <c r="Q7">
        <v>0.17499999999999999</v>
      </c>
      <c r="R7">
        <v>7.6969018699999987</v>
      </c>
      <c r="S7">
        <v>0.17499999999999999</v>
      </c>
      <c r="U7">
        <v>186</v>
      </c>
      <c r="V7">
        <v>1</v>
      </c>
      <c r="W7">
        <v>1</v>
      </c>
      <c r="X7">
        <v>1</v>
      </c>
      <c r="AB7">
        <v>81.632653061224502</v>
      </c>
      <c r="AC7">
        <v>35.599857600569592</v>
      </c>
      <c r="AD7">
        <v>5.7142857142857144</v>
      </c>
      <c r="AE7">
        <v>3.773584905660377</v>
      </c>
      <c r="AG7">
        <v>24.218749999999996</v>
      </c>
      <c r="AH7">
        <f t="shared" si="0"/>
        <v>24.218749999999996</v>
      </c>
    </row>
    <row r="8" spans="1:34" x14ac:dyDescent="0.25">
      <c r="A8">
        <v>120</v>
      </c>
      <c r="B8">
        <f>IFERROR(VLOOKUP(A8,Capacity!$A$3:$D$532,4,), "0")</f>
        <v>10.681414840000002</v>
      </c>
      <c r="C8" s="4">
        <f>IFERROR(VLOOKUP(A8,Capacity!$A$3:$F$532,6,), "0")</f>
        <v>0.2</v>
      </c>
      <c r="D8">
        <v>179</v>
      </c>
      <c r="E8">
        <f>IFERROR(VLOOKUP(D8,Capacity!$A$3:$D$532,4,), "0")</f>
        <v>486.94685300000003</v>
      </c>
      <c r="F8" s="4">
        <f>IFERROR(VLOOKUP(D8,Capacity!$A$3:$F$532,6,), "0")</f>
        <v>1</v>
      </c>
      <c r="H8" t="str">
        <f>IFERROR(VLOOKUP(G8,Capacity!$A$3:$D$532,4,), "0")</f>
        <v>0</v>
      </c>
      <c r="I8" s="4" t="str">
        <f>IFERROR(VLOOKUP(G8,Capacity!$A$3:$F$532,6,), "0")</f>
        <v>0</v>
      </c>
      <c r="K8" t="str">
        <f>IFERROR(VLOOKUP(J8,Capacity!$A$3:$D$532,4,), "0")</f>
        <v>0</v>
      </c>
      <c r="L8" s="4" t="str">
        <f>IFERROR(VLOOKUP(J8,Capacity!$A$3:$F$532,6,), "0")</f>
        <v>0</v>
      </c>
      <c r="M8" s="5">
        <f t="shared" ref="M8" si="1">$E8+$H8+$K8</f>
        <v>486.94685300000003</v>
      </c>
      <c r="N8" s="5">
        <f t="shared" ref="N8" si="2">$F8+$I8+$L8</f>
        <v>1</v>
      </c>
      <c r="O8">
        <v>246</v>
      </c>
      <c r="P8">
        <f>IFERROR(VLOOKUP(O8,Capacity!$A$3:$D$532,4,), "0")</f>
        <v>10.053096320000002</v>
      </c>
      <c r="Q8" s="4">
        <f>IFERROR(VLOOKUP(O8,Capacity!$A$3:$F$532,6,), "0")</f>
        <v>0.2</v>
      </c>
      <c r="R8" s="5">
        <f t="shared" ref="R8" si="3">$P8</f>
        <v>10.053096320000002</v>
      </c>
      <c r="S8" s="5">
        <f t="shared" ref="S8" si="4">$Q8</f>
        <v>0.2</v>
      </c>
      <c r="U8">
        <v>235</v>
      </c>
      <c r="V8">
        <v>2</v>
      </c>
      <c r="W8">
        <v>2</v>
      </c>
      <c r="X8">
        <v>1</v>
      </c>
      <c r="AB8">
        <f t="shared" ref="AB8" si="5">($M8/$R8)</f>
        <v>48.437499999999993</v>
      </c>
      <c r="AC8">
        <f t="shared" ref="AC8" si="6">($M8/$B8)</f>
        <v>45.588235294117638</v>
      </c>
      <c r="AD8">
        <f t="shared" ref="AD8" si="7">($N8/$S8)</f>
        <v>5</v>
      </c>
      <c r="AE8">
        <f t="shared" ref="AE8" si="8">($N8/$C8)</f>
        <v>5</v>
      </c>
      <c r="AG8">
        <v>11.990870786516854</v>
      </c>
      <c r="AH8">
        <f t="shared" si="0"/>
        <v>23.981741573033709</v>
      </c>
    </row>
    <row r="9" spans="1:34" x14ac:dyDescent="0.25">
      <c r="A9">
        <v>125</v>
      </c>
      <c r="B9">
        <v>10.681414840000002</v>
      </c>
      <c r="C9">
        <v>0.2</v>
      </c>
      <c r="D9">
        <v>121</v>
      </c>
      <c r="E9">
        <v>309.25052156250001</v>
      </c>
      <c r="F9">
        <v>0.75</v>
      </c>
      <c r="G9">
        <v>119</v>
      </c>
      <c r="H9">
        <v>361.28314899999998</v>
      </c>
      <c r="I9">
        <v>1</v>
      </c>
      <c r="K9" t="s">
        <v>229</v>
      </c>
      <c r="L9" t="s">
        <v>229</v>
      </c>
      <c r="M9">
        <v>670.53367056249999</v>
      </c>
      <c r="N9">
        <v>1.75</v>
      </c>
      <c r="O9">
        <v>127</v>
      </c>
      <c r="P9">
        <v>45.238933439999997</v>
      </c>
      <c r="Q9">
        <v>0.3</v>
      </c>
      <c r="R9">
        <v>45.238933439999997</v>
      </c>
      <c r="S9">
        <v>0.3</v>
      </c>
      <c r="U9">
        <v>120</v>
      </c>
      <c r="V9">
        <v>2</v>
      </c>
      <c r="W9">
        <v>2</v>
      </c>
      <c r="X9">
        <v>1</v>
      </c>
      <c r="AB9">
        <v>14.822048611111112</v>
      </c>
      <c r="AC9">
        <v>62.775735294117631</v>
      </c>
      <c r="AD9">
        <v>5.8333333333333339</v>
      </c>
      <c r="AE9">
        <v>8.75</v>
      </c>
      <c r="AG9">
        <v>7.9471112388617424</v>
      </c>
      <c r="AH9">
        <f t="shared" si="0"/>
        <v>15.894222477723485</v>
      </c>
    </row>
    <row r="10" spans="1:34" x14ac:dyDescent="0.25">
      <c r="A10">
        <v>208</v>
      </c>
      <c r="B10">
        <v>25.446900060000001</v>
      </c>
      <c r="C10">
        <v>0.3</v>
      </c>
      <c r="D10">
        <v>99</v>
      </c>
      <c r="E10">
        <v>29.688050070000003</v>
      </c>
      <c r="F10">
        <v>0.3</v>
      </c>
      <c r="G10">
        <v>97</v>
      </c>
      <c r="H10">
        <v>203.57520048000001</v>
      </c>
      <c r="I10">
        <v>0.9</v>
      </c>
      <c r="K10" t="s">
        <v>229</v>
      </c>
      <c r="L10" t="s">
        <v>229</v>
      </c>
      <c r="M10">
        <v>233.26325055000001</v>
      </c>
      <c r="N10">
        <v>1.2</v>
      </c>
      <c r="O10">
        <v>123</v>
      </c>
      <c r="P10">
        <v>7.6969018699999987</v>
      </c>
      <c r="Q10">
        <v>0.17499999999999999</v>
      </c>
      <c r="R10">
        <v>7.6969018699999987</v>
      </c>
      <c r="S10">
        <v>0.17499999999999999</v>
      </c>
      <c r="U10">
        <v>98</v>
      </c>
      <c r="V10">
        <v>2</v>
      </c>
      <c r="W10">
        <v>2</v>
      </c>
      <c r="X10">
        <v>1</v>
      </c>
      <c r="AB10">
        <v>30.306122448979597</v>
      </c>
      <c r="AC10">
        <v>9.1666666666666661</v>
      </c>
      <c r="AD10">
        <v>6.8571428571428577</v>
      </c>
      <c r="AE10">
        <v>4</v>
      </c>
      <c r="AG10">
        <v>7.6990223463687144</v>
      </c>
      <c r="AH10">
        <f t="shared" si="0"/>
        <v>15.398044692737429</v>
      </c>
    </row>
    <row r="11" spans="1:34" x14ac:dyDescent="0.25">
      <c r="A11">
        <v>98</v>
      </c>
      <c r="B11">
        <v>10.053096320000002</v>
      </c>
      <c r="C11">
        <v>0.2</v>
      </c>
      <c r="D11">
        <v>465</v>
      </c>
      <c r="E11">
        <v>353.42916750000001</v>
      </c>
      <c r="F11">
        <v>0.75</v>
      </c>
      <c r="H11" t="s">
        <v>229</v>
      </c>
      <c r="I11" t="s">
        <v>229</v>
      </c>
      <c r="K11" t="s">
        <v>229</v>
      </c>
      <c r="L11" t="s">
        <v>229</v>
      </c>
      <c r="M11">
        <v>353.42916750000001</v>
      </c>
      <c r="N11">
        <v>0.75</v>
      </c>
      <c r="O11">
        <v>202</v>
      </c>
      <c r="P11">
        <v>28.902651920000004</v>
      </c>
      <c r="Q11">
        <v>0.2</v>
      </c>
      <c r="R11">
        <v>28.902651920000004</v>
      </c>
      <c r="S11">
        <v>0.2</v>
      </c>
      <c r="U11">
        <v>200</v>
      </c>
      <c r="V11">
        <v>2</v>
      </c>
      <c r="W11">
        <v>2</v>
      </c>
      <c r="X11">
        <v>1</v>
      </c>
      <c r="AB11">
        <v>12.228260869565215</v>
      </c>
      <c r="AC11">
        <v>35.156249999999993</v>
      </c>
      <c r="AD11">
        <v>3.75</v>
      </c>
      <c r="AE11">
        <v>3.75</v>
      </c>
      <c r="AG11">
        <v>7.0379146919431275</v>
      </c>
      <c r="AH11">
        <f t="shared" si="0"/>
        <v>14.075829383886255</v>
      </c>
    </row>
    <row r="12" spans="1:34" x14ac:dyDescent="0.25">
      <c r="A12">
        <v>335</v>
      </c>
      <c r="B12">
        <v>10.053096320000002</v>
      </c>
      <c r="C12">
        <v>0.2</v>
      </c>
      <c r="D12">
        <v>498</v>
      </c>
      <c r="E12">
        <v>110.58405952000003</v>
      </c>
      <c r="F12">
        <v>0.4</v>
      </c>
      <c r="G12">
        <v>488</v>
      </c>
      <c r="H12">
        <v>42.411500099999998</v>
      </c>
      <c r="I12">
        <v>0.3</v>
      </c>
      <c r="K12" t="s">
        <v>229</v>
      </c>
      <c r="L12" t="s">
        <v>229</v>
      </c>
      <c r="M12">
        <v>152.99555962000002</v>
      </c>
      <c r="N12">
        <v>0.7</v>
      </c>
      <c r="O12">
        <v>298</v>
      </c>
      <c r="P12">
        <v>15.707962999999999</v>
      </c>
      <c r="Q12">
        <v>0.25</v>
      </c>
      <c r="R12">
        <v>15.707962999999999</v>
      </c>
      <c r="S12">
        <v>0.25</v>
      </c>
      <c r="U12">
        <v>297</v>
      </c>
      <c r="V12">
        <v>1</v>
      </c>
      <c r="W12">
        <v>1</v>
      </c>
      <c r="X12">
        <v>1</v>
      </c>
      <c r="AB12">
        <v>9.740000000000002</v>
      </c>
      <c r="AC12">
        <v>15.21875</v>
      </c>
      <c r="AD12">
        <v>2.8</v>
      </c>
      <c r="AE12">
        <v>3.4999999999999996</v>
      </c>
      <c r="AG12">
        <v>12.500000000000002</v>
      </c>
      <c r="AH12">
        <f t="shared" si="0"/>
        <v>12.500000000000002</v>
      </c>
    </row>
    <row r="13" spans="1:34" x14ac:dyDescent="0.25">
      <c r="A13">
        <v>297</v>
      </c>
      <c r="B13">
        <v>42.725659360000009</v>
      </c>
      <c r="C13">
        <v>0.4</v>
      </c>
      <c r="D13">
        <v>167</v>
      </c>
      <c r="E13">
        <v>175.30086708000002</v>
      </c>
      <c r="F13">
        <v>0.6</v>
      </c>
      <c r="G13">
        <v>177</v>
      </c>
      <c r="H13">
        <v>282.743334</v>
      </c>
      <c r="I13">
        <v>0.75</v>
      </c>
      <c r="K13" t="s">
        <v>229</v>
      </c>
      <c r="L13" t="s">
        <v>229</v>
      </c>
      <c r="M13">
        <v>458.04420107999999</v>
      </c>
      <c r="N13">
        <v>1.35</v>
      </c>
      <c r="O13">
        <v>163</v>
      </c>
      <c r="P13">
        <v>42.725659360000009</v>
      </c>
      <c r="Q13">
        <v>0.4</v>
      </c>
      <c r="R13">
        <v>42.725659360000009</v>
      </c>
      <c r="S13">
        <v>0.4</v>
      </c>
      <c r="U13">
        <v>169</v>
      </c>
      <c r="V13">
        <v>2</v>
      </c>
      <c r="W13">
        <v>2</v>
      </c>
      <c r="X13">
        <v>1</v>
      </c>
      <c r="AB13">
        <v>10.720588235294116</v>
      </c>
      <c r="AC13">
        <v>10.720588235294116</v>
      </c>
      <c r="AD13">
        <v>3.375</v>
      </c>
      <c r="AE13">
        <v>3.375</v>
      </c>
      <c r="AG13">
        <v>5.9390243902439028</v>
      </c>
      <c r="AH13">
        <f t="shared" si="0"/>
        <v>11.878048780487806</v>
      </c>
    </row>
    <row r="14" spans="1:34" x14ac:dyDescent="0.25">
      <c r="A14">
        <v>169</v>
      </c>
      <c r="B14">
        <v>21.647536509374998</v>
      </c>
      <c r="C14">
        <v>0.17499999999999999</v>
      </c>
      <c r="D14">
        <v>441</v>
      </c>
      <c r="E14">
        <v>180.95573375999999</v>
      </c>
      <c r="F14">
        <v>0.6</v>
      </c>
      <c r="G14">
        <v>437</v>
      </c>
      <c r="H14">
        <v>90.477866879999993</v>
      </c>
      <c r="I14">
        <v>0.6</v>
      </c>
      <c r="K14" t="s">
        <v>229</v>
      </c>
      <c r="L14" t="s">
        <v>229</v>
      </c>
      <c r="M14">
        <v>271.43360064000001</v>
      </c>
      <c r="N14">
        <v>1.2</v>
      </c>
      <c r="O14">
        <v>126</v>
      </c>
      <c r="P14">
        <v>12.507465538749999</v>
      </c>
      <c r="Q14">
        <v>0.17499999999999999</v>
      </c>
      <c r="R14">
        <v>12.507465538749999</v>
      </c>
      <c r="S14">
        <v>0.17499999999999999</v>
      </c>
      <c r="U14">
        <v>125</v>
      </c>
      <c r="V14">
        <v>2</v>
      </c>
      <c r="W14">
        <v>2</v>
      </c>
      <c r="X14">
        <v>1</v>
      </c>
      <c r="AB14">
        <v>21.701726844583991</v>
      </c>
      <c r="AC14">
        <v>12.538775510204083</v>
      </c>
      <c r="AD14">
        <v>6.8571428571428577</v>
      </c>
      <c r="AE14">
        <v>6.8571428571428577</v>
      </c>
      <c r="AG14">
        <v>5.360294117647058</v>
      </c>
      <c r="AH14">
        <f t="shared" si="0"/>
        <v>10.720588235294116</v>
      </c>
    </row>
    <row r="15" spans="1:34" x14ac:dyDescent="0.25">
      <c r="A15">
        <v>150</v>
      </c>
      <c r="B15">
        <v>25.132740800000008</v>
      </c>
      <c r="C15">
        <v>0.4</v>
      </c>
      <c r="D15">
        <v>205</v>
      </c>
      <c r="E15">
        <v>309.25052156250001</v>
      </c>
      <c r="F15">
        <v>0.75</v>
      </c>
      <c r="G15">
        <v>209</v>
      </c>
      <c r="H15">
        <v>123.700208625</v>
      </c>
      <c r="I15">
        <v>0.75</v>
      </c>
      <c r="K15" t="s">
        <v>229</v>
      </c>
      <c r="L15" t="s">
        <v>229</v>
      </c>
      <c r="M15">
        <v>432.95073018750003</v>
      </c>
      <c r="N15">
        <v>1.5</v>
      </c>
      <c r="O15">
        <v>207</v>
      </c>
      <c r="P15">
        <v>31.101766740000002</v>
      </c>
      <c r="Q15">
        <v>0.3</v>
      </c>
      <c r="R15">
        <v>31.101766740000002</v>
      </c>
      <c r="S15">
        <v>0.3</v>
      </c>
      <c r="U15">
        <v>208</v>
      </c>
      <c r="V15">
        <v>2</v>
      </c>
      <c r="W15">
        <v>2</v>
      </c>
      <c r="X15">
        <v>1</v>
      </c>
      <c r="AB15">
        <v>13.920454545454545</v>
      </c>
      <c r="AC15">
        <v>17.226562499999996</v>
      </c>
      <c r="AD15">
        <v>5</v>
      </c>
      <c r="AE15">
        <v>3.75</v>
      </c>
      <c r="AG15">
        <v>4.8</v>
      </c>
      <c r="AH15">
        <f t="shared" si="0"/>
        <v>9.6</v>
      </c>
    </row>
    <row r="16" spans="1:34" x14ac:dyDescent="0.25">
      <c r="A16">
        <v>200</v>
      </c>
      <c r="B16">
        <v>19.242254674999998</v>
      </c>
      <c r="C16">
        <v>0.17499999999999999</v>
      </c>
      <c r="D16">
        <v>446</v>
      </c>
      <c r="E16">
        <v>40.212385280000007</v>
      </c>
      <c r="F16">
        <v>0.4</v>
      </c>
      <c r="G16">
        <v>88</v>
      </c>
      <c r="H16">
        <v>172.78759300000002</v>
      </c>
      <c r="I16">
        <v>0.5</v>
      </c>
      <c r="K16" t="s">
        <v>229</v>
      </c>
      <c r="L16" t="s">
        <v>229</v>
      </c>
      <c r="M16">
        <v>212.99997828000002</v>
      </c>
      <c r="N16">
        <v>0.9</v>
      </c>
      <c r="O16">
        <v>151</v>
      </c>
      <c r="P16">
        <v>25.132740800000008</v>
      </c>
      <c r="Q16">
        <v>0.2</v>
      </c>
      <c r="R16">
        <v>25.132740800000008</v>
      </c>
      <c r="S16">
        <v>0.2</v>
      </c>
      <c r="U16">
        <v>150</v>
      </c>
      <c r="V16">
        <v>1</v>
      </c>
      <c r="W16">
        <v>1</v>
      </c>
      <c r="X16">
        <v>1</v>
      </c>
      <c r="AB16">
        <v>8.4749999999999979</v>
      </c>
      <c r="AC16">
        <v>11.069387755102044</v>
      </c>
      <c r="AD16">
        <v>4.5</v>
      </c>
      <c r="AE16">
        <v>5.1428571428571432</v>
      </c>
      <c r="AG16">
        <v>9.07258064516129</v>
      </c>
      <c r="AH16">
        <f t="shared" si="0"/>
        <v>9.07258064516129</v>
      </c>
    </row>
    <row r="17" spans="1:34" x14ac:dyDescent="0.25">
      <c r="A17">
        <v>100</v>
      </c>
      <c r="B17">
        <v>36.75663342</v>
      </c>
      <c r="C17">
        <v>0.3</v>
      </c>
      <c r="D17">
        <v>433</v>
      </c>
      <c r="E17">
        <v>56.799994208000008</v>
      </c>
      <c r="F17">
        <v>0.4</v>
      </c>
      <c r="G17">
        <v>102</v>
      </c>
      <c r="H17">
        <v>50.265481600000015</v>
      </c>
      <c r="I17">
        <v>0.4</v>
      </c>
      <c r="J17">
        <v>60</v>
      </c>
      <c r="K17">
        <v>90.477866880000022</v>
      </c>
      <c r="L17">
        <v>0.4</v>
      </c>
      <c r="M17">
        <v>197.54334268800005</v>
      </c>
      <c r="N17">
        <v>1.2000000000000002</v>
      </c>
      <c r="O17">
        <v>99</v>
      </c>
      <c r="P17">
        <v>29.688050070000003</v>
      </c>
      <c r="Q17">
        <v>0.3</v>
      </c>
      <c r="R17">
        <v>29.688050070000003</v>
      </c>
      <c r="S17">
        <v>0.3</v>
      </c>
      <c r="U17">
        <v>100</v>
      </c>
      <c r="V17">
        <v>3</v>
      </c>
      <c r="W17">
        <v>3</v>
      </c>
      <c r="X17">
        <v>1</v>
      </c>
      <c r="AB17">
        <v>6.6539682539682552</v>
      </c>
      <c r="AC17">
        <v>5.3743589743589757</v>
      </c>
      <c r="AD17">
        <v>4.0000000000000009</v>
      </c>
      <c r="AE17">
        <v>4.0000000000000009</v>
      </c>
      <c r="AG17">
        <v>2.9730496453900717</v>
      </c>
      <c r="AH17">
        <f t="shared" si="0"/>
        <v>8.919148936170215</v>
      </c>
    </row>
    <row r="18" spans="1:34" x14ac:dyDescent="0.25">
      <c r="A18">
        <v>172</v>
      </c>
      <c r="B18">
        <v>7.6969018699999987</v>
      </c>
      <c r="C18">
        <v>0.17499999999999999</v>
      </c>
      <c r="D18">
        <v>180</v>
      </c>
      <c r="E18">
        <v>20.734511160000007</v>
      </c>
      <c r="F18">
        <v>0.2</v>
      </c>
      <c r="G18">
        <v>186</v>
      </c>
      <c r="H18">
        <v>17.649467226800002</v>
      </c>
      <c r="I18">
        <v>0.26500000000000001</v>
      </c>
      <c r="J18">
        <v>458</v>
      </c>
      <c r="K18">
        <v>19.242254674999998</v>
      </c>
      <c r="L18">
        <v>0.17499999999999999</v>
      </c>
      <c r="M18">
        <v>57.626233061800008</v>
      </c>
      <c r="N18">
        <v>0.64</v>
      </c>
      <c r="O18">
        <v>175</v>
      </c>
      <c r="P18">
        <v>17.649467226800002</v>
      </c>
      <c r="Q18">
        <v>0.26500000000000001</v>
      </c>
      <c r="R18">
        <v>17.649467226800002</v>
      </c>
      <c r="S18">
        <v>0.26500000000000001</v>
      </c>
      <c r="U18">
        <v>181</v>
      </c>
      <c r="V18">
        <v>2</v>
      </c>
      <c r="W18">
        <v>2</v>
      </c>
      <c r="X18">
        <v>1</v>
      </c>
      <c r="AB18">
        <v>3.2650409398362408</v>
      </c>
      <c r="AC18">
        <v>7.4869387755102066</v>
      </c>
      <c r="AD18">
        <v>2.4150943396226414</v>
      </c>
      <c r="AE18">
        <v>3.6571428571428575</v>
      </c>
      <c r="AG18">
        <v>4.4142454326828755</v>
      </c>
      <c r="AH18">
        <f t="shared" si="0"/>
        <v>8.828490865365751</v>
      </c>
    </row>
    <row r="19" spans="1:34" x14ac:dyDescent="0.25">
      <c r="A19">
        <v>174</v>
      </c>
      <c r="B19">
        <v>22.619466719999998</v>
      </c>
      <c r="C19">
        <v>0.3</v>
      </c>
      <c r="D19">
        <v>171</v>
      </c>
      <c r="E19">
        <v>291.57906318750003</v>
      </c>
      <c r="F19">
        <v>0.75</v>
      </c>
      <c r="G19">
        <v>175</v>
      </c>
      <c r="H19">
        <v>17.649467226800002</v>
      </c>
      <c r="I19">
        <v>0.26500000000000001</v>
      </c>
      <c r="K19">
        <v>0</v>
      </c>
      <c r="L19" t="s">
        <v>229</v>
      </c>
      <c r="M19">
        <v>309.22853041430005</v>
      </c>
      <c r="N19">
        <v>1.0150000000000001</v>
      </c>
      <c r="O19">
        <v>166</v>
      </c>
      <c r="P19">
        <v>47.432943172025006</v>
      </c>
      <c r="Q19">
        <v>0.26500000000000001</v>
      </c>
      <c r="R19">
        <v>47.432943172025006</v>
      </c>
      <c r="S19">
        <v>0.26500000000000001</v>
      </c>
      <c r="U19">
        <v>172</v>
      </c>
      <c r="V19">
        <v>1</v>
      </c>
      <c r="W19">
        <v>1</v>
      </c>
      <c r="X19">
        <v>1</v>
      </c>
      <c r="AB19">
        <v>6.5192777368425414</v>
      </c>
      <c r="AC19">
        <v>13.670902777777782</v>
      </c>
      <c r="AD19">
        <v>3.8301886792452833</v>
      </c>
      <c r="AE19">
        <v>3.3833333333333337</v>
      </c>
      <c r="AG19">
        <v>8.6975365765090373</v>
      </c>
      <c r="AH19">
        <f t="shared" si="0"/>
        <v>8.6975365765090373</v>
      </c>
    </row>
    <row r="20" spans="1:34" x14ac:dyDescent="0.25">
      <c r="A20">
        <v>181</v>
      </c>
      <c r="B20">
        <v>15.874860106874999</v>
      </c>
      <c r="C20">
        <v>0.17499999999999999</v>
      </c>
      <c r="D20">
        <v>455</v>
      </c>
      <c r="E20">
        <v>291.57906318750003</v>
      </c>
      <c r="F20">
        <v>0.75</v>
      </c>
      <c r="H20" t="s">
        <v>229</v>
      </c>
      <c r="I20" t="s">
        <v>229</v>
      </c>
      <c r="K20">
        <v>0</v>
      </c>
      <c r="L20" t="s">
        <v>229</v>
      </c>
      <c r="M20">
        <v>291.57906318750003</v>
      </c>
      <c r="N20">
        <v>0.75</v>
      </c>
      <c r="O20">
        <v>175</v>
      </c>
      <c r="P20">
        <v>17.649467226800002</v>
      </c>
      <c r="Q20">
        <v>0.26500000000000001</v>
      </c>
      <c r="R20">
        <v>17.649467226800002</v>
      </c>
      <c r="S20">
        <v>0.26500000000000001</v>
      </c>
      <c r="U20">
        <v>174</v>
      </c>
      <c r="V20">
        <v>3</v>
      </c>
      <c r="W20">
        <v>3</v>
      </c>
      <c r="X20">
        <v>1</v>
      </c>
      <c r="AB20">
        <v>16.52055891776433</v>
      </c>
      <c r="AC20">
        <v>18.367346938775512</v>
      </c>
      <c r="AD20">
        <v>2.8301886792452828</v>
      </c>
      <c r="AE20">
        <v>4.2857142857142856</v>
      </c>
      <c r="AG20">
        <v>2.2735498264749632</v>
      </c>
      <c r="AH20">
        <f t="shared" si="0"/>
        <v>6.8206494794248895</v>
      </c>
    </row>
    <row r="21" spans="1:34" x14ac:dyDescent="0.25">
      <c r="A21">
        <v>214</v>
      </c>
      <c r="B21">
        <v>9.621127337499999</v>
      </c>
      <c r="C21">
        <v>0.17499999999999999</v>
      </c>
      <c r="D21">
        <v>474</v>
      </c>
      <c r="E21">
        <v>24.052818343749998</v>
      </c>
      <c r="F21">
        <v>0.17499999999999999</v>
      </c>
      <c r="G21">
        <v>217</v>
      </c>
      <c r="H21">
        <v>19.242254674999998</v>
      </c>
      <c r="I21">
        <v>0.17499999999999999</v>
      </c>
      <c r="K21">
        <v>0</v>
      </c>
      <c r="L21" t="s">
        <v>229</v>
      </c>
      <c r="M21">
        <v>43.295073018749996</v>
      </c>
      <c r="N21">
        <v>0.35</v>
      </c>
      <c r="O21">
        <v>214</v>
      </c>
      <c r="P21">
        <v>5.7726764024999992</v>
      </c>
      <c r="Q21">
        <v>0.17499999999999999</v>
      </c>
      <c r="R21">
        <v>5.7726764024999992</v>
      </c>
      <c r="S21">
        <v>0.17499999999999999</v>
      </c>
      <c r="U21">
        <v>213</v>
      </c>
      <c r="V21">
        <v>2</v>
      </c>
      <c r="W21">
        <v>2</v>
      </c>
      <c r="X21">
        <v>1</v>
      </c>
      <c r="AB21">
        <v>7.5</v>
      </c>
      <c r="AC21">
        <v>4.5</v>
      </c>
      <c r="AD21">
        <v>2</v>
      </c>
      <c r="AE21">
        <v>2</v>
      </c>
      <c r="AG21">
        <v>2.9527687296416931</v>
      </c>
      <c r="AH21">
        <f t="shared" si="0"/>
        <v>5.9055374592833862</v>
      </c>
    </row>
    <row r="23" spans="1:34" x14ac:dyDescent="0.25">
      <c r="A23" t="s">
        <v>2</v>
      </c>
      <c r="B23" t="s">
        <v>212</v>
      </c>
      <c r="C23" t="s">
        <v>213</v>
      </c>
      <c r="D23" t="s">
        <v>214</v>
      </c>
      <c r="F23" t="s">
        <v>211</v>
      </c>
      <c r="I23" t="s">
        <v>211</v>
      </c>
      <c r="L23" t="s">
        <v>211</v>
      </c>
      <c r="M23" t="s">
        <v>215</v>
      </c>
      <c r="N23" t="s">
        <v>218</v>
      </c>
      <c r="O23" t="s">
        <v>216</v>
      </c>
      <c r="Q23" t="s">
        <v>211</v>
      </c>
      <c r="R23" t="s">
        <v>217</v>
      </c>
      <c r="S23" t="s">
        <v>219</v>
      </c>
      <c r="U23" t="s">
        <v>220</v>
      </c>
      <c r="V23" t="s">
        <v>221</v>
      </c>
      <c r="W23" t="s">
        <v>222</v>
      </c>
      <c r="X23" t="s">
        <v>223</v>
      </c>
      <c r="AB23" t="s">
        <v>224</v>
      </c>
      <c r="AC23" t="s">
        <v>225</v>
      </c>
      <c r="AD23" t="s">
        <v>226</v>
      </c>
      <c r="AE23" t="s">
        <v>227</v>
      </c>
      <c r="AG23" t="s">
        <v>228</v>
      </c>
    </row>
    <row r="24" spans="1:34" x14ac:dyDescent="0.25">
      <c r="A24">
        <v>36</v>
      </c>
      <c r="B24">
        <f>IFERROR(VLOOKUP(A24,Capacity!$A$3:$D$532,4,), "0")</f>
        <v>17.649467226800002</v>
      </c>
      <c r="C24">
        <v>0.26500000000000001</v>
      </c>
      <c r="D24">
        <v>516</v>
      </c>
      <c r="E24">
        <f>IFERROR(VLOOKUP(D24,Capacity!$A$3:$D$532,4,), "0")</f>
        <v>248.81413392000002</v>
      </c>
      <c r="F24">
        <v>0.6</v>
      </c>
      <c r="G24">
        <v>397</v>
      </c>
      <c r="H24">
        <f>IFERROR(VLOOKUP(G24,Capacity!$A$3:$D$532,4,), "0")</f>
        <v>254.46900059999999</v>
      </c>
      <c r="I24">
        <v>0.6</v>
      </c>
      <c r="J24">
        <v>34</v>
      </c>
      <c r="K24">
        <v>17.649467226800002</v>
      </c>
      <c r="L24">
        <v>0.26500000000000001</v>
      </c>
      <c r="M24">
        <v>520.93260174679995</v>
      </c>
      <c r="N24">
        <v>1.4649999999999999</v>
      </c>
      <c r="O24">
        <v>37</v>
      </c>
      <c r="P24">
        <v>17.649467226800002</v>
      </c>
      <c r="Q24">
        <v>0.26500000000000001</v>
      </c>
      <c r="R24">
        <v>17.649467226800002</v>
      </c>
      <c r="S24">
        <v>0.26500000000000001</v>
      </c>
      <c r="U24">
        <v>36</v>
      </c>
      <c r="V24">
        <v>3</v>
      </c>
      <c r="W24">
        <v>3</v>
      </c>
      <c r="X24">
        <v>1</v>
      </c>
      <c r="AB24">
        <v>29.515485938056241</v>
      </c>
      <c r="AC24">
        <v>29.515485938056241</v>
      </c>
      <c r="AD24">
        <v>5.5283018867924518</v>
      </c>
      <c r="AE24">
        <v>5.5283018867924518</v>
      </c>
      <c r="AG24">
        <v>14.757742969028101</v>
      </c>
    </row>
    <row r="25" spans="1:34" x14ac:dyDescent="0.25">
      <c r="A25">
        <v>34</v>
      </c>
      <c r="B25">
        <f>IFERROR(VLOOKUP(A25,Capacity!$A$3:$D$532,4,), "0")</f>
        <v>17.649467226800002</v>
      </c>
      <c r="C25">
        <v>0.26500000000000001</v>
      </c>
      <c r="D25">
        <v>514</v>
      </c>
      <c r="E25">
        <f>IFERROR(VLOOKUP(D25,Capacity!$A$3:$D$532,4,), "0")</f>
        <v>248.81413392000002</v>
      </c>
      <c r="F25">
        <v>0.6</v>
      </c>
      <c r="G25">
        <v>395</v>
      </c>
      <c r="H25">
        <f>IFERROR(VLOOKUP(G25,Capacity!$A$3:$D$532,4,), "0")</f>
        <v>254.46900059999999</v>
      </c>
      <c r="I25">
        <v>0.6</v>
      </c>
      <c r="J25">
        <v>33</v>
      </c>
      <c r="K25">
        <v>17.649467226800002</v>
      </c>
      <c r="L25">
        <v>0.26500000000000001</v>
      </c>
      <c r="M25">
        <v>520.93260174679995</v>
      </c>
      <c r="N25">
        <v>1.4649999999999999</v>
      </c>
      <c r="O25">
        <v>36</v>
      </c>
      <c r="P25">
        <v>17.649467226800002</v>
      </c>
      <c r="Q25">
        <v>0.26500000000000001</v>
      </c>
      <c r="R25">
        <v>17.649467226800002</v>
      </c>
      <c r="S25">
        <v>0.26500000000000001</v>
      </c>
      <c r="U25">
        <v>34</v>
      </c>
      <c r="V25">
        <v>3</v>
      </c>
      <c r="W25">
        <v>3</v>
      </c>
      <c r="X25">
        <v>1</v>
      </c>
      <c r="AB25">
        <v>29.515485938056241</v>
      </c>
      <c r="AC25">
        <v>29.515485938056241</v>
      </c>
      <c r="AD25">
        <v>5.5283018867924518</v>
      </c>
      <c r="AE25">
        <v>5.5283018867924518</v>
      </c>
      <c r="AG25">
        <v>14.75774296902812</v>
      </c>
    </row>
    <row r="26" spans="1:34" x14ac:dyDescent="0.25">
      <c r="A26">
        <v>99</v>
      </c>
      <c r="B26">
        <f>IFERROR(VLOOKUP(A26,Capacity!$A$3:$D$532,4,), "0")</f>
        <v>29.688050070000003</v>
      </c>
      <c r="C26">
        <v>0.3</v>
      </c>
      <c r="D26">
        <v>434</v>
      </c>
      <c r="E26">
        <f>IFERROR(VLOOKUP(D26,Capacity!$A$3:$D$532,4,), "0")</f>
        <v>197.92033380000001</v>
      </c>
      <c r="F26">
        <v>0.6</v>
      </c>
      <c r="G26">
        <v>100</v>
      </c>
      <c r="H26">
        <f>IFERROR(VLOOKUP(G26,Capacity!$A$3:$D$532,4,), "0")</f>
        <v>36.75663342</v>
      </c>
      <c r="I26">
        <v>0.3</v>
      </c>
      <c r="J26">
        <v>59</v>
      </c>
      <c r="K26">
        <v>294.05306736</v>
      </c>
      <c r="L26">
        <v>0.6</v>
      </c>
      <c r="M26">
        <v>528.73003457999994</v>
      </c>
      <c r="N26">
        <v>1.5</v>
      </c>
      <c r="O26">
        <v>98</v>
      </c>
      <c r="P26">
        <v>25.446900060000001</v>
      </c>
      <c r="Q26">
        <v>0.3</v>
      </c>
      <c r="R26">
        <v>25.446900060000001</v>
      </c>
      <c r="S26">
        <v>0.3</v>
      </c>
      <c r="U26">
        <v>99</v>
      </c>
      <c r="V26">
        <v>1</v>
      </c>
      <c r="W26">
        <v>1</v>
      </c>
      <c r="X26">
        <v>1</v>
      </c>
      <c r="AB26">
        <v>20.777777777777775</v>
      </c>
      <c r="AC26">
        <v>17.809523809523807</v>
      </c>
      <c r="AD26">
        <v>5</v>
      </c>
      <c r="AE26">
        <v>5</v>
      </c>
      <c r="AG26">
        <v>9.5897435897435876</v>
      </c>
    </row>
    <row r="27" spans="1:34" x14ac:dyDescent="0.25">
      <c r="A27">
        <v>338</v>
      </c>
      <c r="B27">
        <f>IFERROR(VLOOKUP(A27,Capacity!$A$3:$D$532,4,), "0")</f>
        <v>5.0265481600000008</v>
      </c>
      <c r="C27">
        <v>0.2</v>
      </c>
      <c r="D27">
        <v>523</v>
      </c>
      <c r="E27">
        <f>IFERROR(VLOOKUP(D27,Capacity!$A$3:$D$532,4,), "0")</f>
        <v>376.99111199999999</v>
      </c>
      <c r="F27">
        <v>1</v>
      </c>
      <c r="H27" t="str">
        <f>IFERROR(VLOOKUP(G27,Capacity!$A$3:$D$532,4,), "0")</f>
        <v>0</v>
      </c>
      <c r="I27">
        <v>0</v>
      </c>
      <c r="K27">
        <v>0</v>
      </c>
      <c r="L27">
        <v>0</v>
      </c>
      <c r="M27">
        <v>376.99111199999999</v>
      </c>
      <c r="N27">
        <v>1</v>
      </c>
      <c r="O27">
        <v>340</v>
      </c>
      <c r="P27">
        <v>5.0265481600000008</v>
      </c>
      <c r="Q27">
        <v>0.2</v>
      </c>
      <c r="R27">
        <v>5.0265481600000008</v>
      </c>
      <c r="S27">
        <v>0.2</v>
      </c>
      <c r="U27">
        <v>338</v>
      </c>
      <c r="V27">
        <v>3</v>
      </c>
      <c r="W27">
        <v>3</v>
      </c>
      <c r="X27">
        <v>1</v>
      </c>
      <c r="AB27">
        <v>74.999999999999986</v>
      </c>
      <c r="AC27">
        <v>74.999999999999986</v>
      </c>
      <c r="AD27">
        <v>5</v>
      </c>
      <c r="AE27">
        <v>5</v>
      </c>
      <c r="AG27">
        <v>37.499999999999993</v>
      </c>
    </row>
    <row r="28" spans="1:34" x14ac:dyDescent="0.25">
      <c r="A28">
        <v>335</v>
      </c>
      <c r="B28">
        <f>IFERROR(VLOOKUP(A28,Capacity!$A$3:$D$532,4,), "0")</f>
        <v>5.0265481600000008</v>
      </c>
      <c r="C28">
        <v>0.2</v>
      </c>
      <c r="D28">
        <v>334</v>
      </c>
      <c r="E28">
        <f>IFERROR(VLOOKUP(D28,Capacity!$A$3:$D$532,4,), "0")</f>
        <v>345.57518600000003</v>
      </c>
      <c r="F28">
        <v>1</v>
      </c>
      <c r="H28" t="str">
        <f>IFERROR(VLOOKUP(G28,Capacity!$A$3:$D$532,4,), "0")</f>
        <v>0</v>
      </c>
      <c r="I28">
        <v>0</v>
      </c>
      <c r="K28">
        <v>0</v>
      </c>
      <c r="L28">
        <v>0</v>
      </c>
      <c r="M28">
        <v>345.57518600000003</v>
      </c>
      <c r="N28">
        <v>1</v>
      </c>
      <c r="O28">
        <v>336</v>
      </c>
      <c r="P28">
        <v>22.619466719999998</v>
      </c>
      <c r="Q28">
        <v>0.3</v>
      </c>
      <c r="R28">
        <v>22.619466719999998</v>
      </c>
      <c r="S28">
        <v>0.3</v>
      </c>
      <c r="U28">
        <v>335</v>
      </c>
      <c r="V28">
        <v>1</v>
      </c>
      <c r="W28">
        <v>1</v>
      </c>
      <c r="X28">
        <v>1</v>
      </c>
      <c r="AB28">
        <v>15.27777777777778</v>
      </c>
      <c r="AC28">
        <v>68.75</v>
      </c>
      <c r="AD28">
        <v>3.3333333333333335</v>
      </c>
      <c r="AE28">
        <v>5</v>
      </c>
      <c r="AG28">
        <v>12.500000000000002</v>
      </c>
    </row>
    <row r="29" spans="1:34" x14ac:dyDescent="0.25">
      <c r="A29">
        <v>186</v>
      </c>
      <c r="B29">
        <f>IFERROR(VLOOKUP(A29,Capacity!$A$3:$D$532,4,), "0")</f>
        <v>17.649467226800002</v>
      </c>
      <c r="C29">
        <v>0.26500000000000001</v>
      </c>
      <c r="D29">
        <v>185</v>
      </c>
      <c r="E29">
        <f>IFERROR(VLOOKUP(D29,Capacity!$A$3:$D$532,4,), "0")</f>
        <v>628.31852000000003</v>
      </c>
      <c r="F29">
        <v>1</v>
      </c>
      <c r="H29" t="str">
        <f>IFERROR(VLOOKUP(G29,Capacity!$A$3:$D$532,4,), "0")</f>
        <v>0</v>
      </c>
      <c r="I29">
        <v>0</v>
      </c>
      <c r="K29">
        <v>0</v>
      </c>
      <c r="L29">
        <v>0</v>
      </c>
      <c r="M29">
        <v>628.31852000000003</v>
      </c>
      <c r="N29">
        <v>1</v>
      </c>
      <c r="O29">
        <v>181</v>
      </c>
      <c r="P29">
        <v>7.6969018699999987</v>
      </c>
      <c r="Q29">
        <v>0.17499999999999999</v>
      </c>
      <c r="R29">
        <v>7.6969018699999987</v>
      </c>
      <c r="S29">
        <v>0.17499999999999999</v>
      </c>
      <c r="U29">
        <v>186</v>
      </c>
      <c r="V29">
        <v>1</v>
      </c>
      <c r="W29">
        <v>1</v>
      </c>
      <c r="X29">
        <v>1</v>
      </c>
      <c r="AB29">
        <v>81.632653061224502</v>
      </c>
      <c r="AC29">
        <v>35.599857600569592</v>
      </c>
      <c r="AD29">
        <v>5.7142857142857144</v>
      </c>
      <c r="AE29">
        <v>3.773584905660377</v>
      </c>
      <c r="AG29">
        <v>24.789291026276651</v>
      </c>
    </row>
    <row r="30" spans="1:34" x14ac:dyDescent="0.25">
      <c r="A30">
        <v>235</v>
      </c>
      <c r="B30">
        <f>IFERROR(VLOOKUP(A30,Capacity!$A$3:$D$532,4,), "0")</f>
        <v>10.053096320000002</v>
      </c>
      <c r="C30">
        <v>0.2</v>
      </c>
      <c r="D30">
        <v>179</v>
      </c>
      <c r="E30">
        <f>IFERROR(VLOOKUP(D30,Capacity!$A$3:$D$532,4,), "0")</f>
        <v>486.94685300000003</v>
      </c>
      <c r="F30">
        <v>1</v>
      </c>
      <c r="H30" t="str">
        <f>IFERROR(VLOOKUP(G30,Capacity!$A$3:$D$532,4,), "0")</f>
        <v>0</v>
      </c>
      <c r="I30">
        <v>0</v>
      </c>
      <c r="K30">
        <v>0</v>
      </c>
      <c r="L30">
        <v>0</v>
      </c>
      <c r="M30">
        <v>486.94685300000003</v>
      </c>
      <c r="N30">
        <v>1</v>
      </c>
      <c r="O30">
        <v>246</v>
      </c>
      <c r="P30">
        <v>10.053096320000002</v>
      </c>
      <c r="Q30">
        <v>0.2</v>
      </c>
      <c r="R30">
        <v>10.053096320000002</v>
      </c>
      <c r="S30">
        <v>0.2</v>
      </c>
      <c r="U30">
        <v>235</v>
      </c>
      <c r="V30">
        <v>2</v>
      </c>
      <c r="W30">
        <v>2</v>
      </c>
      <c r="X30">
        <v>1</v>
      </c>
      <c r="AB30">
        <v>48.437499999999993</v>
      </c>
      <c r="AC30">
        <v>48.437499999999993</v>
      </c>
      <c r="AD30">
        <v>5</v>
      </c>
      <c r="AE30">
        <v>5</v>
      </c>
      <c r="AG30">
        <v>24.218749999999996</v>
      </c>
    </row>
    <row r="31" spans="1:34" x14ac:dyDescent="0.25">
      <c r="A31">
        <v>120</v>
      </c>
      <c r="B31">
        <f>IFERROR(VLOOKUP(A31,Capacity!$A$3:$D$532,4,), "0")</f>
        <v>10.681414840000002</v>
      </c>
      <c r="C31">
        <v>0.2</v>
      </c>
      <c r="D31">
        <v>121</v>
      </c>
      <c r="E31">
        <f>IFERROR(VLOOKUP(D31,Capacity!$A$3:$D$532,4,), "0")</f>
        <v>309.25052156250001</v>
      </c>
      <c r="F31">
        <v>0.75</v>
      </c>
      <c r="G31">
        <v>119</v>
      </c>
      <c r="H31">
        <f>IFERROR(VLOOKUP(G31,Capacity!$A$3:$D$532,4,), "0")</f>
        <v>361.28314899999998</v>
      </c>
      <c r="I31">
        <v>1</v>
      </c>
      <c r="K31">
        <v>0</v>
      </c>
      <c r="L31">
        <v>0</v>
      </c>
      <c r="M31">
        <v>670.53367056249999</v>
      </c>
      <c r="N31">
        <v>1.75</v>
      </c>
      <c r="O31">
        <v>127</v>
      </c>
      <c r="P31">
        <v>45.238933439999997</v>
      </c>
      <c r="Q31">
        <v>0.3</v>
      </c>
      <c r="R31">
        <v>45.238933439999997</v>
      </c>
      <c r="S31">
        <v>0.3</v>
      </c>
      <c r="U31">
        <v>120</v>
      </c>
      <c r="V31">
        <v>2</v>
      </c>
      <c r="W31">
        <v>2</v>
      </c>
      <c r="X31">
        <v>1</v>
      </c>
      <c r="AB31">
        <v>14.822048611111112</v>
      </c>
      <c r="AC31">
        <v>62.775735294117631</v>
      </c>
      <c r="AD31">
        <v>5.8333333333333339</v>
      </c>
      <c r="AE31">
        <v>8.75</v>
      </c>
      <c r="AG31">
        <v>11.990870786516854</v>
      </c>
    </row>
    <row r="32" spans="1:34" x14ac:dyDescent="0.25">
      <c r="A32">
        <v>98</v>
      </c>
      <c r="B32">
        <f>IFERROR(VLOOKUP(A32,Capacity!$A$3:$D$532,4,), "0")</f>
        <v>25.446900060000001</v>
      </c>
      <c r="C32">
        <v>0.3</v>
      </c>
      <c r="D32">
        <v>99</v>
      </c>
      <c r="E32">
        <f>IFERROR(VLOOKUP(D32,Capacity!$A$3:$D$532,4,), "0")</f>
        <v>29.688050070000003</v>
      </c>
      <c r="F32">
        <v>0.3</v>
      </c>
      <c r="G32">
        <v>97</v>
      </c>
      <c r="H32">
        <f>IFERROR(VLOOKUP(G32,Capacity!$A$3:$D$532,4,), "0")</f>
        <v>203.57520048000001</v>
      </c>
      <c r="I32">
        <v>0.9</v>
      </c>
      <c r="K32">
        <v>0</v>
      </c>
      <c r="L32">
        <v>0</v>
      </c>
      <c r="M32">
        <v>233.26325055000001</v>
      </c>
      <c r="N32">
        <v>1.2</v>
      </c>
      <c r="O32">
        <v>123</v>
      </c>
      <c r="P32">
        <v>7.6969018699999987</v>
      </c>
      <c r="Q32">
        <v>0.17499999999999999</v>
      </c>
      <c r="R32">
        <v>7.6969018699999987</v>
      </c>
      <c r="S32">
        <v>0.17499999999999999</v>
      </c>
      <c r="U32">
        <v>98</v>
      </c>
      <c r="V32">
        <v>2</v>
      </c>
      <c r="W32">
        <v>2</v>
      </c>
      <c r="X32">
        <v>1</v>
      </c>
      <c r="AB32">
        <v>30.306122448979597</v>
      </c>
      <c r="AC32">
        <v>9.1666666666666661</v>
      </c>
      <c r="AD32">
        <v>6.8571428571428577</v>
      </c>
      <c r="AE32">
        <v>4</v>
      </c>
      <c r="AG32">
        <v>7.0379146919431275</v>
      </c>
    </row>
    <row r="33" spans="1:33" x14ac:dyDescent="0.25">
      <c r="A33">
        <v>200</v>
      </c>
      <c r="B33">
        <f>IFERROR(VLOOKUP(A33,Capacity!$A$3:$D$532,4,), "0")</f>
        <v>10.053096320000002</v>
      </c>
      <c r="C33">
        <v>0.2</v>
      </c>
      <c r="D33">
        <v>465</v>
      </c>
      <c r="E33">
        <f>IFERROR(VLOOKUP(D33,Capacity!$A$3:$D$532,4,), "0")</f>
        <v>353.42916750000001</v>
      </c>
      <c r="F33">
        <v>0.75</v>
      </c>
      <c r="H33" t="str">
        <f>IFERROR(VLOOKUP(G33,Capacity!$A$3:$D$532,4,), "0")</f>
        <v>0</v>
      </c>
      <c r="I33">
        <v>0</v>
      </c>
      <c r="K33">
        <v>0</v>
      </c>
      <c r="L33">
        <v>0</v>
      </c>
      <c r="M33">
        <v>353.42916750000001</v>
      </c>
      <c r="N33">
        <v>0.75</v>
      </c>
      <c r="O33">
        <v>202</v>
      </c>
      <c r="P33">
        <v>28.902651920000004</v>
      </c>
      <c r="Q33">
        <v>0.2</v>
      </c>
      <c r="R33">
        <v>28.902651920000004</v>
      </c>
      <c r="S33">
        <v>0.2</v>
      </c>
      <c r="U33">
        <v>200</v>
      </c>
      <c r="V33">
        <v>2</v>
      </c>
      <c r="W33">
        <v>2</v>
      </c>
      <c r="X33">
        <v>1</v>
      </c>
      <c r="AB33">
        <v>12.228260869565215</v>
      </c>
      <c r="AC33">
        <v>35.156249999999993</v>
      </c>
      <c r="AD33">
        <v>3.75</v>
      </c>
      <c r="AE33">
        <v>3.75</v>
      </c>
      <c r="AG33">
        <v>9.07258064516129</v>
      </c>
    </row>
    <row r="34" spans="1:33" x14ac:dyDescent="0.25">
      <c r="A34">
        <v>297</v>
      </c>
      <c r="B34">
        <f>IFERROR(VLOOKUP(A34,Capacity!$A$3:$D$532,4,), "0")</f>
        <v>10.053096320000002</v>
      </c>
      <c r="C34">
        <v>0.2</v>
      </c>
      <c r="D34">
        <v>498</v>
      </c>
      <c r="E34">
        <f>IFERROR(VLOOKUP(D34,Capacity!$A$3:$D$532,4,), "0")</f>
        <v>110.58405952000003</v>
      </c>
      <c r="F34">
        <v>0.4</v>
      </c>
      <c r="G34">
        <v>488</v>
      </c>
      <c r="H34">
        <f>IFERROR(VLOOKUP(G34,Capacity!$A$3:$D$532,4,), "0")</f>
        <v>42.411500099999998</v>
      </c>
      <c r="I34">
        <v>0.3</v>
      </c>
      <c r="K34">
        <v>0</v>
      </c>
      <c r="L34">
        <v>0</v>
      </c>
      <c r="M34">
        <v>152.99555962000002</v>
      </c>
      <c r="N34">
        <v>0.7</v>
      </c>
      <c r="O34">
        <v>298</v>
      </c>
      <c r="P34">
        <v>15.707962999999999</v>
      </c>
      <c r="Q34">
        <v>0.25</v>
      </c>
      <c r="R34">
        <v>15.707962999999999</v>
      </c>
      <c r="S34">
        <v>0.25</v>
      </c>
      <c r="U34">
        <v>297</v>
      </c>
      <c r="V34">
        <v>1</v>
      </c>
      <c r="W34">
        <v>1</v>
      </c>
      <c r="X34">
        <v>1</v>
      </c>
      <c r="AB34">
        <v>9.740000000000002</v>
      </c>
      <c r="AC34">
        <v>15.21875</v>
      </c>
      <c r="AD34">
        <v>2.8</v>
      </c>
      <c r="AE34">
        <v>3.4999999999999996</v>
      </c>
      <c r="AG34">
        <v>5.9390243902439028</v>
      </c>
    </row>
    <row r="35" spans="1:33" x14ac:dyDescent="0.25">
      <c r="A35">
        <v>169</v>
      </c>
      <c r="B35">
        <f>IFERROR(VLOOKUP(A35,Capacity!$A$3:$D$532,4,), "0")</f>
        <v>42.725659360000009</v>
      </c>
      <c r="C35">
        <v>0.4</v>
      </c>
      <c r="D35">
        <v>167</v>
      </c>
      <c r="E35">
        <f>IFERROR(VLOOKUP(D35,Capacity!$A$3:$D$532,4,), "0")</f>
        <v>175.30086708000002</v>
      </c>
      <c r="F35">
        <v>0.6</v>
      </c>
      <c r="G35">
        <v>177</v>
      </c>
      <c r="H35">
        <f>IFERROR(VLOOKUP(G35,Capacity!$A$3:$D$532,4,), "0")</f>
        <v>282.743334</v>
      </c>
      <c r="I35">
        <v>0.75</v>
      </c>
      <c r="K35">
        <v>0</v>
      </c>
      <c r="L35">
        <v>0</v>
      </c>
      <c r="M35">
        <v>458.04420107999999</v>
      </c>
      <c r="N35">
        <v>1.35</v>
      </c>
      <c r="O35">
        <v>163</v>
      </c>
      <c r="P35">
        <v>42.725659360000009</v>
      </c>
      <c r="Q35">
        <v>0.4</v>
      </c>
      <c r="R35">
        <v>42.725659360000009</v>
      </c>
      <c r="S35">
        <v>0.4</v>
      </c>
      <c r="U35">
        <v>169</v>
      </c>
      <c r="V35">
        <v>2</v>
      </c>
      <c r="W35">
        <v>2</v>
      </c>
      <c r="X35">
        <v>1</v>
      </c>
      <c r="AB35">
        <v>10.720588235294116</v>
      </c>
      <c r="AC35">
        <v>10.720588235294116</v>
      </c>
      <c r="AD35">
        <v>3.375</v>
      </c>
      <c r="AE35">
        <v>3.375</v>
      </c>
      <c r="AG35">
        <v>5.360294117647058</v>
      </c>
    </row>
    <row r="36" spans="1:33" x14ac:dyDescent="0.25">
      <c r="A36">
        <v>125</v>
      </c>
      <c r="B36">
        <f>IFERROR(VLOOKUP(A36,Capacity!$A$3:$D$532,4,), "0")</f>
        <v>21.647536509374998</v>
      </c>
      <c r="C36">
        <v>0.17499999999999999</v>
      </c>
      <c r="D36">
        <v>441</v>
      </c>
      <c r="E36">
        <f>IFERROR(VLOOKUP(D36,Capacity!$A$3:$D$532,4,), "0")</f>
        <v>180.95573375999999</v>
      </c>
      <c r="F36">
        <v>0.6</v>
      </c>
      <c r="G36">
        <v>437</v>
      </c>
      <c r="H36">
        <f>IFERROR(VLOOKUP(G36,Capacity!$A$3:$D$532,4,), "0")</f>
        <v>90.477866879999993</v>
      </c>
      <c r="I36">
        <v>0.6</v>
      </c>
      <c r="K36">
        <v>0</v>
      </c>
      <c r="L36">
        <v>0</v>
      </c>
      <c r="M36">
        <v>271.43360064000001</v>
      </c>
      <c r="N36">
        <v>1.2</v>
      </c>
      <c r="O36">
        <v>126</v>
      </c>
      <c r="P36">
        <v>12.507465538749999</v>
      </c>
      <c r="Q36">
        <v>0.17499999999999999</v>
      </c>
      <c r="R36">
        <v>12.507465538749999</v>
      </c>
      <c r="S36">
        <v>0.17499999999999999</v>
      </c>
      <c r="U36">
        <v>125</v>
      </c>
      <c r="V36">
        <v>2</v>
      </c>
      <c r="W36">
        <v>2</v>
      </c>
      <c r="X36">
        <v>1</v>
      </c>
      <c r="AB36">
        <v>21.701726844583991</v>
      </c>
      <c r="AC36">
        <v>12.538775510204083</v>
      </c>
      <c r="AD36">
        <v>6.8571428571428577</v>
      </c>
      <c r="AE36">
        <v>6.8571428571428577</v>
      </c>
      <c r="AG36">
        <v>7.9471112388617424</v>
      </c>
    </row>
    <row r="37" spans="1:33" x14ac:dyDescent="0.25">
      <c r="A37">
        <v>208</v>
      </c>
      <c r="B37">
        <f>IFERROR(VLOOKUP(A37,Capacity!$A$3:$D$532,4,), "0")</f>
        <v>25.132740800000008</v>
      </c>
      <c r="C37">
        <v>0.4</v>
      </c>
      <c r="D37">
        <v>205</v>
      </c>
      <c r="E37">
        <f>IFERROR(VLOOKUP(D37,Capacity!$A$3:$D$532,4,), "0")</f>
        <v>309.25052156250001</v>
      </c>
      <c r="F37">
        <v>0.75</v>
      </c>
      <c r="G37">
        <v>209</v>
      </c>
      <c r="H37">
        <f>IFERROR(VLOOKUP(G37,Capacity!$A$3:$D$532,4,), "0")</f>
        <v>123.700208625</v>
      </c>
      <c r="I37">
        <v>0.75</v>
      </c>
      <c r="K37">
        <v>0</v>
      </c>
      <c r="L37">
        <v>0</v>
      </c>
      <c r="M37">
        <v>432.95073018750003</v>
      </c>
      <c r="N37">
        <v>1.5</v>
      </c>
      <c r="O37">
        <v>207</v>
      </c>
      <c r="P37">
        <v>31.101766740000002</v>
      </c>
      <c r="Q37">
        <v>0.3</v>
      </c>
      <c r="R37">
        <v>31.101766740000002</v>
      </c>
      <c r="S37">
        <v>0.3</v>
      </c>
      <c r="U37">
        <v>208</v>
      </c>
      <c r="V37">
        <v>2</v>
      </c>
      <c r="W37">
        <v>2</v>
      </c>
      <c r="X37">
        <v>1</v>
      </c>
      <c r="AB37">
        <v>13.920454545454545</v>
      </c>
      <c r="AC37">
        <v>17.226562499999996</v>
      </c>
      <c r="AD37">
        <v>5</v>
      </c>
      <c r="AE37">
        <v>3.75</v>
      </c>
      <c r="AG37">
        <v>7.6990223463687144</v>
      </c>
    </row>
    <row r="38" spans="1:33" x14ac:dyDescent="0.25">
      <c r="A38">
        <v>150</v>
      </c>
      <c r="B38">
        <f>IFERROR(VLOOKUP(A38,Capacity!$A$3:$D$532,4,), "0")</f>
        <v>19.242254674999998</v>
      </c>
      <c r="C38">
        <v>0.17499999999999999</v>
      </c>
      <c r="D38">
        <v>446</v>
      </c>
      <c r="E38">
        <f>IFERROR(VLOOKUP(D38,Capacity!$A$3:$D$532,4,), "0")</f>
        <v>40.212385280000007</v>
      </c>
      <c r="F38">
        <v>0.4</v>
      </c>
      <c r="G38">
        <v>88</v>
      </c>
      <c r="H38">
        <f>IFERROR(VLOOKUP(G38,Capacity!$A$3:$D$532,4,), "0")</f>
        <v>172.78759300000002</v>
      </c>
      <c r="I38">
        <v>0.5</v>
      </c>
      <c r="K38">
        <v>0</v>
      </c>
      <c r="L38">
        <v>0</v>
      </c>
      <c r="M38">
        <v>212.99997828000002</v>
      </c>
      <c r="N38">
        <v>0.9</v>
      </c>
      <c r="O38">
        <v>151</v>
      </c>
      <c r="P38">
        <v>25.132740800000008</v>
      </c>
      <c r="Q38">
        <v>0.2</v>
      </c>
      <c r="R38">
        <v>25.132740800000008</v>
      </c>
      <c r="S38">
        <v>0.2</v>
      </c>
      <c r="U38">
        <v>150</v>
      </c>
      <c r="V38">
        <v>1</v>
      </c>
      <c r="W38">
        <v>1</v>
      </c>
      <c r="X38">
        <v>1</v>
      </c>
      <c r="AB38">
        <v>8.4749999999999979</v>
      </c>
      <c r="AC38">
        <v>11.069387755102044</v>
      </c>
      <c r="AD38">
        <v>4.5</v>
      </c>
      <c r="AE38">
        <v>5.1428571428571432</v>
      </c>
      <c r="AG38">
        <v>4.8</v>
      </c>
    </row>
    <row r="39" spans="1:33" x14ac:dyDescent="0.25">
      <c r="A39">
        <v>100</v>
      </c>
      <c r="B39">
        <f>IFERROR(VLOOKUP(A39,Capacity!$A$3:$D$532,4,), "0")</f>
        <v>36.75663342</v>
      </c>
      <c r="C39">
        <v>0.3</v>
      </c>
      <c r="D39">
        <v>433</v>
      </c>
      <c r="E39">
        <f>IFERROR(VLOOKUP(D39,Capacity!$A$3:$D$532,4,), "0")</f>
        <v>56.799994208000008</v>
      </c>
      <c r="F39">
        <v>0.4</v>
      </c>
      <c r="G39">
        <v>102</v>
      </c>
      <c r="H39">
        <f>IFERROR(VLOOKUP(G39,Capacity!$A$3:$D$532,4,), "0")</f>
        <v>50.265481600000015</v>
      </c>
      <c r="I39">
        <v>0.4</v>
      </c>
      <c r="J39">
        <v>60</v>
      </c>
      <c r="K39">
        <v>90.477866880000022</v>
      </c>
      <c r="L39">
        <v>0.4</v>
      </c>
      <c r="M39">
        <v>197.54334268800005</v>
      </c>
      <c r="N39">
        <v>1.2000000000000002</v>
      </c>
      <c r="O39">
        <v>99</v>
      </c>
      <c r="P39">
        <v>29.688050070000003</v>
      </c>
      <c r="Q39">
        <v>0.3</v>
      </c>
      <c r="R39">
        <v>29.688050070000003</v>
      </c>
      <c r="S39">
        <v>0.3</v>
      </c>
      <c r="U39">
        <v>100</v>
      </c>
      <c r="V39">
        <v>3</v>
      </c>
      <c r="W39">
        <v>3</v>
      </c>
      <c r="X39">
        <v>1</v>
      </c>
      <c r="AB39">
        <v>6.6539682539682552</v>
      </c>
      <c r="AC39">
        <v>5.3743589743589757</v>
      </c>
      <c r="AD39">
        <v>4.0000000000000009</v>
      </c>
      <c r="AE39">
        <v>4.0000000000000009</v>
      </c>
      <c r="AG39">
        <v>2.9730496453900717</v>
      </c>
    </row>
    <row r="40" spans="1:33" x14ac:dyDescent="0.25">
      <c r="A40">
        <v>181</v>
      </c>
      <c r="B40">
        <f>IFERROR(VLOOKUP(A40,Capacity!$A$3:$D$532,4,), "0")</f>
        <v>7.6969018699999987</v>
      </c>
      <c r="C40">
        <v>0.17499999999999999</v>
      </c>
      <c r="D40">
        <v>180</v>
      </c>
      <c r="E40">
        <f>IFERROR(VLOOKUP(D40,Capacity!$A$3:$D$532,4,), "0")</f>
        <v>20.734511160000007</v>
      </c>
      <c r="F40">
        <v>0.2</v>
      </c>
      <c r="G40">
        <v>186</v>
      </c>
      <c r="H40">
        <f>IFERROR(VLOOKUP(G40,Capacity!$A$3:$D$532,4,), "0")</f>
        <v>17.649467226800002</v>
      </c>
      <c r="I40">
        <v>0.26500000000000001</v>
      </c>
      <c r="J40">
        <v>458</v>
      </c>
      <c r="K40">
        <v>19.242254674999998</v>
      </c>
      <c r="L40">
        <v>0.17499999999999999</v>
      </c>
      <c r="M40">
        <v>57.626233061800008</v>
      </c>
      <c r="N40">
        <v>0.64</v>
      </c>
      <c r="O40">
        <v>175</v>
      </c>
      <c r="P40">
        <v>17.649467226800002</v>
      </c>
      <c r="Q40">
        <v>0.26500000000000001</v>
      </c>
      <c r="R40">
        <v>17.649467226800002</v>
      </c>
      <c r="S40">
        <v>0.26500000000000001</v>
      </c>
      <c r="U40">
        <v>181</v>
      </c>
      <c r="V40">
        <v>2</v>
      </c>
      <c r="W40">
        <v>2</v>
      </c>
      <c r="X40">
        <v>1</v>
      </c>
      <c r="AB40">
        <v>3.2650409398362408</v>
      </c>
      <c r="AC40">
        <v>7.4869387755102066</v>
      </c>
      <c r="AD40">
        <v>2.4150943396226414</v>
      </c>
      <c r="AE40">
        <v>3.6571428571428575</v>
      </c>
      <c r="AG40">
        <v>2.2735498264749632</v>
      </c>
    </row>
    <row r="41" spans="1:33" x14ac:dyDescent="0.25">
      <c r="A41">
        <v>172</v>
      </c>
      <c r="B41">
        <f>IFERROR(VLOOKUP(A41,Capacity!$A$3:$D$532,4,), "0")</f>
        <v>22.619466719999998</v>
      </c>
      <c r="C41">
        <v>0.3</v>
      </c>
      <c r="D41">
        <v>171</v>
      </c>
      <c r="E41">
        <f>IFERROR(VLOOKUP(D41,Capacity!$A$3:$D$532,4,), "0")</f>
        <v>291.57906318750003</v>
      </c>
      <c r="F41">
        <v>0.75</v>
      </c>
      <c r="G41">
        <v>175</v>
      </c>
      <c r="H41">
        <f>IFERROR(VLOOKUP(G41,Capacity!$A$3:$D$532,4,), "0")</f>
        <v>17.649467226800002</v>
      </c>
      <c r="I41">
        <v>0.26500000000000001</v>
      </c>
      <c r="K41">
        <v>0</v>
      </c>
      <c r="L41">
        <v>0</v>
      </c>
      <c r="M41">
        <v>309.22853041430005</v>
      </c>
      <c r="N41">
        <v>1.0150000000000001</v>
      </c>
      <c r="O41">
        <v>166</v>
      </c>
      <c r="P41">
        <v>47.432943172025006</v>
      </c>
      <c r="Q41">
        <v>0.26500000000000001</v>
      </c>
      <c r="R41">
        <v>47.432943172025006</v>
      </c>
      <c r="S41">
        <v>0.26500000000000001</v>
      </c>
      <c r="U41">
        <v>172</v>
      </c>
      <c r="V41">
        <v>1</v>
      </c>
      <c r="W41">
        <v>1</v>
      </c>
      <c r="X41">
        <v>1</v>
      </c>
      <c r="AB41">
        <v>6.5192777368425414</v>
      </c>
      <c r="AC41">
        <v>13.670902777777782</v>
      </c>
      <c r="AD41">
        <v>3.8301886792452833</v>
      </c>
      <c r="AE41">
        <v>3.3833333333333337</v>
      </c>
      <c r="AG41">
        <v>4.4142454326828755</v>
      </c>
    </row>
    <row r="42" spans="1:33" x14ac:dyDescent="0.25">
      <c r="A42">
        <v>174</v>
      </c>
      <c r="B42">
        <f>IFERROR(VLOOKUP(A42,Capacity!$A$3:$D$532,4,), "0")</f>
        <v>15.874860106874999</v>
      </c>
      <c r="C42">
        <v>0.17499999999999999</v>
      </c>
      <c r="D42">
        <v>455</v>
      </c>
      <c r="E42">
        <f>IFERROR(VLOOKUP(D42,Capacity!$A$3:$D$532,4,), "0")</f>
        <v>291.57906318750003</v>
      </c>
      <c r="F42">
        <v>0.75</v>
      </c>
      <c r="H42" t="str">
        <f>IFERROR(VLOOKUP(G42,Capacity!$A$3:$D$532,4,), "0")</f>
        <v>0</v>
      </c>
      <c r="I42">
        <v>0</v>
      </c>
      <c r="K42">
        <v>0</v>
      </c>
      <c r="L42">
        <v>0</v>
      </c>
      <c r="M42">
        <v>291.57906318750003</v>
      </c>
      <c r="N42">
        <v>0.75</v>
      </c>
      <c r="O42">
        <v>175</v>
      </c>
      <c r="P42">
        <v>17.649467226800002</v>
      </c>
      <c r="Q42">
        <v>0.26500000000000001</v>
      </c>
      <c r="R42">
        <v>17.649467226800002</v>
      </c>
      <c r="S42">
        <v>0.26500000000000001</v>
      </c>
      <c r="U42">
        <v>174</v>
      </c>
      <c r="V42">
        <v>3</v>
      </c>
      <c r="W42">
        <v>3</v>
      </c>
      <c r="X42">
        <v>1</v>
      </c>
      <c r="AB42">
        <v>16.52055891776433</v>
      </c>
      <c r="AC42">
        <v>18.367346938775512</v>
      </c>
      <c r="AD42">
        <v>2.8301886792452828</v>
      </c>
      <c r="AE42">
        <v>4.2857142857142856</v>
      </c>
      <c r="AG42">
        <v>8.6975365765090373</v>
      </c>
    </row>
    <row r="43" spans="1:33" x14ac:dyDescent="0.25">
      <c r="A43">
        <v>213</v>
      </c>
      <c r="B43">
        <f>IFERROR(VLOOKUP(A43,Capacity!$A$3:$D$532,4,), "0")</f>
        <v>9.621127337499999</v>
      </c>
      <c r="C43">
        <v>0.17499999999999999</v>
      </c>
      <c r="D43">
        <v>474</v>
      </c>
      <c r="E43">
        <f>IFERROR(VLOOKUP(D43,Capacity!$A$3:$D$532,4,), "0")</f>
        <v>24.052818343749998</v>
      </c>
      <c r="F43">
        <v>0.17499999999999999</v>
      </c>
      <c r="G43">
        <v>217</v>
      </c>
      <c r="H43">
        <f>IFERROR(VLOOKUP(G43,Capacity!$A$3:$D$532,4,), "0")</f>
        <v>19.242254674999998</v>
      </c>
      <c r="I43">
        <v>0.17499999999999999</v>
      </c>
      <c r="K43">
        <v>0</v>
      </c>
      <c r="L43">
        <v>0</v>
      </c>
      <c r="M43">
        <v>43.295073018749996</v>
      </c>
      <c r="N43">
        <v>0.35</v>
      </c>
      <c r="O43">
        <v>214</v>
      </c>
      <c r="P43">
        <v>5.7726764024999992</v>
      </c>
      <c r="Q43">
        <v>0.17499999999999999</v>
      </c>
      <c r="R43">
        <v>5.7726764024999992</v>
      </c>
      <c r="S43">
        <v>0.17499999999999999</v>
      </c>
      <c r="U43">
        <v>213</v>
      </c>
      <c r="V43">
        <v>2</v>
      </c>
      <c r="W43">
        <v>2</v>
      </c>
      <c r="X43">
        <v>1</v>
      </c>
      <c r="AB43">
        <v>7.5</v>
      </c>
      <c r="AC43">
        <v>4.5</v>
      </c>
      <c r="AD43">
        <v>2</v>
      </c>
      <c r="AE43">
        <v>2</v>
      </c>
      <c r="AG43">
        <v>2.8125</v>
      </c>
    </row>
    <row r="44" spans="1:33" x14ac:dyDescent="0.25">
      <c r="B44" t="str">
        <f>IFERROR(VLOOKUP(A44,Capacity!$A$3:$D$532,4,), "0")</f>
        <v>0</v>
      </c>
      <c r="E44" t="str">
        <f>IFERROR(VLOOKUP(D44,Capacity!$A$3:$D$532,4,), "0")</f>
        <v>0</v>
      </c>
      <c r="H44" t="str">
        <f>IFERROR(VLOOKUP(G44,Capacity!$A$3:$D$532,4,), "0")</f>
        <v>0</v>
      </c>
    </row>
    <row r="45" spans="1:33" x14ac:dyDescent="0.25">
      <c r="A45">
        <v>61</v>
      </c>
      <c r="B45">
        <f>IFERROR(VLOOKUP(A45,Capacity!$A$3:$D$532,4,), "0")</f>
        <v>7.6969018699999987</v>
      </c>
      <c r="C45" s="4">
        <f>IFERROR(VLOOKUP(A45,Capacity!$A$3:$F$532,6,), "0")</f>
        <v>0.17499999999999999</v>
      </c>
      <c r="D45">
        <v>388</v>
      </c>
      <c r="E45">
        <f>IFERROR(VLOOKUP(D45,Capacity!$A$3:$D$532,4,), "0")</f>
        <v>25.977043811249995</v>
      </c>
      <c r="F45" s="4">
        <f>IFERROR(VLOOKUP(D45,Capacity!$A$3:$F$532,6,), "0")</f>
        <v>0.17499999999999999</v>
      </c>
      <c r="H45" t="str">
        <f>IFERROR(VLOOKUP(G45,Capacity!$A$3:$D$532,4,), "0")</f>
        <v>0</v>
      </c>
      <c r="I45" s="4" t="str">
        <f>IFERROR(VLOOKUP(G45,Capacity!$A$3:$F$532,6,), "0")</f>
        <v>0</v>
      </c>
      <c r="K45" t="str">
        <f>IFERROR(VLOOKUP(J45,Capacity!$A$3:$D$532,4,), "0")</f>
        <v>0</v>
      </c>
      <c r="L45" s="4" t="str">
        <f>IFERROR(VLOOKUP(J45,Capacity!$A$3:$F$532,6,), "0")</f>
        <v>0</v>
      </c>
      <c r="M45" s="5">
        <f>$E45+$H45+$K45</f>
        <v>25.977043811249995</v>
      </c>
      <c r="N45" s="5">
        <f t="shared" ref="N45" si="9">$F45+$I45+$L45</f>
        <v>0.17499999999999999</v>
      </c>
      <c r="O45">
        <v>60</v>
      </c>
      <c r="P45">
        <f>IFERROR(VLOOKUP(O45,Capacity!$A$3:$D$532,4,), "0")</f>
        <v>90.477866880000022</v>
      </c>
      <c r="Q45" s="4">
        <f>IFERROR(VLOOKUP(O45,Capacity!$A$3:$F$532,6,), "0")</f>
        <v>0.4</v>
      </c>
      <c r="R45" s="5">
        <f t="shared" ref="R45" si="10">$P45</f>
        <v>90.477866880000022</v>
      </c>
      <c r="S45" s="5">
        <f t="shared" ref="S45" si="11">$Q45</f>
        <v>0.4</v>
      </c>
      <c r="U45">
        <v>61</v>
      </c>
      <c r="V45">
        <v>2</v>
      </c>
      <c r="W45">
        <v>2</v>
      </c>
      <c r="X45">
        <v>1</v>
      </c>
      <c r="AB45">
        <f t="shared" ref="AB45" si="12">($M45/$R45)</f>
        <v>0.28710937499999989</v>
      </c>
      <c r="AC45">
        <f t="shared" ref="AC45" si="13">($M45/$B45)</f>
        <v>3.375</v>
      </c>
      <c r="AD45">
        <f t="shared" ref="AD45" si="14">($N45/$S45)</f>
        <v>0.43749999999999994</v>
      </c>
      <c r="AE45">
        <f t="shared" ref="AE45" si="15">($N45/$C45)</f>
        <v>1</v>
      </c>
      <c r="AG45">
        <f t="shared" ref="AG45" si="16">$M45/($R45+$B45)</f>
        <v>0.26459999999999989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39E47-F238-4C34-B5A7-E2F4E58D0C9F}">
  <dimension ref="A1:Y31"/>
  <sheetViews>
    <sheetView workbookViewId="0">
      <selection activeCell="G36" sqref="G36"/>
    </sheetView>
  </sheetViews>
  <sheetFormatPr defaultRowHeight="15" x14ac:dyDescent="0.25"/>
  <cols>
    <col min="22" max="22" width="10.42578125" customWidth="1"/>
    <col min="23" max="23" width="13.28515625" customWidth="1"/>
  </cols>
  <sheetData>
    <row r="1" spans="1:25" x14ac:dyDescent="0.25">
      <c r="A1" t="s">
        <v>2</v>
      </c>
      <c r="B1" t="s">
        <v>212</v>
      </c>
      <c r="C1" s="4" t="s">
        <v>213</v>
      </c>
      <c r="D1" t="s">
        <v>214</v>
      </c>
      <c r="F1" s="4" t="s">
        <v>211</v>
      </c>
      <c r="I1" s="4" t="s">
        <v>211</v>
      </c>
      <c r="L1" s="4" t="s">
        <v>211</v>
      </c>
      <c r="M1" s="5" t="s">
        <v>215</v>
      </c>
      <c r="N1" s="5" t="s">
        <v>218</v>
      </c>
      <c r="O1" t="s">
        <v>216</v>
      </c>
      <c r="Q1" s="4" t="s">
        <v>211</v>
      </c>
      <c r="R1" s="5" t="s">
        <v>217</v>
      </c>
      <c r="S1" s="5" t="s">
        <v>219</v>
      </c>
      <c r="U1" t="s">
        <v>231</v>
      </c>
      <c r="V1" t="s">
        <v>233</v>
      </c>
      <c r="W1" t="s">
        <v>234</v>
      </c>
      <c r="X1" t="s">
        <v>232</v>
      </c>
      <c r="Y1" t="s">
        <v>230</v>
      </c>
    </row>
    <row r="2" spans="1:25" x14ac:dyDescent="0.25">
      <c r="A2">
        <v>36</v>
      </c>
      <c r="B2">
        <v>17.649467226800002</v>
      </c>
      <c r="C2">
        <v>0.26500000000000001</v>
      </c>
      <c r="D2">
        <v>516</v>
      </c>
      <c r="E2">
        <v>248.81413392000002</v>
      </c>
      <c r="F2">
        <v>0.6</v>
      </c>
      <c r="G2">
        <v>397</v>
      </c>
      <c r="H2">
        <v>254.46900059999999</v>
      </c>
      <c r="I2">
        <v>0.6</v>
      </c>
      <c r="J2">
        <v>34</v>
      </c>
      <c r="K2">
        <v>17.649467226800002</v>
      </c>
      <c r="L2">
        <v>0.26500000000000001</v>
      </c>
      <c r="M2">
        <v>520.93260174679995</v>
      </c>
      <c r="N2">
        <v>1.4649999999999999</v>
      </c>
      <c r="O2">
        <v>37</v>
      </c>
      <c r="P2">
        <v>17.649467226800002</v>
      </c>
      <c r="Q2">
        <v>0.26500000000000001</v>
      </c>
      <c r="R2">
        <v>17.649467226800002</v>
      </c>
      <c r="S2">
        <v>0.26500000000000001</v>
      </c>
      <c r="T2">
        <v>36</v>
      </c>
      <c r="U2">
        <v>3</v>
      </c>
      <c r="V2">
        <v>3</v>
      </c>
      <c r="W2">
        <v>1</v>
      </c>
      <c r="X2">
        <v>14.75774296902812</v>
      </c>
      <c r="Y2">
        <v>44.273228907084359</v>
      </c>
    </row>
    <row r="3" spans="1:25" x14ac:dyDescent="0.25">
      <c r="A3">
        <v>34</v>
      </c>
      <c r="B3">
        <v>17.649467226800002</v>
      </c>
      <c r="C3">
        <v>0.26500000000000001</v>
      </c>
      <c r="D3">
        <v>514</v>
      </c>
      <c r="E3">
        <v>248.81413392000002</v>
      </c>
      <c r="F3">
        <v>0.6</v>
      </c>
      <c r="G3">
        <v>395</v>
      </c>
      <c r="H3">
        <v>254.46900059999999</v>
      </c>
      <c r="I3">
        <v>0.6</v>
      </c>
      <c r="J3">
        <v>33</v>
      </c>
      <c r="K3">
        <v>17.649467226800002</v>
      </c>
      <c r="L3">
        <v>0.26500000000000001</v>
      </c>
      <c r="M3">
        <v>520.93260174679995</v>
      </c>
      <c r="N3">
        <v>1.4649999999999999</v>
      </c>
      <c r="O3">
        <v>36</v>
      </c>
      <c r="P3">
        <v>17.649467226800002</v>
      </c>
      <c r="Q3">
        <v>0.26500000000000001</v>
      </c>
      <c r="R3">
        <v>17.649467226800002</v>
      </c>
      <c r="S3">
        <v>0.26500000000000001</v>
      </c>
      <c r="T3">
        <v>34</v>
      </c>
      <c r="U3">
        <v>3</v>
      </c>
      <c r="V3">
        <v>3</v>
      </c>
      <c r="W3">
        <v>1</v>
      </c>
      <c r="X3">
        <v>14.75774296902812</v>
      </c>
      <c r="Y3">
        <v>44.273228907084359</v>
      </c>
    </row>
    <row r="4" spans="1:25" x14ac:dyDescent="0.25">
      <c r="A4">
        <v>338</v>
      </c>
      <c r="B4">
        <v>5.0265481600000008</v>
      </c>
      <c r="C4">
        <v>0.2</v>
      </c>
      <c r="D4">
        <v>523</v>
      </c>
      <c r="E4">
        <v>376.99111199999999</v>
      </c>
      <c r="F4">
        <v>1</v>
      </c>
      <c r="H4" t="s">
        <v>229</v>
      </c>
      <c r="I4" t="s">
        <v>229</v>
      </c>
      <c r="K4" t="s">
        <v>229</v>
      </c>
      <c r="L4" t="s">
        <v>229</v>
      </c>
      <c r="M4">
        <v>376.99111199999999</v>
      </c>
      <c r="N4">
        <v>1</v>
      </c>
      <c r="O4">
        <v>340</v>
      </c>
      <c r="P4">
        <v>5.0265481600000008</v>
      </c>
      <c r="Q4">
        <v>0.2</v>
      </c>
      <c r="R4">
        <v>5.0265481600000008</v>
      </c>
      <c r="S4">
        <v>0.2</v>
      </c>
      <c r="T4">
        <v>338</v>
      </c>
      <c r="U4">
        <v>1</v>
      </c>
      <c r="V4">
        <v>1</v>
      </c>
      <c r="W4">
        <v>1</v>
      </c>
      <c r="X4">
        <v>37.499999999999993</v>
      </c>
      <c r="Y4">
        <v>37.499999999999993</v>
      </c>
    </row>
    <row r="5" spans="1:25" x14ac:dyDescent="0.25">
      <c r="A5">
        <v>99</v>
      </c>
      <c r="B5">
        <v>29.688050070000003</v>
      </c>
      <c r="C5">
        <v>0.3</v>
      </c>
      <c r="D5">
        <v>434</v>
      </c>
      <c r="E5">
        <v>197.92033380000001</v>
      </c>
      <c r="F5">
        <v>0.6</v>
      </c>
      <c r="G5">
        <v>100</v>
      </c>
      <c r="H5">
        <v>36.75663342</v>
      </c>
      <c r="I5">
        <v>0.3</v>
      </c>
      <c r="J5">
        <v>59</v>
      </c>
      <c r="K5">
        <v>294.05306736</v>
      </c>
      <c r="L5">
        <v>0.6</v>
      </c>
      <c r="M5">
        <v>528.73003457999994</v>
      </c>
      <c r="N5">
        <v>1.5</v>
      </c>
      <c r="O5">
        <v>98</v>
      </c>
      <c r="P5">
        <v>25.446900060000001</v>
      </c>
      <c r="Q5">
        <v>0.3</v>
      </c>
      <c r="R5">
        <v>25.446900060000001</v>
      </c>
      <c r="S5">
        <v>0.3</v>
      </c>
      <c r="T5">
        <v>99</v>
      </c>
      <c r="U5">
        <v>3</v>
      </c>
      <c r="V5">
        <v>3</v>
      </c>
      <c r="W5">
        <v>1</v>
      </c>
      <c r="X5">
        <v>9.5897435897435876</v>
      </c>
      <c r="Y5">
        <v>28.769230769230763</v>
      </c>
    </row>
    <row r="6" spans="1:25" x14ac:dyDescent="0.25">
      <c r="A6">
        <v>186</v>
      </c>
      <c r="B6">
        <v>17.649467226800002</v>
      </c>
      <c r="C6">
        <v>0.26500000000000001</v>
      </c>
      <c r="D6">
        <v>185</v>
      </c>
      <c r="E6">
        <v>628.31852000000003</v>
      </c>
      <c r="F6">
        <v>1</v>
      </c>
      <c r="H6" t="s">
        <v>229</v>
      </c>
      <c r="I6" t="s">
        <v>229</v>
      </c>
      <c r="K6" t="s">
        <v>229</v>
      </c>
      <c r="L6" t="s">
        <v>229</v>
      </c>
      <c r="M6">
        <v>628.31852000000003</v>
      </c>
      <c r="N6">
        <v>1</v>
      </c>
      <c r="O6">
        <v>181</v>
      </c>
      <c r="P6">
        <v>7.6969018699999987</v>
      </c>
      <c r="Q6">
        <v>0.17499999999999999</v>
      </c>
      <c r="R6">
        <v>7.6969018699999987</v>
      </c>
      <c r="S6">
        <v>0.17499999999999999</v>
      </c>
      <c r="T6">
        <v>186</v>
      </c>
      <c r="U6">
        <v>1</v>
      </c>
      <c r="V6">
        <v>1</v>
      </c>
      <c r="W6">
        <v>1</v>
      </c>
      <c r="X6">
        <v>24.789291026276651</v>
      </c>
      <c r="Y6">
        <v>24.789291026276651</v>
      </c>
    </row>
    <row r="7" spans="1:25" x14ac:dyDescent="0.25">
      <c r="A7">
        <v>235</v>
      </c>
      <c r="B7">
        <v>10.053096320000002</v>
      </c>
      <c r="C7">
        <v>0.2</v>
      </c>
      <c r="D7">
        <v>179</v>
      </c>
      <c r="E7">
        <v>486.94685300000003</v>
      </c>
      <c r="F7">
        <v>1</v>
      </c>
      <c r="H7" t="s">
        <v>229</v>
      </c>
      <c r="I7" t="s">
        <v>229</v>
      </c>
      <c r="K7" t="s">
        <v>229</v>
      </c>
      <c r="L7" t="s">
        <v>229</v>
      </c>
      <c r="M7">
        <v>486.94685300000003</v>
      </c>
      <c r="N7">
        <v>1</v>
      </c>
      <c r="O7">
        <v>246</v>
      </c>
      <c r="P7">
        <v>10.053096320000002</v>
      </c>
      <c r="Q7">
        <v>0.2</v>
      </c>
      <c r="R7">
        <v>10.053096320000002</v>
      </c>
      <c r="S7">
        <v>0.2</v>
      </c>
      <c r="T7">
        <v>235</v>
      </c>
      <c r="U7">
        <v>1</v>
      </c>
      <c r="V7">
        <v>1</v>
      </c>
      <c r="W7">
        <v>1</v>
      </c>
      <c r="X7">
        <v>24.218749999999996</v>
      </c>
      <c r="Y7">
        <v>24.218749999999996</v>
      </c>
    </row>
    <row r="8" spans="1:25" x14ac:dyDescent="0.25">
      <c r="A8">
        <v>120</v>
      </c>
      <c r="B8">
        <v>10.681414840000002</v>
      </c>
      <c r="C8">
        <v>0.2</v>
      </c>
      <c r="D8">
        <v>121</v>
      </c>
      <c r="E8">
        <v>309.25052156250001</v>
      </c>
      <c r="F8">
        <v>0.75</v>
      </c>
      <c r="G8">
        <v>119</v>
      </c>
      <c r="H8">
        <v>361.28314899999998</v>
      </c>
      <c r="I8">
        <v>1</v>
      </c>
      <c r="K8" t="s">
        <v>229</v>
      </c>
      <c r="L8" t="s">
        <v>229</v>
      </c>
      <c r="M8">
        <v>670.53367056249999</v>
      </c>
      <c r="N8">
        <v>1.75</v>
      </c>
      <c r="O8">
        <v>127</v>
      </c>
      <c r="P8">
        <v>45.238933439999997</v>
      </c>
      <c r="Q8">
        <v>0.3</v>
      </c>
      <c r="R8">
        <v>45.238933439999997</v>
      </c>
      <c r="S8">
        <v>0.3</v>
      </c>
      <c r="T8">
        <v>120</v>
      </c>
      <c r="U8">
        <v>2</v>
      </c>
      <c r="V8">
        <v>2</v>
      </c>
      <c r="W8">
        <v>1</v>
      </c>
      <c r="X8">
        <v>11.990870786516854</v>
      </c>
      <c r="Y8">
        <v>23.981741573033709</v>
      </c>
    </row>
    <row r="9" spans="1:25" x14ac:dyDescent="0.25">
      <c r="A9">
        <v>125</v>
      </c>
      <c r="B9">
        <v>21.647536509374998</v>
      </c>
      <c r="C9">
        <v>0.17499999999999999</v>
      </c>
      <c r="D9">
        <v>441</v>
      </c>
      <c r="E9">
        <v>180.95573375999999</v>
      </c>
      <c r="F9">
        <v>0.6</v>
      </c>
      <c r="G9">
        <v>437</v>
      </c>
      <c r="H9">
        <v>90.477866879999993</v>
      </c>
      <c r="I9">
        <v>0.6</v>
      </c>
      <c r="K9" t="s">
        <v>229</v>
      </c>
      <c r="L9" t="s">
        <v>229</v>
      </c>
      <c r="M9">
        <v>271.43360064000001</v>
      </c>
      <c r="N9">
        <v>1.2</v>
      </c>
      <c r="O9">
        <v>126</v>
      </c>
      <c r="P9">
        <v>12.507465538749999</v>
      </c>
      <c r="Q9">
        <v>0.17499999999999999</v>
      </c>
      <c r="R9">
        <v>12.507465538749999</v>
      </c>
      <c r="S9">
        <v>0.17499999999999999</v>
      </c>
      <c r="T9">
        <v>125</v>
      </c>
      <c r="U9">
        <v>2</v>
      </c>
      <c r="V9">
        <v>2</v>
      </c>
      <c r="W9">
        <v>1</v>
      </c>
      <c r="X9">
        <v>7.9471112388617424</v>
      </c>
      <c r="Y9">
        <v>15.894222477723485</v>
      </c>
    </row>
    <row r="10" spans="1:25" x14ac:dyDescent="0.25">
      <c r="A10">
        <v>208</v>
      </c>
      <c r="B10">
        <v>25.132740800000008</v>
      </c>
      <c r="C10">
        <v>0.4</v>
      </c>
      <c r="D10">
        <v>205</v>
      </c>
      <c r="E10">
        <v>309.25052156250001</v>
      </c>
      <c r="F10">
        <v>0.75</v>
      </c>
      <c r="G10">
        <v>209</v>
      </c>
      <c r="H10">
        <v>123.700208625</v>
      </c>
      <c r="I10">
        <v>0.75</v>
      </c>
      <c r="K10" t="s">
        <v>229</v>
      </c>
      <c r="L10" t="s">
        <v>229</v>
      </c>
      <c r="M10">
        <v>432.95073018750003</v>
      </c>
      <c r="N10">
        <v>1.5</v>
      </c>
      <c r="O10">
        <v>207</v>
      </c>
      <c r="P10">
        <v>31.101766740000002</v>
      </c>
      <c r="Q10">
        <v>0.3</v>
      </c>
      <c r="R10">
        <v>31.101766740000002</v>
      </c>
      <c r="S10">
        <v>0.3</v>
      </c>
      <c r="T10">
        <v>208</v>
      </c>
      <c r="U10">
        <v>2</v>
      </c>
      <c r="V10">
        <v>2</v>
      </c>
      <c r="W10">
        <v>1</v>
      </c>
      <c r="X10">
        <v>7.6990223463687144</v>
      </c>
      <c r="Y10">
        <v>15.398044692737429</v>
      </c>
    </row>
    <row r="11" spans="1:25" x14ac:dyDescent="0.25">
      <c r="A11">
        <v>98</v>
      </c>
      <c r="B11">
        <v>25.446900060000001</v>
      </c>
      <c r="C11">
        <v>0.3</v>
      </c>
      <c r="D11">
        <v>99</v>
      </c>
      <c r="E11">
        <v>29.688050070000003</v>
      </c>
      <c r="F11">
        <v>0.3</v>
      </c>
      <c r="G11">
        <v>97</v>
      </c>
      <c r="H11">
        <v>203.57520048000001</v>
      </c>
      <c r="I11">
        <v>0.9</v>
      </c>
      <c r="K11" t="s">
        <v>229</v>
      </c>
      <c r="L11" t="s">
        <v>229</v>
      </c>
      <c r="M11">
        <v>233.26325055000001</v>
      </c>
      <c r="N11">
        <v>1.2</v>
      </c>
      <c r="O11">
        <v>123</v>
      </c>
      <c r="P11">
        <v>7.6969018699999987</v>
      </c>
      <c r="Q11">
        <v>0.17499999999999999</v>
      </c>
      <c r="R11">
        <v>7.6969018699999987</v>
      </c>
      <c r="S11">
        <v>0.17499999999999999</v>
      </c>
      <c r="T11">
        <v>98</v>
      </c>
      <c r="U11">
        <v>2</v>
      </c>
      <c r="V11">
        <v>2</v>
      </c>
      <c r="W11">
        <v>1</v>
      </c>
      <c r="X11">
        <v>7.0379146919431275</v>
      </c>
      <c r="Y11">
        <v>14.075829383886255</v>
      </c>
    </row>
    <row r="12" spans="1:25" x14ac:dyDescent="0.25">
      <c r="A12">
        <v>335</v>
      </c>
      <c r="B12">
        <v>5.0265481600000008</v>
      </c>
      <c r="C12">
        <v>0.2</v>
      </c>
      <c r="D12">
        <v>334</v>
      </c>
      <c r="E12">
        <v>345.57518600000003</v>
      </c>
      <c r="F12">
        <v>1</v>
      </c>
      <c r="H12" t="s">
        <v>229</v>
      </c>
      <c r="I12" t="s">
        <v>229</v>
      </c>
      <c r="K12" t="s">
        <v>229</v>
      </c>
      <c r="L12" t="s">
        <v>229</v>
      </c>
      <c r="M12">
        <v>345.57518600000003</v>
      </c>
      <c r="N12">
        <v>1</v>
      </c>
      <c r="O12">
        <v>336</v>
      </c>
      <c r="P12">
        <v>22.619466719999998</v>
      </c>
      <c r="Q12">
        <v>0.3</v>
      </c>
      <c r="R12">
        <v>22.619466719999998</v>
      </c>
      <c r="S12">
        <v>0.3</v>
      </c>
      <c r="T12">
        <v>335</v>
      </c>
      <c r="U12">
        <v>1</v>
      </c>
      <c r="V12">
        <v>1</v>
      </c>
      <c r="W12">
        <v>1</v>
      </c>
      <c r="X12">
        <v>12.500000000000002</v>
      </c>
      <c r="Y12">
        <v>12.500000000000002</v>
      </c>
    </row>
    <row r="13" spans="1:25" x14ac:dyDescent="0.25">
      <c r="A13">
        <v>297</v>
      </c>
      <c r="B13">
        <v>10.053096320000002</v>
      </c>
      <c r="C13">
        <v>0.2</v>
      </c>
      <c r="D13">
        <v>498</v>
      </c>
      <c r="E13">
        <v>110.58405952000003</v>
      </c>
      <c r="F13">
        <v>0.4</v>
      </c>
      <c r="G13">
        <v>488</v>
      </c>
      <c r="H13">
        <v>42.411500099999998</v>
      </c>
      <c r="I13">
        <v>0.3</v>
      </c>
      <c r="K13" t="s">
        <v>229</v>
      </c>
      <c r="L13" t="s">
        <v>229</v>
      </c>
      <c r="M13">
        <v>152.99555962000002</v>
      </c>
      <c r="N13">
        <v>0.7</v>
      </c>
      <c r="O13">
        <v>298</v>
      </c>
      <c r="P13">
        <v>15.707962999999999</v>
      </c>
      <c r="Q13">
        <v>0.25</v>
      </c>
      <c r="R13">
        <v>15.707962999999999</v>
      </c>
      <c r="S13">
        <v>0.25</v>
      </c>
      <c r="T13">
        <v>297</v>
      </c>
      <c r="U13">
        <v>2</v>
      </c>
      <c r="V13">
        <v>2</v>
      </c>
      <c r="W13">
        <v>1</v>
      </c>
      <c r="X13">
        <v>5.9390243902439028</v>
      </c>
      <c r="Y13">
        <v>11.878048780487806</v>
      </c>
    </row>
    <row r="14" spans="1:25" x14ac:dyDescent="0.25">
      <c r="A14">
        <v>169</v>
      </c>
      <c r="B14">
        <v>42.725659360000009</v>
      </c>
      <c r="C14">
        <v>0.4</v>
      </c>
      <c r="D14">
        <v>167</v>
      </c>
      <c r="E14">
        <v>175.30086708000002</v>
      </c>
      <c r="F14">
        <v>0.6</v>
      </c>
      <c r="G14">
        <v>177</v>
      </c>
      <c r="H14">
        <v>282.743334</v>
      </c>
      <c r="I14">
        <v>0.75</v>
      </c>
      <c r="K14" t="s">
        <v>229</v>
      </c>
      <c r="L14" t="s">
        <v>229</v>
      </c>
      <c r="M14">
        <v>458.04420107999999</v>
      </c>
      <c r="N14">
        <v>1.35</v>
      </c>
      <c r="O14">
        <v>163</v>
      </c>
      <c r="P14">
        <v>42.725659360000009</v>
      </c>
      <c r="Q14">
        <v>0.4</v>
      </c>
      <c r="R14">
        <v>42.725659360000009</v>
      </c>
      <c r="S14">
        <v>0.4</v>
      </c>
      <c r="T14">
        <v>169</v>
      </c>
      <c r="U14">
        <v>2</v>
      </c>
      <c r="V14">
        <v>2</v>
      </c>
      <c r="W14">
        <v>1</v>
      </c>
      <c r="X14">
        <v>5.360294117647058</v>
      </c>
      <c r="Y14">
        <v>10.720588235294116</v>
      </c>
    </row>
    <row r="15" spans="1:25" x14ac:dyDescent="0.25">
      <c r="A15">
        <v>150</v>
      </c>
      <c r="B15">
        <v>19.242254674999998</v>
      </c>
      <c r="C15">
        <v>0.17499999999999999</v>
      </c>
      <c r="D15">
        <v>446</v>
      </c>
      <c r="E15">
        <v>40.212385280000007</v>
      </c>
      <c r="F15">
        <v>0.4</v>
      </c>
      <c r="G15">
        <v>88</v>
      </c>
      <c r="H15">
        <v>172.78759300000002</v>
      </c>
      <c r="I15">
        <v>0.5</v>
      </c>
      <c r="K15" t="s">
        <v>229</v>
      </c>
      <c r="L15" t="s">
        <v>229</v>
      </c>
      <c r="M15">
        <v>212.99997828000002</v>
      </c>
      <c r="N15">
        <v>0.9</v>
      </c>
      <c r="O15">
        <v>151</v>
      </c>
      <c r="P15">
        <v>25.132740800000008</v>
      </c>
      <c r="Q15">
        <v>0.2</v>
      </c>
      <c r="R15">
        <v>25.132740800000008</v>
      </c>
      <c r="S15">
        <v>0.2</v>
      </c>
      <c r="T15">
        <v>150</v>
      </c>
      <c r="U15">
        <v>2</v>
      </c>
      <c r="V15">
        <v>2</v>
      </c>
      <c r="W15">
        <v>1</v>
      </c>
      <c r="X15">
        <v>4.8</v>
      </c>
      <c r="Y15">
        <v>9.6</v>
      </c>
    </row>
    <row r="16" spans="1:25" x14ac:dyDescent="0.25">
      <c r="A16">
        <v>200</v>
      </c>
      <c r="B16">
        <v>10.053096320000002</v>
      </c>
      <c r="C16">
        <v>0.2</v>
      </c>
      <c r="D16">
        <v>465</v>
      </c>
      <c r="E16">
        <v>353.42916750000001</v>
      </c>
      <c r="F16">
        <v>0.75</v>
      </c>
      <c r="H16" t="s">
        <v>229</v>
      </c>
      <c r="I16" t="s">
        <v>229</v>
      </c>
      <c r="K16" t="s">
        <v>229</v>
      </c>
      <c r="L16" t="s">
        <v>229</v>
      </c>
      <c r="M16">
        <v>353.42916750000001</v>
      </c>
      <c r="N16">
        <v>0.75</v>
      </c>
      <c r="O16">
        <v>202</v>
      </c>
      <c r="P16">
        <v>28.902651920000004</v>
      </c>
      <c r="Q16">
        <v>0.2</v>
      </c>
      <c r="R16">
        <v>28.902651920000004</v>
      </c>
      <c r="S16">
        <v>0.2</v>
      </c>
      <c r="T16">
        <v>200</v>
      </c>
      <c r="U16">
        <v>1</v>
      </c>
      <c r="V16">
        <v>1</v>
      </c>
      <c r="W16">
        <v>1</v>
      </c>
      <c r="X16">
        <v>9.07258064516129</v>
      </c>
      <c r="Y16">
        <v>9.07258064516129</v>
      </c>
    </row>
    <row r="17" spans="1:25" x14ac:dyDescent="0.25">
      <c r="A17">
        <v>100</v>
      </c>
      <c r="B17">
        <v>36.75663342</v>
      </c>
      <c r="C17">
        <v>0.3</v>
      </c>
      <c r="D17">
        <v>433</v>
      </c>
      <c r="E17">
        <v>56.799994208000008</v>
      </c>
      <c r="F17">
        <v>0.4</v>
      </c>
      <c r="G17">
        <v>102</v>
      </c>
      <c r="H17">
        <v>50.265481600000015</v>
      </c>
      <c r="I17">
        <v>0.4</v>
      </c>
      <c r="J17">
        <v>60</v>
      </c>
      <c r="K17">
        <v>90.477866880000022</v>
      </c>
      <c r="L17">
        <v>0.4</v>
      </c>
      <c r="M17">
        <v>197.54334268800005</v>
      </c>
      <c r="N17">
        <v>1.2000000000000002</v>
      </c>
      <c r="O17">
        <v>99</v>
      </c>
      <c r="P17">
        <v>29.688050070000003</v>
      </c>
      <c r="Q17">
        <v>0.3</v>
      </c>
      <c r="R17">
        <v>29.688050070000003</v>
      </c>
      <c r="S17">
        <v>0.3</v>
      </c>
      <c r="T17">
        <v>100</v>
      </c>
      <c r="U17">
        <v>3</v>
      </c>
      <c r="V17">
        <v>3</v>
      </c>
      <c r="W17">
        <v>1</v>
      </c>
      <c r="X17">
        <v>2.9730496453900717</v>
      </c>
      <c r="Y17">
        <v>8.919148936170215</v>
      </c>
    </row>
    <row r="18" spans="1:25" x14ac:dyDescent="0.25">
      <c r="A18">
        <v>172</v>
      </c>
      <c r="B18">
        <v>22.619466719999998</v>
      </c>
      <c r="C18">
        <v>0.3</v>
      </c>
      <c r="D18">
        <v>171</v>
      </c>
      <c r="E18">
        <v>291.57906318750003</v>
      </c>
      <c r="F18">
        <v>0.75</v>
      </c>
      <c r="G18">
        <v>175</v>
      </c>
      <c r="H18">
        <v>17.649467226800002</v>
      </c>
      <c r="I18">
        <v>0.26500000000000001</v>
      </c>
      <c r="K18" t="s">
        <v>229</v>
      </c>
      <c r="L18" t="s">
        <v>229</v>
      </c>
      <c r="M18">
        <v>309.22853041430005</v>
      </c>
      <c r="N18">
        <v>1.0150000000000001</v>
      </c>
      <c r="O18">
        <v>166</v>
      </c>
      <c r="P18">
        <v>47.432943172025006</v>
      </c>
      <c r="Q18">
        <v>0.26500000000000001</v>
      </c>
      <c r="R18">
        <v>47.432943172025006</v>
      </c>
      <c r="S18">
        <v>0.26500000000000001</v>
      </c>
      <c r="T18">
        <v>172</v>
      </c>
      <c r="U18">
        <v>2</v>
      </c>
      <c r="V18">
        <v>2</v>
      </c>
      <c r="W18">
        <v>1</v>
      </c>
      <c r="X18">
        <v>4.4142454326828755</v>
      </c>
      <c r="Y18">
        <v>8.828490865365751</v>
      </c>
    </row>
    <row r="19" spans="1:25" x14ac:dyDescent="0.25">
      <c r="A19">
        <v>174</v>
      </c>
      <c r="B19">
        <v>15.874860106874999</v>
      </c>
      <c r="C19">
        <v>0.17499999999999999</v>
      </c>
      <c r="D19">
        <v>455</v>
      </c>
      <c r="E19">
        <v>291.57906318750003</v>
      </c>
      <c r="F19">
        <v>0.75</v>
      </c>
      <c r="H19" t="s">
        <v>229</v>
      </c>
      <c r="I19" t="s">
        <v>229</v>
      </c>
      <c r="K19" t="s">
        <v>229</v>
      </c>
      <c r="L19" t="s">
        <v>229</v>
      </c>
      <c r="M19">
        <v>291.57906318750003</v>
      </c>
      <c r="N19">
        <v>0.75</v>
      </c>
      <c r="O19">
        <v>175</v>
      </c>
      <c r="P19">
        <v>17.649467226800002</v>
      </c>
      <c r="Q19">
        <v>0.26500000000000001</v>
      </c>
      <c r="R19">
        <v>17.649467226800002</v>
      </c>
      <c r="S19">
        <v>0.26500000000000001</v>
      </c>
      <c r="T19">
        <v>174</v>
      </c>
      <c r="U19">
        <v>1</v>
      </c>
      <c r="V19">
        <v>1</v>
      </c>
      <c r="W19">
        <v>1</v>
      </c>
      <c r="X19">
        <v>8.6975365765090373</v>
      </c>
      <c r="Y19">
        <v>8.6975365765090373</v>
      </c>
    </row>
    <row r="20" spans="1:25" x14ac:dyDescent="0.25">
      <c r="A20">
        <v>181</v>
      </c>
      <c r="B20">
        <v>7.6969018699999987</v>
      </c>
      <c r="C20">
        <v>0.17499999999999999</v>
      </c>
      <c r="D20">
        <v>180</v>
      </c>
      <c r="E20">
        <v>20.734511160000007</v>
      </c>
      <c r="F20">
        <v>0.2</v>
      </c>
      <c r="G20">
        <v>186</v>
      </c>
      <c r="H20">
        <v>17.649467226800002</v>
      </c>
      <c r="I20">
        <v>0.26500000000000001</v>
      </c>
      <c r="J20">
        <v>458</v>
      </c>
      <c r="K20">
        <v>19.242254674999998</v>
      </c>
      <c r="L20">
        <v>0.17499999999999999</v>
      </c>
      <c r="M20">
        <v>57.626233061800008</v>
      </c>
      <c r="N20">
        <v>0.64</v>
      </c>
      <c r="O20">
        <v>175</v>
      </c>
      <c r="P20">
        <v>17.649467226800002</v>
      </c>
      <c r="Q20">
        <v>0.26500000000000001</v>
      </c>
      <c r="R20">
        <v>17.649467226800002</v>
      </c>
      <c r="S20">
        <v>0.26500000000000001</v>
      </c>
      <c r="T20">
        <v>181</v>
      </c>
      <c r="U20">
        <v>3</v>
      </c>
      <c r="V20">
        <v>3</v>
      </c>
      <c r="W20">
        <v>1</v>
      </c>
      <c r="X20">
        <v>2.2735498264749632</v>
      </c>
      <c r="Y20">
        <v>6.8206494794248895</v>
      </c>
    </row>
    <row r="21" spans="1:25" x14ac:dyDescent="0.25">
      <c r="A21">
        <v>214</v>
      </c>
      <c r="B21">
        <v>5.7726764024999992</v>
      </c>
      <c r="C21">
        <v>0.17499999999999999</v>
      </c>
      <c r="D21">
        <v>473</v>
      </c>
      <c r="E21">
        <v>25.977043811249995</v>
      </c>
      <c r="F21">
        <v>0.17499999999999999</v>
      </c>
      <c r="G21">
        <v>213</v>
      </c>
      <c r="H21">
        <v>9.621127337499999</v>
      </c>
      <c r="I21">
        <v>0.17499999999999999</v>
      </c>
      <c r="K21" t="s">
        <v>229</v>
      </c>
      <c r="L21" t="s">
        <v>229</v>
      </c>
      <c r="M21">
        <v>35.598171148749998</v>
      </c>
      <c r="N21">
        <v>0.35</v>
      </c>
      <c r="O21">
        <v>215</v>
      </c>
      <c r="P21">
        <v>6.2831852000000019</v>
      </c>
      <c r="Q21">
        <v>0.2</v>
      </c>
      <c r="R21">
        <v>6.2831852000000019</v>
      </c>
      <c r="S21">
        <v>0.2</v>
      </c>
      <c r="T21">
        <v>214</v>
      </c>
      <c r="U21">
        <v>2</v>
      </c>
      <c r="V21">
        <v>2</v>
      </c>
      <c r="W21">
        <v>1</v>
      </c>
      <c r="X21">
        <v>2.9527687296416931</v>
      </c>
      <c r="Y21">
        <v>5.9055374592833862</v>
      </c>
    </row>
    <row r="22" spans="1:25" x14ac:dyDescent="0.25">
      <c r="A22">
        <v>33</v>
      </c>
      <c r="B22">
        <v>17.649467226800002</v>
      </c>
      <c r="C22">
        <v>0.26500000000000001</v>
      </c>
      <c r="D22">
        <v>512</v>
      </c>
      <c r="E22">
        <v>21.166480142499999</v>
      </c>
      <c r="F22">
        <v>0.17499999999999999</v>
      </c>
      <c r="G22">
        <v>393</v>
      </c>
      <c r="H22">
        <v>21.647536509374998</v>
      </c>
      <c r="I22">
        <v>0.17499999999999999</v>
      </c>
      <c r="J22">
        <v>32</v>
      </c>
      <c r="K22">
        <v>26.474200840200002</v>
      </c>
      <c r="L22">
        <v>0.26500000000000001</v>
      </c>
      <c r="M22">
        <v>69.288217492074992</v>
      </c>
      <c r="N22">
        <v>0.61499999999999999</v>
      </c>
      <c r="O22">
        <v>34</v>
      </c>
      <c r="P22">
        <v>17.649467226800002</v>
      </c>
      <c r="Q22">
        <v>0.26500000000000001</v>
      </c>
      <c r="R22">
        <v>17.649467226800002</v>
      </c>
      <c r="S22">
        <v>0.26500000000000001</v>
      </c>
      <c r="T22">
        <v>33</v>
      </c>
      <c r="U22">
        <v>3</v>
      </c>
      <c r="V22">
        <v>3</v>
      </c>
      <c r="W22">
        <v>1</v>
      </c>
      <c r="X22">
        <v>1.9628982734069058</v>
      </c>
      <c r="Y22">
        <v>5.8886948202207172</v>
      </c>
    </row>
    <row r="23" spans="1:25" x14ac:dyDescent="0.25">
      <c r="A23">
        <v>39</v>
      </c>
      <c r="B23">
        <v>40.212385280000007</v>
      </c>
      <c r="C23">
        <v>0.4</v>
      </c>
      <c r="D23">
        <v>403</v>
      </c>
      <c r="E23">
        <v>21.647536509374998</v>
      </c>
      <c r="F23">
        <v>0.17499999999999999</v>
      </c>
      <c r="G23">
        <v>337</v>
      </c>
      <c r="H23">
        <v>115.61060768000002</v>
      </c>
      <c r="I23">
        <v>0.4</v>
      </c>
      <c r="J23">
        <v>38</v>
      </c>
      <c r="K23">
        <v>17.649467226800002</v>
      </c>
      <c r="L23">
        <v>0.26500000000000001</v>
      </c>
      <c r="M23">
        <v>154.907611416175</v>
      </c>
      <c r="N23">
        <v>0.84</v>
      </c>
      <c r="O23">
        <v>40</v>
      </c>
      <c r="P23">
        <v>40.212385280000007</v>
      </c>
      <c r="Q23">
        <v>0.4</v>
      </c>
      <c r="R23">
        <v>40.212385280000007</v>
      </c>
      <c r="S23">
        <v>0.4</v>
      </c>
      <c r="T23">
        <v>39</v>
      </c>
      <c r="U23">
        <v>3</v>
      </c>
      <c r="V23">
        <v>3</v>
      </c>
      <c r="W23">
        <v>1</v>
      </c>
      <c r="X23">
        <v>1.9261181640624998</v>
      </c>
      <c r="Y23">
        <v>5.7783544921874999</v>
      </c>
    </row>
    <row r="24" spans="1:25" x14ac:dyDescent="0.25">
      <c r="A24">
        <v>213</v>
      </c>
      <c r="B24">
        <v>9.621127337499999</v>
      </c>
      <c r="C24">
        <v>0.17499999999999999</v>
      </c>
      <c r="D24">
        <v>474</v>
      </c>
      <c r="E24">
        <v>24.052818343749998</v>
      </c>
      <c r="F24">
        <v>0.17499999999999999</v>
      </c>
      <c r="G24">
        <v>217</v>
      </c>
      <c r="H24">
        <v>19.242254674999998</v>
      </c>
      <c r="I24">
        <v>0.17499999999999999</v>
      </c>
      <c r="K24" t="s">
        <v>229</v>
      </c>
      <c r="L24" t="s">
        <v>229</v>
      </c>
      <c r="M24">
        <v>43.295073018749996</v>
      </c>
      <c r="N24">
        <v>0.35</v>
      </c>
      <c r="O24">
        <v>214</v>
      </c>
      <c r="P24">
        <v>5.7726764024999992</v>
      </c>
      <c r="Q24">
        <v>0.17499999999999999</v>
      </c>
      <c r="R24">
        <v>5.7726764024999992</v>
      </c>
      <c r="S24">
        <v>0.17499999999999999</v>
      </c>
      <c r="T24">
        <v>213</v>
      </c>
      <c r="U24">
        <v>2</v>
      </c>
      <c r="V24">
        <v>2</v>
      </c>
      <c r="W24">
        <v>1</v>
      </c>
      <c r="X24">
        <v>2.8125</v>
      </c>
      <c r="Y24">
        <v>5.625</v>
      </c>
    </row>
    <row r="25" spans="1:25" x14ac:dyDescent="0.25">
      <c r="A25">
        <v>56</v>
      </c>
      <c r="B25">
        <v>7.6969018699999987</v>
      </c>
      <c r="C25">
        <v>0.17499999999999999</v>
      </c>
      <c r="D25">
        <v>427</v>
      </c>
      <c r="E25">
        <v>21.647536509374998</v>
      </c>
      <c r="F25">
        <v>0.17499999999999999</v>
      </c>
      <c r="G25">
        <v>358</v>
      </c>
      <c r="H25">
        <v>25.014931077499998</v>
      </c>
      <c r="I25">
        <v>0.17499999999999999</v>
      </c>
      <c r="J25">
        <v>350</v>
      </c>
      <c r="K25">
        <v>7.6969018699999987</v>
      </c>
      <c r="L25">
        <v>0.17499999999999999</v>
      </c>
      <c r="M25">
        <v>54.359369456874994</v>
      </c>
      <c r="N25">
        <v>0.52499999999999991</v>
      </c>
      <c r="O25">
        <v>55</v>
      </c>
      <c r="P25">
        <v>21.647536509374998</v>
      </c>
      <c r="Q25">
        <v>0.17499999999999999</v>
      </c>
      <c r="R25">
        <v>21.647536509374998</v>
      </c>
      <c r="S25">
        <v>0.17499999999999999</v>
      </c>
      <c r="T25">
        <v>56</v>
      </c>
      <c r="U25">
        <v>3</v>
      </c>
      <c r="V25">
        <v>3</v>
      </c>
      <c r="W25">
        <v>1</v>
      </c>
      <c r="X25">
        <v>1.8524590163934427</v>
      </c>
      <c r="Y25">
        <v>5.557377049180328</v>
      </c>
    </row>
    <row r="26" spans="1:25" x14ac:dyDescent="0.25">
      <c r="A26">
        <v>37</v>
      </c>
      <c r="B26">
        <v>17.649467226800002</v>
      </c>
      <c r="C26">
        <v>0.26500000000000001</v>
      </c>
      <c r="D26">
        <v>518</v>
      </c>
      <c r="E26">
        <v>22.128592876249996</v>
      </c>
      <c r="F26">
        <v>0.17499999999999999</v>
      </c>
      <c r="G26">
        <v>399</v>
      </c>
      <c r="H26">
        <v>21.647536509374998</v>
      </c>
      <c r="I26">
        <v>0.17499999999999999</v>
      </c>
      <c r="J26">
        <v>36</v>
      </c>
      <c r="K26">
        <v>17.649467226800002</v>
      </c>
      <c r="L26">
        <v>0.26500000000000001</v>
      </c>
      <c r="M26">
        <v>61.425596612424997</v>
      </c>
      <c r="N26">
        <v>0.61499999999999999</v>
      </c>
      <c r="O26">
        <v>38</v>
      </c>
      <c r="P26">
        <v>17.649467226800002</v>
      </c>
      <c r="Q26">
        <v>0.26500000000000001</v>
      </c>
      <c r="R26">
        <v>17.649467226800002</v>
      </c>
      <c r="S26">
        <v>0.26500000000000001</v>
      </c>
      <c r="T26">
        <v>37</v>
      </c>
      <c r="U26">
        <v>3</v>
      </c>
      <c r="V26">
        <v>3</v>
      </c>
      <c r="W26">
        <v>1</v>
      </c>
      <c r="X26">
        <v>1.7401544143823422</v>
      </c>
      <c r="Y26">
        <v>5.2204632431470266</v>
      </c>
    </row>
    <row r="27" spans="1:25" x14ac:dyDescent="0.25">
      <c r="A27">
        <v>27</v>
      </c>
      <c r="B27">
        <v>141.371667</v>
      </c>
      <c r="C27">
        <v>0.75</v>
      </c>
      <c r="D27">
        <v>344</v>
      </c>
      <c r="E27">
        <v>441.78645937499999</v>
      </c>
      <c r="F27">
        <v>0.75</v>
      </c>
      <c r="G27">
        <v>28</v>
      </c>
      <c r="H27">
        <v>90.477866879999993</v>
      </c>
      <c r="I27">
        <v>0.6</v>
      </c>
      <c r="K27" t="s">
        <v>229</v>
      </c>
      <c r="L27" t="s">
        <v>229</v>
      </c>
      <c r="M27">
        <v>532.26432625500001</v>
      </c>
      <c r="N27">
        <v>1.35</v>
      </c>
      <c r="O27">
        <v>26</v>
      </c>
      <c r="P27">
        <v>70.685833500000001</v>
      </c>
      <c r="Q27">
        <v>0.75</v>
      </c>
      <c r="R27">
        <v>70.685833500000001</v>
      </c>
      <c r="S27">
        <v>0.75</v>
      </c>
      <c r="T27">
        <v>27</v>
      </c>
      <c r="U27">
        <v>2</v>
      </c>
      <c r="V27">
        <v>2</v>
      </c>
      <c r="W27">
        <v>1</v>
      </c>
      <c r="X27">
        <v>2.5100000000000002</v>
      </c>
      <c r="Y27">
        <v>5.0200000000000005</v>
      </c>
    </row>
    <row r="28" spans="1:25" x14ac:dyDescent="0.25">
      <c r="A28">
        <v>225</v>
      </c>
      <c r="B28">
        <v>17.649467226800002</v>
      </c>
      <c r="C28">
        <v>0.26500000000000001</v>
      </c>
      <c r="D28">
        <v>478</v>
      </c>
      <c r="E28">
        <v>20.204367408749999</v>
      </c>
      <c r="F28">
        <v>0.17499999999999999</v>
      </c>
      <c r="G28">
        <v>392</v>
      </c>
      <c r="H28">
        <v>21.166480142499999</v>
      </c>
      <c r="I28">
        <v>0.17499999999999999</v>
      </c>
      <c r="J28">
        <v>226</v>
      </c>
      <c r="K28">
        <v>17.649467226800002</v>
      </c>
      <c r="L28">
        <v>0.26500000000000001</v>
      </c>
      <c r="M28">
        <v>59.020314778049993</v>
      </c>
      <c r="N28">
        <v>0.61499999999999999</v>
      </c>
      <c r="O28">
        <v>222</v>
      </c>
      <c r="P28">
        <v>17.649467226800002</v>
      </c>
      <c r="Q28">
        <v>0.26500000000000001</v>
      </c>
      <c r="R28">
        <v>17.649467226800002</v>
      </c>
      <c r="S28">
        <v>0.26500000000000001</v>
      </c>
      <c r="T28">
        <v>225</v>
      </c>
      <c r="U28">
        <v>3</v>
      </c>
      <c r="V28">
        <v>3</v>
      </c>
      <c r="W28">
        <v>1</v>
      </c>
      <c r="X28">
        <v>1.6720140619437518</v>
      </c>
      <c r="Y28">
        <v>5.0160421858312549</v>
      </c>
    </row>
    <row r="29" spans="1:25" x14ac:dyDescent="0.25">
      <c r="A29">
        <v>216</v>
      </c>
      <c r="B29">
        <v>14.451325960000002</v>
      </c>
      <c r="C29">
        <v>0.2</v>
      </c>
      <c r="D29">
        <v>471</v>
      </c>
      <c r="E29">
        <v>22.705860516499996</v>
      </c>
      <c r="F29">
        <v>0.17499999999999999</v>
      </c>
      <c r="G29">
        <v>275</v>
      </c>
      <c r="H29">
        <v>28.863382012499997</v>
      </c>
      <c r="I29">
        <v>0.17499999999999999</v>
      </c>
      <c r="J29">
        <v>215</v>
      </c>
      <c r="K29">
        <v>6.2831852000000019</v>
      </c>
      <c r="L29">
        <v>0.2</v>
      </c>
      <c r="M29">
        <v>57.852427728999999</v>
      </c>
      <c r="N29">
        <v>0.55000000000000004</v>
      </c>
      <c r="O29">
        <v>195</v>
      </c>
      <c r="P29">
        <v>20.734511160000007</v>
      </c>
      <c r="Q29">
        <v>0.2</v>
      </c>
      <c r="R29">
        <v>20.734511160000007</v>
      </c>
      <c r="S29">
        <v>0.2</v>
      </c>
      <c r="T29">
        <v>216</v>
      </c>
      <c r="U29">
        <v>3</v>
      </c>
      <c r="V29">
        <v>3</v>
      </c>
      <c r="W29">
        <v>1</v>
      </c>
      <c r="X29">
        <v>1.6441964285714281</v>
      </c>
      <c r="Y29">
        <v>4.9325892857142843</v>
      </c>
    </row>
    <row r="30" spans="1:25" x14ac:dyDescent="0.25">
      <c r="A30">
        <v>54</v>
      </c>
      <c r="B30">
        <v>7.6969018699999987</v>
      </c>
      <c r="C30">
        <v>0.17499999999999999</v>
      </c>
      <c r="D30">
        <v>425</v>
      </c>
      <c r="E30">
        <v>21.647536509374998</v>
      </c>
      <c r="F30">
        <v>0.17499999999999999</v>
      </c>
      <c r="G30">
        <v>379</v>
      </c>
      <c r="H30">
        <v>7.6969018699999987</v>
      </c>
      <c r="I30">
        <v>0.17499999999999999</v>
      </c>
      <c r="J30">
        <v>360</v>
      </c>
      <c r="K30">
        <v>25.014931077499998</v>
      </c>
      <c r="L30">
        <v>0.17499999999999999</v>
      </c>
      <c r="M30">
        <v>54.359369456874994</v>
      </c>
      <c r="N30">
        <v>0.52499999999999991</v>
      </c>
      <c r="O30">
        <v>53</v>
      </c>
      <c r="P30">
        <v>28.274333400000007</v>
      </c>
      <c r="Q30">
        <v>0.2</v>
      </c>
      <c r="R30">
        <v>28.274333400000007</v>
      </c>
      <c r="S30">
        <v>0.2</v>
      </c>
      <c r="T30">
        <v>54</v>
      </c>
      <c r="U30">
        <v>3</v>
      </c>
      <c r="V30">
        <v>3</v>
      </c>
      <c r="W30">
        <v>1</v>
      </c>
      <c r="X30">
        <v>1.5111899563318771</v>
      </c>
      <c r="Y30">
        <v>4.533569868995631</v>
      </c>
    </row>
    <row r="31" spans="1:25" x14ac:dyDescent="0.25">
      <c r="A31">
        <v>227</v>
      </c>
      <c r="B31">
        <v>33.092751050250008</v>
      </c>
      <c r="C31">
        <v>0.26500000000000001</v>
      </c>
      <c r="D31">
        <v>390</v>
      </c>
      <c r="E31">
        <v>26.939156544999996</v>
      </c>
      <c r="F31">
        <v>0.17499999999999999</v>
      </c>
      <c r="G31">
        <v>273</v>
      </c>
      <c r="H31">
        <v>76.969018699999992</v>
      </c>
      <c r="I31">
        <v>0.17499999999999999</v>
      </c>
      <c r="K31" t="s">
        <v>229</v>
      </c>
      <c r="L31" t="s">
        <v>229</v>
      </c>
      <c r="M31">
        <v>103.908175245</v>
      </c>
      <c r="N31">
        <v>0.35</v>
      </c>
      <c r="O31">
        <v>226</v>
      </c>
      <c r="P31">
        <v>17.649467226800002</v>
      </c>
      <c r="Q31">
        <v>0.26500000000000001</v>
      </c>
      <c r="R31">
        <v>17.649467226800002</v>
      </c>
      <c r="S31">
        <v>0.26500000000000001</v>
      </c>
      <c r="T31">
        <v>227</v>
      </c>
      <c r="U31">
        <v>2</v>
      </c>
      <c r="V31">
        <v>2</v>
      </c>
      <c r="W31">
        <v>1</v>
      </c>
      <c r="X31">
        <v>2.0477657219805896</v>
      </c>
      <c r="Y31">
        <v>4.0955314439611792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CONDUITS</vt:lpstr>
      <vt:lpstr>XSECTIONS</vt:lpstr>
      <vt:lpstr>Capacity</vt:lpstr>
      <vt:lpstr>Sheet1</vt:lpstr>
      <vt:lpstr>Sheet2</vt:lpstr>
      <vt:lpstr>PVI Before R1</vt:lpstr>
      <vt:lpstr>Sheet3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XILIANG MAO</dc:creator>
  <cp:lastModifiedBy>Xiliang Mao</cp:lastModifiedBy>
  <dcterms:created xsi:type="dcterms:W3CDTF">2015-06-05T18:17:20Z</dcterms:created>
  <dcterms:modified xsi:type="dcterms:W3CDTF">2025-09-16T00:41:29Z</dcterms:modified>
</cp:coreProperties>
</file>